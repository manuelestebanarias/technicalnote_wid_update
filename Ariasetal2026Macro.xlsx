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ml.chartshapes+xml"/>
  <Override PartName="/xl/drawings/drawing3.xml" ContentType="application/vnd.openxmlformats-officedocument.drawing+xml"/>
  <Override PartName="/xl/charts/chart2.xml" ContentType="application/vnd.openxmlformats-officedocument.drawingml.chart+xml"/>
  <Override PartName="/xl/drawings/drawing4.xml" ContentType="application/vnd.openxmlformats-officedocument.drawingml.chartsha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defaultThemeVersion="166925"/>
  <mc:AlternateContent xmlns:mc="http://schemas.openxmlformats.org/markup-compatibility/2006">
    <mc:Choice Requires="x15">
      <x15ac:absPath xmlns:x15ac="http://schemas.microsoft.com/office/spreadsheetml/2010/11/ac" url="/Users/manuelestebanarias/Documents/GitHub/technicalnote_wid_update/"/>
    </mc:Choice>
  </mc:AlternateContent>
  <xr:revisionPtr revIDLastSave="0" documentId="13_ncr:1_{BDE21B34-1D5D-F346-BD59-131CA671CB3F}" xr6:coauthVersionLast="47" xr6:coauthVersionMax="47" xr10:uidLastSave="{00000000-0000-0000-0000-000000000000}"/>
  <bookViews>
    <workbookView xWindow="0" yWindow="680" windowWidth="27040" windowHeight="16880" xr2:uid="{00000000-000D-0000-FFFF-FFFF00000000}"/>
  </bookViews>
  <sheets>
    <sheet name="ReadMe" sheetId="26" r:id="rId1"/>
    <sheet name="F0a" sheetId="50" r:id="rId2"/>
    <sheet name="F0b" sheetId="49" r:id="rId3"/>
    <sheet name="T1" sheetId="48" r:id="rId4"/>
    <sheet name="T2" sheetId="46" r:id="rId5"/>
    <sheet name="T2a" sheetId="47" r:id="rId6"/>
    <sheet name="T3" sheetId="45" r:id="rId7"/>
    <sheet name="T3a" sheetId="44" r:id="rId8"/>
    <sheet name="T4a" sheetId="36" r:id="rId9"/>
    <sheet name="T4b" sheetId="40" r:id="rId10"/>
    <sheet name="T4c" sheetId="41" r:id="rId11"/>
    <sheet name="T4d" sheetId="42" r:id="rId12"/>
    <sheet name="T5" sheetId="37" r:id="rId13"/>
    <sheet name="T6" sheetId="39" r:id="rId14"/>
    <sheet name="T7a" sheetId="35" r:id="rId15"/>
    <sheet name="T7b" sheetId="31" r:id="rId16"/>
    <sheet name="T7c" sheetId="32" r:id="rId17"/>
    <sheet name="T7d" sheetId="33" r:id="rId18"/>
    <sheet name="T8" sheetId="34" r:id="rId19"/>
    <sheet name="T9a" sheetId="29" r:id="rId20"/>
    <sheet name="T9b" sheetId="30" r:id="rId21"/>
    <sheet name="T10" sheetId="28" r:id="rId22"/>
    <sheet name="T11" sheetId="27" r:id="rId23"/>
    <sheet name="T12a" sheetId="55" r:id="rId24"/>
    <sheet name="T12b" sheetId="56" r:id="rId25"/>
    <sheet name="T13a" sheetId="59" r:id="rId26"/>
    <sheet name="T13b" sheetId="60" r:id="rId27"/>
    <sheet name="Appendix1" sheetId="1" r:id="rId28"/>
    <sheet name="DataF0a" sheetId="2" r:id="rId29"/>
    <sheet name="DataF1" sheetId="3" r:id="rId30"/>
    <sheet name="DataT1" sheetId="4" r:id="rId31"/>
    <sheet name="DataT2" sheetId="5" r:id="rId32"/>
    <sheet name="DataT2a" sheetId="6" r:id="rId33"/>
    <sheet name="DataT3" sheetId="7" r:id="rId34"/>
    <sheet name="DataT3a" sheetId="25" r:id="rId35"/>
    <sheet name="DataT3c" sheetId="9" r:id="rId36"/>
    <sheet name="DataT4a" sheetId="10" r:id="rId37"/>
    <sheet name="DataT4b" sheetId="11" r:id="rId38"/>
    <sheet name="DataT4c" sheetId="12" r:id="rId39"/>
    <sheet name="DataT4d" sheetId="13" r:id="rId40"/>
    <sheet name="Data5" sheetId="14" r:id="rId41"/>
    <sheet name="Data6" sheetId="16" r:id="rId42"/>
    <sheet name="DataT7a" sheetId="17" r:id="rId43"/>
    <sheet name="DataT7b" sheetId="18" r:id="rId44"/>
    <sheet name="DataT7c" sheetId="19" r:id="rId45"/>
    <sheet name="DataT7d" sheetId="20" r:id="rId46"/>
    <sheet name="DataT8" sheetId="21" r:id="rId47"/>
    <sheet name="DataT9" sheetId="22" r:id="rId48"/>
    <sheet name="DataT10" sheetId="23" r:id="rId49"/>
    <sheet name="DataT11" sheetId="24" r:id="rId50"/>
    <sheet name="DataT12a" sheetId="52" r:id="rId51"/>
    <sheet name="DataT12b" sheetId="51" r:id="rId52"/>
    <sheet name="DataT13a" sheetId="53" r:id="rId53"/>
    <sheet name="DataT13b" sheetId="54" r:id="rId5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A1" i="27" l="1"/>
  <c r="A1" i="59"/>
  <c r="B30" i="26" s="1"/>
  <c r="A1" i="32"/>
  <c r="D2" i="34"/>
  <c r="K60" i="34"/>
  <c r="J60" i="34"/>
  <c r="I60" i="34"/>
  <c r="H60" i="34"/>
  <c r="G60" i="34"/>
  <c r="F60" i="34"/>
  <c r="E60" i="34"/>
  <c r="D60" i="34"/>
  <c r="C60" i="34"/>
  <c r="K59" i="34"/>
  <c r="J59" i="34"/>
  <c r="I59" i="34"/>
  <c r="H59" i="34"/>
  <c r="G59" i="34"/>
  <c r="F59" i="34"/>
  <c r="E59" i="34"/>
  <c r="D59" i="34"/>
  <c r="C59" i="34"/>
  <c r="K58" i="34"/>
  <c r="J58" i="34"/>
  <c r="I58" i="34"/>
  <c r="H58" i="34"/>
  <c r="G58" i="34"/>
  <c r="F58" i="34"/>
  <c r="E58" i="34"/>
  <c r="D58" i="34"/>
  <c r="C58" i="34"/>
  <c r="K57" i="34"/>
  <c r="J57" i="34"/>
  <c r="I57" i="34"/>
  <c r="H57" i="34"/>
  <c r="G57" i="34"/>
  <c r="F57" i="34"/>
  <c r="E57" i="34"/>
  <c r="D57" i="34"/>
  <c r="C57" i="34"/>
  <c r="K56" i="34"/>
  <c r="J56" i="34"/>
  <c r="I56" i="34"/>
  <c r="H56" i="34"/>
  <c r="G56" i="34"/>
  <c r="F56" i="34"/>
  <c r="E56" i="34"/>
  <c r="D56" i="34"/>
  <c r="C56" i="34"/>
  <c r="K55" i="34"/>
  <c r="J55" i="34"/>
  <c r="I55" i="34"/>
  <c r="H55" i="34"/>
  <c r="G55" i="34"/>
  <c r="F55" i="34"/>
  <c r="E55" i="34"/>
  <c r="D55" i="34"/>
  <c r="C55" i="34"/>
  <c r="K54" i="34"/>
  <c r="J54" i="34"/>
  <c r="I54" i="34"/>
  <c r="H54" i="34"/>
  <c r="G54" i="34"/>
  <c r="F54" i="34"/>
  <c r="E54" i="34"/>
  <c r="D54" i="34"/>
  <c r="C54" i="34"/>
  <c r="K53" i="34"/>
  <c r="J53" i="34"/>
  <c r="I53" i="34"/>
  <c r="H53" i="34"/>
  <c r="G53" i="34"/>
  <c r="F53" i="34"/>
  <c r="E53" i="34"/>
  <c r="D53" i="34"/>
  <c r="C53" i="34"/>
  <c r="K52" i="34"/>
  <c r="J52" i="34"/>
  <c r="I52" i="34"/>
  <c r="H52" i="34"/>
  <c r="G52" i="34"/>
  <c r="F52" i="34"/>
  <c r="E52" i="34"/>
  <c r="D52" i="34"/>
  <c r="C52" i="34"/>
  <c r="K51" i="34"/>
  <c r="J51" i="34"/>
  <c r="I51" i="34"/>
  <c r="H51" i="34"/>
  <c r="G51" i="34"/>
  <c r="F51" i="34"/>
  <c r="E51" i="34"/>
  <c r="D51" i="34"/>
  <c r="C51" i="34"/>
  <c r="K50" i="34"/>
  <c r="J50" i="34"/>
  <c r="I50" i="34"/>
  <c r="H50" i="34"/>
  <c r="G50" i="34"/>
  <c r="F50" i="34"/>
  <c r="E50" i="34"/>
  <c r="D50" i="34"/>
  <c r="C50" i="34"/>
  <c r="K49" i="34"/>
  <c r="J49" i="34"/>
  <c r="I49" i="34"/>
  <c r="H49" i="34"/>
  <c r="G49" i="34"/>
  <c r="F49" i="34"/>
  <c r="E49" i="34"/>
  <c r="D49" i="34"/>
  <c r="C49" i="34"/>
  <c r="K48" i="34"/>
  <c r="J48" i="34"/>
  <c r="I48" i="34"/>
  <c r="H48" i="34"/>
  <c r="G48" i="34"/>
  <c r="F48" i="34"/>
  <c r="E48" i="34"/>
  <c r="D48" i="34"/>
  <c r="C48" i="34"/>
  <c r="K47" i="34"/>
  <c r="J47" i="34"/>
  <c r="I47" i="34"/>
  <c r="H47" i="34"/>
  <c r="G47" i="34"/>
  <c r="F47" i="34"/>
  <c r="E47" i="34"/>
  <c r="D47" i="34"/>
  <c r="C47" i="34"/>
  <c r="K46" i="34"/>
  <c r="J46" i="34"/>
  <c r="I46" i="34"/>
  <c r="H46" i="34"/>
  <c r="G46" i="34"/>
  <c r="F46" i="34"/>
  <c r="E46" i="34"/>
  <c r="D46" i="34"/>
  <c r="C46" i="34"/>
  <c r="K45" i="34"/>
  <c r="J45" i="34"/>
  <c r="I45" i="34"/>
  <c r="H45" i="34"/>
  <c r="G45" i="34"/>
  <c r="F45" i="34"/>
  <c r="E45" i="34"/>
  <c r="D45" i="34"/>
  <c r="C45" i="34"/>
  <c r="K44" i="34"/>
  <c r="J44" i="34"/>
  <c r="I44" i="34"/>
  <c r="H44" i="34"/>
  <c r="G44" i="34"/>
  <c r="F44" i="34"/>
  <c r="E44" i="34"/>
  <c r="D44" i="34"/>
  <c r="C44" i="34"/>
  <c r="K43" i="34"/>
  <c r="J43" i="34"/>
  <c r="I43" i="34"/>
  <c r="H43" i="34"/>
  <c r="G43" i="34"/>
  <c r="F43" i="34"/>
  <c r="E43" i="34"/>
  <c r="D43" i="34"/>
  <c r="C43" i="34"/>
  <c r="K42" i="34"/>
  <c r="J42" i="34"/>
  <c r="I42" i="34"/>
  <c r="H42" i="34"/>
  <c r="G42" i="34"/>
  <c r="F42" i="34"/>
  <c r="E42" i="34"/>
  <c r="D42" i="34"/>
  <c r="C42" i="34"/>
  <c r="K41" i="34"/>
  <c r="J41" i="34"/>
  <c r="I41" i="34"/>
  <c r="H41" i="34"/>
  <c r="G41" i="34"/>
  <c r="F41" i="34"/>
  <c r="E41" i="34"/>
  <c r="D41" i="34"/>
  <c r="C41" i="34"/>
  <c r="K40" i="34"/>
  <c r="J40" i="34"/>
  <c r="I40" i="34"/>
  <c r="H40" i="34"/>
  <c r="G40" i="34"/>
  <c r="F40" i="34"/>
  <c r="E40" i="34"/>
  <c r="D40" i="34"/>
  <c r="C40" i="34"/>
  <c r="K39" i="34"/>
  <c r="J39" i="34"/>
  <c r="I39" i="34"/>
  <c r="H39" i="34"/>
  <c r="G39" i="34"/>
  <c r="F39" i="34"/>
  <c r="E39" i="34"/>
  <c r="D39" i="34"/>
  <c r="C39" i="34"/>
  <c r="K38" i="34"/>
  <c r="J38" i="34"/>
  <c r="I38" i="34"/>
  <c r="H38" i="34"/>
  <c r="G38" i="34"/>
  <c r="F38" i="34"/>
  <c r="E38" i="34"/>
  <c r="D38" i="34"/>
  <c r="C38" i="34"/>
  <c r="K37" i="34"/>
  <c r="J37" i="34"/>
  <c r="I37" i="34"/>
  <c r="H37" i="34"/>
  <c r="G37" i="34"/>
  <c r="F37" i="34"/>
  <c r="E37" i="34"/>
  <c r="D37" i="34"/>
  <c r="C37" i="34"/>
  <c r="K36" i="34"/>
  <c r="J36" i="34"/>
  <c r="I36" i="34"/>
  <c r="H36" i="34"/>
  <c r="G36" i="34"/>
  <c r="F36" i="34"/>
  <c r="E36" i="34"/>
  <c r="D36" i="34"/>
  <c r="C36" i="34"/>
  <c r="K35" i="34"/>
  <c r="J35" i="34"/>
  <c r="I35" i="34"/>
  <c r="H35" i="34"/>
  <c r="G35" i="34"/>
  <c r="F35" i="34"/>
  <c r="E35" i="34"/>
  <c r="D35" i="34"/>
  <c r="C35" i="34"/>
  <c r="K34" i="34"/>
  <c r="J34" i="34"/>
  <c r="I34" i="34"/>
  <c r="H34" i="34"/>
  <c r="G34" i="34"/>
  <c r="F34" i="34"/>
  <c r="E34" i="34"/>
  <c r="D34" i="34"/>
  <c r="C34" i="34"/>
  <c r="K33" i="34"/>
  <c r="J33" i="34"/>
  <c r="I33" i="34"/>
  <c r="H33" i="34"/>
  <c r="G33" i="34"/>
  <c r="F33" i="34"/>
  <c r="E33" i="34"/>
  <c r="D33" i="34"/>
  <c r="C33" i="34"/>
  <c r="K32" i="34"/>
  <c r="J32" i="34"/>
  <c r="I32" i="34"/>
  <c r="H32" i="34"/>
  <c r="G32" i="34"/>
  <c r="F32" i="34"/>
  <c r="E32" i="34"/>
  <c r="D32" i="34"/>
  <c r="C32" i="34"/>
  <c r="K31" i="34"/>
  <c r="J31" i="34"/>
  <c r="I31" i="34"/>
  <c r="H31" i="34"/>
  <c r="G31" i="34"/>
  <c r="F31" i="34"/>
  <c r="E31" i="34"/>
  <c r="D31" i="34"/>
  <c r="C31" i="34"/>
  <c r="K30" i="34"/>
  <c r="J30" i="34"/>
  <c r="I30" i="34"/>
  <c r="H30" i="34"/>
  <c r="G30" i="34"/>
  <c r="F30" i="34"/>
  <c r="E30" i="34"/>
  <c r="D30" i="34"/>
  <c r="C30" i="34"/>
  <c r="K29" i="34"/>
  <c r="J29" i="34"/>
  <c r="I29" i="34"/>
  <c r="H29" i="34"/>
  <c r="G29" i="34"/>
  <c r="F29" i="34"/>
  <c r="E29" i="34"/>
  <c r="D29" i="34"/>
  <c r="C29" i="34"/>
  <c r="K28" i="34"/>
  <c r="J28" i="34"/>
  <c r="I28" i="34"/>
  <c r="H28" i="34"/>
  <c r="G28" i="34"/>
  <c r="F28" i="34"/>
  <c r="E28" i="34"/>
  <c r="D28" i="34"/>
  <c r="C28" i="34"/>
  <c r="K27" i="34"/>
  <c r="J27" i="34"/>
  <c r="I27" i="34"/>
  <c r="H27" i="34"/>
  <c r="G27" i="34"/>
  <c r="F27" i="34"/>
  <c r="E27" i="34"/>
  <c r="D27" i="34"/>
  <c r="C27" i="34"/>
  <c r="K26" i="34"/>
  <c r="J26" i="34"/>
  <c r="I26" i="34"/>
  <c r="H26" i="34"/>
  <c r="G26" i="34"/>
  <c r="F26" i="34"/>
  <c r="E26" i="34"/>
  <c r="D26" i="34"/>
  <c r="C26" i="34"/>
  <c r="K25" i="34"/>
  <c r="J25" i="34"/>
  <c r="I25" i="34"/>
  <c r="H25" i="34"/>
  <c r="G25" i="34"/>
  <c r="F25" i="34"/>
  <c r="E25" i="34"/>
  <c r="D25" i="34"/>
  <c r="C25" i="34"/>
  <c r="K24" i="34"/>
  <c r="J24" i="34"/>
  <c r="I24" i="34"/>
  <c r="H24" i="34"/>
  <c r="G24" i="34"/>
  <c r="F24" i="34"/>
  <c r="E24" i="34"/>
  <c r="D24" i="34"/>
  <c r="C24" i="34"/>
  <c r="K23" i="34"/>
  <c r="J23" i="34"/>
  <c r="I23" i="34"/>
  <c r="H23" i="34"/>
  <c r="G23" i="34"/>
  <c r="F23" i="34"/>
  <c r="E23" i="34"/>
  <c r="D23" i="34"/>
  <c r="C23" i="34"/>
  <c r="K22" i="34"/>
  <c r="J22" i="34"/>
  <c r="I22" i="34"/>
  <c r="H22" i="34"/>
  <c r="G22" i="34"/>
  <c r="F22" i="34"/>
  <c r="E22" i="34"/>
  <c r="D22" i="34"/>
  <c r="C22" i="34"/>
  <c r="K21" i="34"/>
  <c r="J21" i="34"/>
  <c r="I21" i="34"/>
  <c r="H21" i="34"/>
  <c r="G21" i="34"/>
  <c r="F21" i="34"/>
  <c r="E21" i="34"/>
  <c r="D21" i="34"/>
  <c r="C21" i="34"/>
  <c r="K20" i="34"/>
  <c r="J20" i="34"/>
  <c r="I20" i="34"/>
  <c r="H20" i="34"/>
  <c r="G20" i="34"/>
  <c r="F20" i="34"/>
  <c r="E20" i="34"/>
  <c r="D20" i="34"/>
  <c r="C20" i="34"/>
  <c r="K19" i="34"/>
  <c r="J19" i="34"/>
  <c r="I19" i="34"/>
  <c r="H19" i="34"/>
  <c r="G19" i="34"/>
  <c r="F19" i="34"/>
  <c r="E19" i="34"/>
  <c r="D19" i="34"/>
  <c r="C19" i="34"/>
  <c r="K18" i="34"/>
  <c r="J18" i="34"/>
  <c r="I18" i="34"/>
  <c r="H18" i="34"/>
  <c r="G18" i="34"/>
  <c r="F18" i="34"/>
  <c r="E18" i="34"/>
  <c r="D18" i="34"/>
  <c r="C18" i="34"/>
  <c r="K17" i="34"/>
  <c r="J17" i="34"/>
  <c r="I17" i="34"/>
  <c r="H17" i="34"/>
  <c r="G17" i="34"/>
  <c r="F17" i="34"/>
  <c r="E17" i="34"/>
  <c r="D17" i="34"/>
  <c r="C17" i="34"/>
  <c r="K16" i="34"/>
  <c r="J16" i="34"/>
  <c r="I16" i="34"/>
  <c r="H16" i="34"/>
  <c r="G16" i="34"/>
  <c r="F16" i="34"/>
  <c r="E16" i="34"/>
  <c r="D16" i="34"/>
  <c r="C16" i="34"/>
  <c r="K15" i="34"/>
  <c r="J15" i="34"/>
  <c r="I15" i="34"/>
  <c r="H15" i="34"/>
  <c r="G15" i="34"/>
  <c r="F15" i="34"/>
  <c r="E15" i="34"/>
  <c r="D15" i="34"/>
  <c r="C15" i="34"/>
  <c r="K14" i="34"/>
  <c r="J14" i="34"/>
  <c r="I14" i="34"/>
  <c r="H14" i="34"/>
  <c r="G14" i="34"/>
  <c r="F14" i="34"/>
  <c r="E14" i="34"/>
  <c r="D14" i="34"/>
  <c r="C14" i="34"/>
  <c r="K13" i="34"/>
  <c r="J13" i="34"/>
  <c r="I13" i="34"/>
  <c r="H13" i="34"/>
  <c r="G13" i="34"/>
  <c r="F13" i="34"/>
  <c r="E13" i="34"/>
  <c r="D13" i="34"/>
  <c r="C13" i="34"/>
  <c r="K12" i="34"/>
  <c r="J12" i="34"/>
  <c r="I12" i="34"/>
  <c r="H12" i="34"/>
  <c r="G12" i="34"/>
  <c r="F12" i="34"/>
  <c r="E12" i="34"/>
  <c r="D12" i="34"/>
  <c r="C12" i="34"/>
  <c r="K11" i="34"/>
  <c r="J11" i="34"/>
  <c r="I11" i="34"/>
  <c r="H11" i="34"/>
  <c r="G11" i="34"/>
  <c r="F11" i="34"/>
  <c r="E11" i="34"/>
  <c r="D11" i="34"/>
  <c r="C11" i="34"/>
  <c r="K10" i="34"/>
  <c r="J10" i="34"/>
  <c r="I10" i="34"/>
  <c r="H10" i="34"/>
  <c r="G10" i="34"/>
  <c r="F10" i="34"/>
  <c r="E10" i="34"/>
  <c r="D10" i="34"/>
  <c r="C10" i="34"/>
  <c r="K9" i="34"/>
  <c r="J9" i="34"/>
  <c r="I9" i="34"/>
  <c r="H9" i="34"/>
  <c r="G9" i="34"/>
  <c r="F9" i="34"/>
  <c r="E9" i="34"/>
  <c r="D9" i="34"/>
  <c r="C9" i="34"/>
  <c r="K8" i="34"/>
  <c r="J8" i="34"/>
  <c r="I8" i="34"/>
  <c r="H8" i="34"/>
  <c r="G8" i="34"/>
  <c r="F8" i="34"/>
  <c r="E8" i="34"/>
  <c r="D8" i="34"/>
  <c r="C8" i="34"/>
  <c r="K7" i="34"/>
  <c r="J7" i="34"/>
  <c r="I7" i="34"/>
  <c r="H7" i="34"/>
  <c r="G7" i="34"/>
  <c r="F7" i="34"/>
  <c r="E7" i="34"/>
  <c r="D7" i="34"/>
  <c r="C7" i="34"/>
  <c r="K6" i="34"/>
  <c r="J6" i="34"/>
  <c r="I6" i="34"/>
  <c r="H6" i="34"/>
  <c r="G6" i="34"/>
  <c r="F6" i="34"/>
  <c r="E6" i="34"/>
  <c r="D6" i="34"/>
  <c r="C6" i="34"/>
  <c r="K5" i="34"/>
  <c r="J5" i="34"/>
  <c r="I5" i="34"/>
  <c r="H5" i="34"/>
  <c r="G5" i="34"/>
  <c r="F5" i="34"/>
  <c r="E5" i="34"/>
  <c r="D5" i="34"/>
  <c r="C5" i="34"/>
  <c r="K4" i="34"/>
  <c r="J4" i="34"/>
  <c r="I4" i="34"/>
  <c r="H4" i="34"/>
  <c r="G4" i="34"/>
  <c r="F4" i="34"/>
  <c r="E4" i="34"/>
  <c r="D4" i="34"/>
  <c r="C4" i="34"/>
  <c r="K3" i="34"/>
  <c r="J3" i="34"/>
  <c r="I3" i="34"/>
  <c r="H3" i="34"/>
  <c r="G3" i="34"/>
  <c r="F3" i="34"/>
  <c r="E3" i="34"/>
  <c r="D3" i="34"/>
  <c r="C3" i="34"/>
  <c r="A60" i="34"/>
  <c r="A49" i="34"/>
  <c r="A40" i="34"/>
  <c r="A38" i="34"/>
  <c r="A33" i="34"/>
  <c r="A25" i="34"/>
  <c r="A19" i="34"/>
  <c r="A8" i="34"/>
  <c r="A3" i="34"/>
  <c r="B4" i="34"/>
  <c r="B5" i="34"/>
  <c r="B6" i="34"/>
  <c r="B7" i="34"/>
  <c r="B8" i="34"/>
  <c r="B9" i="34"/>
  <c r="B10" i="34"/>
  <c r="B11" i="34"/>
  <c r="B12" i="34"/>
  <c r="B13" i="34"/>
  <c r="B14" i="34"/>
  <c r="B15" i="34"/>
  <c r="B16" i="34"/>
  <c r="B17" i="34"/>
  <c r="B18" i="34"/>
  <c r="B19" i="34"/>
  <c r="B20" i="34"/>
  <c r="B21" i="34"/>
  <c r="B22" i="34"/>
  <c r="B23" i="34"/>
  <c r="B24" i="34"/>
  <c r="B25" i="34"/>
  <c r="B26" i="34"/>
  <c r="B27" i="34"/>
  <c r="B28" i="34"/>
  <c r="B29" i="34"/>
  <c r="B30" i="34"/>
  <c r="B31" i="34"/>
  <c r="B32" i="34"/>
  <c r="B33" i="34"/>
  <c r="B34" i="34"/>
  <c r="B35" i="34"/>
  <c r="B36" i="34"/>
  <c r="B37" i="34"/>
  <c r="B38" i="34"/>
  <c r="B39" i="34"/>
  <c r="B40" i="34"/>
  <c r="B41" i="34"/>
  <c r="B42" i="34"/>
  <c r="B43" i="34"/>
  <c r="B44" i="34"/>
  <c r="B45" i="34"/>
  <c r="B46" i="34"/>
  <c r="B47" i="34"/>
  <c r="B48" i="34"/>
  <c r="B49" i="34"/>
  <c r="B50" i="34"/>
  <c r="B51" i="34"/>
  <c r="B52" i="34"/>
  <c r="B53" i="34"/>
  <c r="B54" i="34"/>
  <c r="B55" i="34"/>
  <c r="B56" i="34"/>
  <c r="B57" i="34"/>
  <c r="B58" i="34"/>
  <c r="B59" i="34"/>
  <c r="B60" i="34"/>
  <c r="K11" i="60"/>
  <c r="J11" i="60"/>
  <c r="I11" i="60"/>
  <c r="H11" i="60"/>
  <c r="G11" i="60"/>
  <c r="F11" i="60"/>
  <c r="E11" i="60"/>
  <c r="D11" i="60"/>
  <c r="C11" i="60"/>
  <c r="B11" i="60"/>
  <c r="A11" i="60"/>
  <c r="K10" i="60"/>
  <c r="J10" i="60"/>
  <c r="I10" i="60"/>
  <c r="H10" i="60"/>
  <c r="G10" i="60"/>
  <c r="F10" i="60"/>
  <c r="E10" i="60"/>
  <c r="D10" i="60"/>
  <c r="C10" i="60"/>
  <c r="B10" i="60"/>
  <c r="A10" i="60"/>
  <c r="K9" i="60"/>
  <c r="J9" i="60"/>
  <c r="I9" i="60"/>
  <c r="H9" i="60"/>
  <c r="G9" i="60"/>
  <c r="F9" i="60"/>
  <c r="E9" i="60"/>
  <c r="D9" i="60"/>
  <c r="C9" i="60"/>
  <c r="B9" i="60"/>
  <c r="A9" i="60"/>
  <c r="K8" i="60"/>
  <c r="J8" i="60"/>
  <c r="I8" i="60"/>
  <c r="H8" i="60"/>
  <c r="G8" i="60"/>
  <c r="F8" i="60"/>
  <c r="E8" i="60"/>
  <c r="D8" i="60"/>
  <c r="C8" i="60"/>
  <c r="B8" i="60"/>
  <c r="A8" i="60"/>
  <c r="K7" i="60"/>
  <c r="J7" i="60"/>
  <c r="I7" i="60"/>
  <c r="H7" i="60"/>
  <c r="G7" i="60"/>
  <c r="F7" i="60"/>
  <c r="E7" i="60"/>
  <c r="D7" i="60"/>
  <c r="C7" i="60"/>
  <c r="B7" i="60"/>
  <c r="A7" i="60"/>
  <c r="K6" i="60"/>
  <c r="J6" i="60"/>
  <c r="I6" i="60"/>
  <c r="H6" i="60"/>
  <c r="G6" i="60"/>
  <c r="F6" i="60"/>
  <c r="E6" i="60"/>
  <c r="D6" i="60"/>
  <c r="C6" i="60"/>
  <c r="B6" i="60"/>
  <c r="A6" i="60"/>
  <c r="K5" i="60"/>
  <c r="J5" i="60"/>
  <c r="I5" i="60"/>
  <c r="H5" i="60"/>
  <c r="G5" i="60"/>
  <c r="F5" i="60"/>
  <c r="E5" i="60"/>
  <c r="D5" i="60"/>
  <c r="C5" i="60"/>
  <c r="B5" i="60"/>
  <c r="A5" i="60"/>
  <c r="K4" i="60"/>
  <c r="J4" i="60"/>
  <c r="I4" i="60"/>
  <c r="H4" i="60"/>
  <c r="G4" i="60"/>
  <c r="F4" i="60"/>
  <c r="E4" i="60"/>
  <c r="D4" i="60"/>
  <c r="C4" i="60"/>
  <c r="B4" i="60"/>
  <c r="A4" i="60"/>
  <c r="K3" i="60"/>
  <c r="J3" i="60"/>
  <c r="I3" i="60"/>
  <c r="H3" i="60"/>
  <c r="G3" i="60"/>
  <c r="F3" i="60"/>
  <c r="E3" i="60"/>
  <c r="D3" i="60"/>
  <c r="C3" i="60"/>
  <c r="B3" i="60"/>
  <c r="A3" i="60"/>
  <c r="K2" i="60"/>
  <c r="J2" i="60"/>
  <c r="I2" i="60"/>
  <c r="H2" i="60"/>
  <c r="G2" i="60"/>
  <c r="F2" i="60"/>
  <c r="E2" i="60"/>
  <c r="D2" i="60"/>
  <c r="C2" i="60"/>
  <c r="B2" i="60"/>
  <c r="A2" i="60"/>
  <c r="K1" i="60"/>
  <c r="J1" i="60"/>
  <c r="I1" i="60"/>
  <c r="H1" i="60"/>
  <c r="G1" i="60"/>
  <c r="F1" i="60"/>
  <c r="E1" i="60"/>
  <c r="D1" i="60"/>
  <c r="C1" i="60"/>
  <c r="B1" i="60"/>
  <c r="A1" i="60"/>
  <c r="B31" i="26" s="1"/>
  <c r="K11" i="59"/>
  <c r="J11" i="59"/>
  <c r="I11" i="59"/>
  <c r="H11" i="59"/>
  <c r="G11" i="59"/>
  <c r="F11" i="59"/>
  <c r="E11" i="59"/>
  <c r="D11" i="59"/>
  <c r="C11" i="59"/>
  <c r="B11" i="59"/>
  <c r="A11" i="59"/>
  <c r="K10" i="59"/>
  <c r="J10" i="59"/>
  <c r="I10" i="59"/>
  <c r="H10" i="59"/>
  <c r="G10" i="59"/>
  <c r="F10" i="59"/>
  <c r="E10" i="59"/>
  <c r="D10" i="59"/>
  <c r="C10" i="59"/>
  <c r="B10" i="59"/>
  <c r="A10" i="59"/>
  <c r="K9" i="59"/>
  <c r="J9" i="59"/>
  <c r="I9" i="59"/>
  <c r="H9" i="59"/>
  <c r="G9" i="59"/>
  <c r="F9" i="59"/>
  <c r="E9" i="59"/>
  <c r="D9" i="59"/>
  <c r="C9" i="59"/>
  <c r="B9" i="59"/>
  <c r="A9" i="59"/>
  <c r="K8" i="59"/>
  <c r="J8" i="59"/>
  <c r="I8" i="59"/>
  <c r="H8" i="59"/>
  <c r="G8" i="59"/>
  <c r="F8" i="59"/>
  <c r="E8" i="59"/>
  <c r="D8" i="59"/>
  <c r="C8" i="59"/>
  <c r="B8" i="59"/>
  <c r="A8" i="59"/>
  <c r="K7" i="59"/>
  <c r="J7" i="59"/>
  <c r="I7" i="59"/>
  <c r="H7" i="59"/>
  <c r="G7" i="59"/>
  <c r="F7" i="59"/>
  <c r="E7" i="59"/>
  <c r="D7" i="59"/>
  <c r="C7" i="59"/>
  <c r="B7" i="59"/>
  <c r="A7" i="59"/>
  <c r="K6" i="59"/>
  <c r="J6" i="59"/>
  <c r="I6" i="59"/>
  <c r="H6" i="59"/>
  <c r="G6" i="59"/>
  <c r="F6" i="59"/>
  <c r="E6" i="59"/>
  <c r="D6" i="59"/>
  <c r="C6" i="59"/>
  <c r="B6" i="59"/>
  <c r="A6" i="59"/>
  <c r="K5" i="59"/>
  <c r="J5" i="59"/>
  <c r="I5" i="59"/>
  <c r="H5" i="59"/>
  <c r="G5" i="59"/>
  <c r="F5" i="59"/>
  <c r="E5" i="59"/>
  <c r="D5" i="59"/>
  <c r="C5" i="59"/>
  <c r="B5" i="59"/>
  <c r="A5" i="59"/>
  <c r="K4" i="59"/>
  <c r="J4" i="59"/>
  <c r="I4" i="59"/>
  <c r="H4" i="59"/>
  <c r="G4" i="59"/>
  <c r="F4" i="59"/>
  <c r="E4" i="59"/>
  <c r="D4" i="59"/>
  <c r="C4" i="59"/>
  <c r="B4" i="59"/>
  <c r="A4" i="59"/>
  <c r="K3" i="59"/>
  <c r="J3" i="59"/>
  <c r="I3" i="59"/>
  <c r="H3" i="59"/>
  <c r="G3" i="59"/>
  <c r="F3" i="59"/>
  <c r="E3" i="59"/>
  <c r="D3" i="59"/>
  <c r="C3" i="59"/>
  <c r="B3" i="59"/>
  <c r="A3" i="59"/>
  <c r="K2" i="59"/>
  <c r="J2" i="59"/>
  <c r="I2" i="59"/>
  <c r="H2" i="59"/>
  <c r="G2" i="59"/>
  <c r="F2" i="59"/>
  <c r="E2" i="59"/>
  <c r="D2" i="59"/>
  <c r="C2" i="59"/>
  <c r="B2" i="59"/>
  <c r="A2" i="59"/>
  <c r="M12" i="56"/>
  <c r="L12" i="56"/>
  <c r="K12" i="56"/>
  <c r="J12" i="56"/>
  <c r="I12" i="56"/>
  <c r="H12" i="56"/>
  <c r="G12" i="56"/>
  <c r="F12" i="56"/>
  <c r="E12" i="56"/>
  <c r="D12" i="56"/>
  <c r="C12" i="56"/>
  <c r="B12" i="56"/>
  <c r="A12" i="56"/>
  <c r="M11" i="56"/>
  <c r="L11" i="56"/>
  <c r="K11" i="56"/>
  <c r="J11" i="56"/>
  <c r="I11" i="56"/>
  <c r="H11" i="56"/>
  <c r="G11" i="56"/>
  <c r="F11" i="56"/>
  <c r="E11" i="56"/>
  <c r="D11" i="56"/>
  <c r="C11" i="56"/>
  <c r="B11" i="56"/>
  <c r="A11" i="56"/>
  <c r="M10" i="56"/>
  <c r="L10" i="56"/>
  <c r="K10" i="56"/>
  <c r="J10" i="56"/>
  <c r="I10" i="56"/>
  <c r="H10" i="56"/>
  <c r="G10" i="56"/>
  <c r="F10" i="56"/>
  <c r="E10" i="56"/>
  <c r="D10" i="56"/>
  <c r="C10" i="56"/>
  <c r="B10" i="56"/>
  <c r="A10" i="56"/>
  <c r="M9" i="56"/>
  <c r="L9" i="56"/>
  <c r="K9" i="56"/>
  <c r="J9" i="56"/>
  <c r="I9" i="56"/>
  <c r="H9" i="56"/>
  <c r="G9" i="56"/>
  <c r="F9" i="56"/>
  <c r="E9" i="56"/>
  <c r="D9" i="56"/>
  <c r="C9" i="56"/>
  <c r="B9" i="56"/>
  <c r="A9" i="56"/>
  <c r="M8" i="56"/>
  <c r="L8" i="56"/>
  <c r="K8" i="56"/>
  <c r="J8" i="56"/>
  <c r="I8" i="56"/>
  <c r="H8" i="56"/>
  <c r="G8" i="56"/>
  <c r="F8" i="56"/>
  <c r="E8" i="56"/>
  <c r="D8" i="56"/>
  <c r="C8" i="56"/>
  <c r="B8" i="56"/>
  <c r="A8" i="56"/>
  <c r="M7" i="56"/>
  <c r="L7" i="56"/>
  <c r="K7" i="56"/>
  <c r="J7" i="56"/>
  <c r="I7" i="56"/>
  <c r="H7" i="56"/>
  <c r="G7" i="56"/>
  <c r="F7" i="56"/>
  <c r="E7" i="56"/>
  <c r="D7" i="56"/>
  <c r="C7" i="56"/>
  <c r="B7" i="56"/>
  <c r="A7" i="56"/>
  <c r="M6" i="56"/>
  <c r="L6" i="56"/>
  <c r="K6" i="56"/>
  <c r="J6" i="56"/>
  <c r="I6" i="56"/>
  <c r="H6" i="56"/>
  <c r="G6" i="56"/>
  <c r="F6" i="56"/>
  <c r="E6" i="56"/>
  <c r="D6" i="56"/>
  <c r="C6" i="56"/>
  <c r="B6" i="56"/>
  <c r="A6" i="56"/>
  <c r="M5" i="56"/>
  <c r="L5" i="56"/>
  <c r="K5" i="56"/>
  <c r="J5" i="56"/>
  <c r="I5" i="56"/>
  <c r="H5" i="56"/>
  <c r="G5" i="56"/>
  <c r="F5" i="56"/>
  <c r="E5" i="56"/>
  <c r="D5" i="56"/>
  <c r="C5" i="56"/>
  <c r="B5" i="56"/>
  <c r="A5" i="56"/>
  <c r="M4" i="56"/>
  <c r="L4" i="56"/>
  <c r="K4" i="56"/>
  <c r="J4" i="56"/>
  <c r="I4" i="56"/>
  <c r="H4" i="56"/>
  <c r="G4" i="56"/>
  <c r="F4" i="56"/>
  <c r="E4" i="56"/>
  <c r="D4" i="56"/>
  <c r="C4" i="56"/>
  <c r="B4" i="56"/>
  <c r="A4" i="56"/>
  <c r="M3" i="56"/>
  <c r="L3" i="56"/>
  <c r="K3" i="56"/>
  <c r="J3" i="56"/>
  <c r="I3" i="56"/>
  <c r="H3" i="56"/>
  <c r="G3" i="56"/>
  <c r="F3" i="56"/>
  <c r="E3" i="56"/>
  <c r="D3" i="56"/>
  <c r="C3" i="56"/>
  <c r="B3" i="56"/>
  <c r="A3" i="56"/>
  <c r="H2" i="56"/>
  <c r="B2" i="56"/>
  <c r="A1" i="56"/>
  <c r="B29" i="26" s="1"/>
  <c r="M12" i="55"/>
  <c r="L12" i="55"/>
  <c r="K12" i="55"/>
  <c r="J12" i="55"/>
  <c r="I12" i="55"/>
  <c r="H12" i="55"/>
  <c r="G12" i="55"/>
  <c r="F12" i="55"/>
  <c r="E12" i="55"/>
  <c r="D12" i="55"/>
  <c r="C12" i="55"/>
  <c r="B12" i="55"/>
  <c r="A12" i="55"/>
  <c r="M11" i="55"/>
  <c r="L11" i="55"/>
  <c r="K11" i="55"/>
  <c r="J11" i="55"/>
  <c r="I11" i="55"/>
  <c r="H11" i="55"/>
  <c r="G11" i="55"/>
  <c r="F11" i="55"/>
  <c r="E11" i="55"/>
  <c r="D11" i="55"/>
  <c r="C11" i="55"/>
  <c r="B11" i="55"/>
  <c r="A11" i="55"/>
  <c r="M10" i="55"/>
  <c r="L10" i="55"/>
  <c r="K10" i="55"/>
  <c r="J10" i="55"/>
  <c r="I10" i="55"/>
  <c r="H10" i="55"/>
  <c r="G10" i="55"/>
  <c r="F10" i="55"/>
  <c r="E10" i="55"/>
  <c r="D10" i="55"/>
  <c r="C10" i="55"/>
  <c r="B10" i="55"/>
  <c r="A10" i="55"/>
  <c r="M9" i="55"/>
  <c r="L9" i="55"/>
  <c r="K9" i="55"/>
  <c r="J9" i="55"/>
  <c r="I9" i="55"/>
  <c r="H9" i="55"/>
  <c r="G9" i="55"/>
  <c r="F9" i="55"/>
  <c r="E9" i="55"/>
  <c r="D9" i="55"/>
  <c r="C9" i="55"/>
  <c r="B9" i="55"/>
  <c r="A9" i="55"/>
  <c r="M8" i="55"/>
  <c r="L8" i="55"/>
  <c r="K8" i="55"/>
  <c r="J8" i="55"/>
  <c r="I8" i="55"/>
  <c r="H8" i="55"/>
  <c r="G8" i="55"/>
  <c r="F8" i="55"/>
  <c r="E8" i="55"/>
  <c r="D8" i="55"/>
  <c r="C8" i="55"/>
  <c r="B8" i="55"/>
  <c r="A8" i="55"/>
  <c r="M7" i="55"/>
  <c r="L7" i="55"/>
  <c r="K7" i="55"/>
  <c r="J7" i="55"/>
  <c r="I7" i="55"/>
  <c r="H7" i="55"/>
  <c r="G7" i="55"/>
  <c r="F7" i="55"/>
  <c r="E7" i="55"/>
  <c r="D7" i="55"/>
  <c r="C7" i="55"/>
  <c r="B7" i="55"/>
  <c r="A7" i="55"/>
  <c r="M6" i="55"/>
  <c r="L6" i="55"/>
  <c r="K6" i="55"/>
  <c r="J6" i="55"/>
  <c r="I6" i="55"/>
  <c r="H6" i="55"/>
  <c r="G6" i="55"/>
  <c r="F6" i="55"/>
  <c r="E6" i="55"/>
  <c r="D6" i="55"/>
  <c r="C6" i="55"/>
  <c r="B6" i="55"/>
  <c r="A6" i="55"/>
  <c r="M5" i="55"/>
  <c r="L5" i="55"/>
  <c r="K5" i="55"/>
  <c r="J5" i="55"/>
  <c r="I5" i="55"/>
  <c r="H5" i="55"/>
  <c r="G5" i="55"/>
  <c r="F5" i="55"/>
  <c r="E5" i="55"/>
  <c r="D5" i="55"/>
  <c r="C5" i="55"/>
  <c r="B5" i="55"/>
  <c r="A5" i="55"/>
  <c r="M4" i="55"/>
  <c r="L4" i="55"/>
  <c r="K4" i="55"/>
  <c r="J4" i="55"/>
  <c r="I4" i="55"/>
  <c r="H4" i="55"/>
  <c r="G4" i="55"/>
  <c r="F4" i="55"/>
  <c r="E4" i="55"/>
  <c r="D4" i="55"/>
  <c r="C4" i="55"/>
  <c r="B4" i="55"/>
  <c r="A4" i="55"/>
  <c r="M3" i="55"/>
  <c r="L3" i="55"/>
  <c r="K3" i="55"/>
  <c r="J3" i="55"/>
  <c r="I3" i="55"/>
  <c r="H3" i="55"/>
  <c r="G3" i="55"/>
  <c r="F3" i="55"/>
  <c r="E3" i="55"/>
  <c r="D3" i="55"/>
  <c r="C3" i="55"/>
  <c r="B3" i="55"/>
  <c r="A3" i="55"/>
  <c r="H2" i="55"/>
  <c r="B2" i="55"/>
  <c r="A1" i="55"/>
  <c r="B28" i="26" s="1"/>
  <c r="J12" i="27"/>
  <c r="I12" i="27"/>
  <c r="H12" i="27"/>
  <c r="G12" i="27"/>
  <c r="F12" i="27"/>
  <c r="E12" i="27"/>
  <c r="D12" i="27"/>
  <c r="C12" i="27"/>
  <c r="B12" i="27"/>
  <c r="J11" i="27"/>
  <c r="I11" i="27"/>
  <c r="H11" i="27"/>
  <c r="G11" i="27"/>
  <c r="F11" i="27"/>
  <c r="E11" i="27"/>
  <c r="D11" i="27"/>
  <c r="C11" i="27"/>
  <c r="B11" i="27"/>
  <c r="J10" i="27"/>
  <c r="I10" i="27"/>
  <c r="H10" i="27"/>
  <c r="G10" i="27"/>
  <c r="F10" i="27"/>
  <c r="E10" i="27"/>
  <c r="D10" i="27"/>
  <c r="C10" i="27"/>
  <c r="B10" i="27"/>
  <c r="J9" i="27"/>
  <c r="I9" i="27"/>
  <c r="H9" i="27"/>
  <c r="G9" i="27"/>
  <c r="F9" i="27"/>
  <c r="E9" i="27"/>
  <c r="D9" i="27"/>
  <c r="C9" i="27"/>
  <c r="B9" i="27"/>
  <c r="J8" i="27"/>
  <c r="I8" i="27"/>
  <c r="H8" i="27"/>
  <c r="G8" i="27"/>
  <c r="F8" i="27"/>
  <c r="E8" i="27"/>
  <c r="D8" i="27"/>
  <c r="C8" i="27"/>
  <c r="B8" i="27"/>
  <c r="J7" i="27"/>
  <c r="I7" i="27"/>
  <c r="H7" i="27"/>
  <c r="G7" i="27"/>
  <c r="F7" i="27"/>
  <c r="E7" i="27"/>
  <c r="D7" i="27"/>
  <c r="C7" i="27"/>
  <c r="B7" i="27"/>
  <c r="J6" i="27"/>
  <c r="I6" i="27"/>
  <c r="H6" i="27"/>
  <c r="G6" i="27"/>
  <c r="F6" i="27"/>
  <c r="E6" i="27"/>
  <c r="D6" i="27"/>
  <c r="C6" i="27"/>
  <c r="B6" i="27"/>
  <c r="J5" i="27"/>
  <c r="I5" i="27"/>
  <c r="H5" i="27"/>
  <c r="G5" i="27"/>
  <c r="F5" i="27"/>
  <c r="E5" i="27"/>
  <c r="D5" i="27"/>
  <c r="C5" i="27"/>
  <c r="B5" i="27"/>
  <c r="J4" i="27"/>
  <c r="I4" i="27"/>
  <c r="H4" i="27"/>
  <c r="G4" i="27"/>
  <c r="F4" i="27"/>
  <c r="E4" i="27"/>
  <c r="D4" i="27"/>
  <c r="C4" i="27"/>
  <c r="B4" i="27"/>
  <c r="J3" i="27"/>
  <c r="I3" i="27"/>
  <c r="H3" i="27"/>
  <c r="G3" i="27"/>
  <c r="F3" i="27"/>
  <c r="E3" i="27"/>
  <c r="D3" i="27"/>
  <c r="C3" i="27"/>
  <c r="B3" i="27"/>
  <c r="J2" i="27"/>
  <c r="I2" i="27"/>
  <c r="H2" i="27"/>
  <c r="G2" i="27"/>
  <c r="F2" i="27"/>
  <c r="E2" i="27"/>
  <c r="D2" i="27"/>
  <c r="C2" i="27"/>
  <c r="B2" i="27"/>
  <c r="G22" i="28"/>
  <c r="F22" i="28"/>
  <c r="E22" i="28"/>
  <c r="D22" i="28"/>
  <c r="C22" i="28"/>
  <c r="B22" i="28"/>
  <c r="G21" i="28"/>
  <c r="F21" i="28"/>
  <c r="E21" i="28"/>
  <c r="D21" i="28"/>
  <c r="C21" i="28"/>
  <c r="B21" i="28"/>
  <c r="G20" i="28"/>
  <c r="F20" i="28"/>
  <c r="E20" i="28"/>
  <c r="D20" i="28"/>
  <c r="C20" i="28"/>
  <c r="B20" i="28"/>
  <c r="G19" i="28"/>
  <c r="F19" i="28"/>
  <c r="E19" i="28"/>
  <c r="D19" i="28"/>
  <c r="C19" i="28"/>
  <c r="B19" i="28"/>
  <c r="G18" i="28"/>
  <c r="F18" i="28"/>
  <c r="E18" i="28"/>
  <c r="D18" i="28"/>
  <c r="C18" i="28"/>
  <c r="B18" i="28"/>
  <c r="G17" i="28"/>
  <c r="F17" i="28"/>
  <c r="E17" i="28"/>
  <c r="D17" i="28"/>
  <c r="C17" i="28"/>
  <c r="B17" i="28"/>
  <c r="G16" i="28"/>
  <c r="F16" i="28"/>
  <c r="E16" i="28"/>
  <c r="D16" i="28"/>
  <c r="C16" i="28"/>
  <c r="B16" i="28"/>
  <c r="G15" i="28"/>
  <c r="F15" i="28"/>
  <c r="E15" i="28"/>
  <c r="D15" i="28"/>
  <c r="C15" i="28"/>
  <c r="B15" i="28"/>
  <c r="G14" i="28"/>
  <c r="F14" i="28"/>
  <c r="E14" i="28"/>
  <c r="D14" i="28"/>
  <c r="C14" i="28"/>
  <c r="B14" i="28"/>
  <c r="G13" i="28"/>
  <c r="F13" i="28"/>
  <c r="E13" i="28"/>
  <c r="D13" i="28"/>
  <c r="C13" i="28"/>
  <c r="B13" i="28"/>
  <c r="G12" i="28"/>
  <c r="F12" i="28"/>
  <c r="E12" i="28"/>
  <c r="D12" i="28"/>
  <c r="C12" i="28"/>
  <c r="B12" i="28"/>
  <c r="G11" i="28"/>
  <c r="F11" i="28"/>
  <c r="E11" i="28"/>
  <c r="D11" i="28"/>
  <c r="C11" i="28"/>
  <c r="B11" i="28"/>
  <c r="G10" i="28"/>
  <c r="F10" i="28"/>
  <c r="E10" i="28"/>
  <c r="D10" i="28"/>
  <c r="C10" i="28"/>
  <c r="B10" i="28"/>
  <c r="G9" i="28"/>
  <c r="F9" i="28"/>
  <c r="E9" i="28"/>
  <c r="D9" i="28"/>
  <c r="C9" i="28"/>
  <c r="B9" i="28"/>
  <c r="G8" i="28"/>
  <c r="F8" i="28"/>
  <c r="E8" i="28"/>
  <c r="D8" i="28"/>
  <c r="C8" i="28"/>
  <c r="B8" i="28"/>
  <c r="G7" i="28"/>
  <c r="F7" i="28"/>
  <c r="E7" i="28"/>
  <c r="D7" i="28"/>
  <c r="C7" i="28"/>
  <c r="B7" i="28"/>
  <c r="G6" i="28"/>
  <c r="F6" i="28"/>
  <c r="E6" i="28"/>
  <c r="D6" i="28"/>
  <c r="C6" i="28"/>
  <c r="B6" i="28"/>
  <c r="G5" i="28"/>
  <c r="F5" i="28"/>
  <c r="E5" i="28"/>
  <c r="D5" i="28"/>
  <c r="C5" i="28"/>
  <c r="B5" i="28"/>
  <c r="G4" i="28"/>
  <c r="F4" i="28"/>
  <c r="E4" i="28"/>
  <c r="D4" i="28"/>
  <c r="C4" i="28"/>
  <c r="B4" i="28"/>
  <c r="G3" i="28"/>
  <c r="F3" i="28"/>
  <c r="E3" i="28"/>
  <c r="D3" i="28"/>
  <c r="C3" i="28"/>
  <c r="B3" i="28"/>
  <c r="G2" i="28"/>
  <c r="F2" i="28"/>
  <c r="E2" i="28"/>
  <c r="D2" i="28"/>
  <c r="C2" i="28"/>
  <c r="B2" i="28"/>
  <c r="A1" i="28"/>
  <c r="B26" i="26" s="1"/>
  <c r="G22" i="30"/>
  <c r="F22" i="30"/>
  <c r="E22" i="30"/>
  <c r="D22" i="30"/>
  <c r="C22" i="30"/>
  <c r="B22" i="30"/>
  <c r="A22" i="30"/>
  <c r="G21" i="30"/>
  <c r="F21" i="30"/>
  <c r="E21" i="30"/>
  <c r="D21" i="30"/>
  <c r="C21" i="30"/>
  <c r="B21" i="30"/>
  <c r="A21" i="30"/>
  <c r="G20" i="30"/>
  <c r="F20" i="30"/>
  <c r="E20" i="30"/>
  <c r="D20" i="30"/>
  <c r="C20" i="30"/>
  <c r="B20" i="30"/>
  <c r="A20" i="30"/>
  <c r="G19" i="30"/>
  <c r="F19" i="30"/>
  <c r="E19" i="30"/>
  <c r="D19" i="30"/>
  <c r="C19" i="30"/>
  <c r="B19" i="30"/>
  <c r="A19" i="30"/>
  <c r="G18" i="30"/>
  <c r="F18" i="30"/>
  <c r="E18" i="30"/>
  <c r="D18" i="30"/>
  <c r="C18" i="30"/>
  <c r="B18" i="30"/>
  <c r="A18" i="30"/>
  <c r="G17" i="30"/>
  <c r="F17" i="30"/>
  <c r="E17" i="30"/>
  <c r="D17" i="30"/>
  <c r="C17" i="30"/>
  <c r="B17" i="30"/>
  <c r="A17" i="30"/>
  <c r="G16" i="30"/>
  <c r="F16" i="30"/>
  <c r="E16" i="30"/>
  <c r="D16" i="30"/>
  <c r="C16" i="30"/>
  <c r="B16" i="30"/>
  <c r="A16" i="30"/>
  <c r="G15" i="30"/>
  <c r="F15" i="30"/>
  <c r="E15" i="30"/>
  <c r="D15" i="30"/>
  <c r="C15" i="30"/>
  <c r="B15" i="30"/>
  <c r="A15" i="30"/>
  <c r="G14" i="30"/>
  <c r="F14" i="30"/>
  <c r="E14" i="30"/>
  <c r="D14" i="30"/>
  <c r="C14" i="30"/>
  <c r="B14" i="30"/>
  <c r="A14" i="30"/>
  <c r="G13" i="30"/>
  <c r="F13" i="30"/>
  <c r="E13" i="30"/>
  <c r="D13" i="30"/>
  <c r="C13" i="30"/>
  <c r="B13" i="30"/>
  <c r="A13" i="30"/>
  <c r="G12" i="30"/>
  <c r="F12" i="30"/>
  <c r="E12" i="30"/>
  <c r="D12" i="30"/>
  <c r="C12" i="30"/>
  <c r="B12" i="30"/>
  <c r="A12" i="30"/>
  <c r="G11" i="30"/>
  <c r="F11" i="30"/>
  <c r="E11" i="30"/>
  <c r="D11" i="30"/>
  <c r="C11" i="30"/>
  <c r="B11" i="30"/>
  <c r="A11" i="30"/>
  <c r="G10" i="30"/>
  <c r="F10" i="30"/>
  <c r="E10" i="30"/>
  <c r="D10" i="30"/>
  <c r="C10" i="30"/>
  <c r="B10" i="30"/>
  <c r="A10" i="30"/>
  <c r="G9" i="30"/>
  <c r="F9" i="30"/>
  <c r="E9" i="30"/>
  <c r="D9" i="30"/>
  <c r="C9" i="30"/>
  <c r="B9" i="30"/>
  <c r="A9" i="30"/>
  <c r="G8" i="30"/>
  <c r="F8" i="30"/>
  <c r="E8" i="30"/>
  <c r="D8" i="30"/>
  <c r="C8" i="30"/>
  <c r="B8" i="30"/>
  <c r="A8" i="30"/>
  <c r="G7" i="30"/>
  <c r="F7" i="30"/>
  <c r="E7" i="30"/>
  <c r="D7" i="30"/>
  <c r="C7" i="30"/>
  <c r="B7" i="30"/>
  <c r="A7" i="30"/>
  <c r="G6" i="30"/>
  <c r="F6" i="30"/>
  <c r="E6" i="30"/>
  <c r="D6" i="30"/>
  <c r="C6" i="30"/>
  <c r="B6" i="30"/>
  <c r="A6" i="30"/>
  <c r="G5" i="30"/>
  <c r="F5" i="30"/>
  <c r="E5" i="30"/>
  <c r="D5" i="30"/>
  <c r="C5" i="30"/>
  <c r="B5" i="30"/>
  <c r="A5" i="30"/>
  <c r="G4" i="30"/>
  <c r="F4" i="30"/>
  <c r="E4" i="30"/>
  <c r="D4" i="30"/>
  <c r="C4" i="30"/>
  <c r="B4" i="30"/>
  <c r="A4" i="30"/>
  <c r="G3" i="30"/>
  <c r="F3" i="30"/>
  <c r="E3" i="30"/>
  <c r="D3" i="30"/>
  <c r="C3" i="30"/>
  <c r="B3" i="30"/>
  <c r="A3" i="30"/>
  <c r="G22" i="29"/>
  <c r="F22" i="29"/>
  <c r="E22" i="29"/>
  <c r="D22" i="29"/>
  <c r="C22" i="29"/>
  <c r="B22" i="29"/>
  <c r="A22" i="29"/>
  <c r="G21" i="29"/>
  <c r="F21" i="29"/>
  <c r="E21" i="29"/>
  <c r="D21" i="29"/>
  <c r="C21" i="29"/>
  <c r="B21" i="29"/>
  <c r="A21" i="29"/>
  <c r="G20" i="29"/>
  <c r="F20" i="29"/>
  <c r="E20" i="29"/>
  <c r="D20" i="29"/>
  <c r="C20" i="29"/>
  <c r="B20" i="29"/>
  <c r="A20" i="29"/>
  <c r="G19" i="29"/>
  <c r="F19" i="29"/>
  <c r="E19" i="29"/>
  <c r="D19" i="29"/>
  <c r="C19" i="29"/>
  <c r="B19" i="29"/>
  <c r="A19" i="29"/>
  <c r="G18" i="29"/>
  <c r="F18" i="29"/>
  <c r="E18" i="29"/>
  <c r="D18" i="29"/>
  <c r="C18" i="29"/>
  <c r="B18" i="29"/>
  <c r="A18" i="29"/>
  <c r="G17" i="29"/>
  <c r="F17" i="29"/>
  <c r="E17" i="29"/>
  <c r="D17" i="29"/>
  <c r="C17" i="29"/>
  <c r="B17" i="29"/>
  <c r="A17" i="29"/>
  <c r="G16" i="29"/>
  <c r="F16" i="29"/>
  <c r="E16" i="29"/>
  <c r="D16" i="29"/>
  <c r="C16" i="29"/>
  <c r="B16" i="29"/>
  <c r="A16" i="29"/>
  <c r="G15" i="29"/>
  <c r="F15" i="29"/>
  <c r="E15" i="29"/>
  <c r="D15" i="29"/>
  <c r="C15" i="29"/>
  <c r="B15" i="29"/>
  <c r="A15" i="29"/>
  <c r="G14" i="29"/>
  <c r="F14" i="29"/>
  <c r="E14" i="29"/>
  <c r="D14" i="29"/>
  <c r="C14" i="29"/>
  <c r="B14" i="29"/>
  <c r="A14" i="29"/>
  <c r="G13" i="29"/>
  <c r="F13" i="29"/>
  <c r="E13" i="29"/>
  <c r="D13" i="29"/>
  <c r="C13" i="29"/>
  <c r="B13" i="29"/>
  <c r="A13" i="29"/>
  <c r="G12" i="29"/>
  <c r="F12" i="29"/>
  <c r="E12" i="29"/>
  <c r="D12" i="29"/>
  <c r="C12" i="29"/>
  <c r="B12" i="29"/>
  <c r="A12" i="29"/>
  <c r="G11" i="29"/>
  <c r="F11" i="29"/>
  <c r="E11" i="29"/>
  <c r="D11" i="29"/>
  <c r="C11" i="29"/>
  <c r="B11" i="29"/>
  <c r="A11" i="29"/>
  <c r="G10" i="29"/>
  <c r="F10" i="29"/>
  <c r="E10" i="29"/>
  <c r="D10" i="29"/>
  <c r="C10" i="29"/>
  <c r="B10" i="29"/>
  <c r="A10" i="29"/>
  <c r="G9" i="29"/>
  <c r="F9" i="29"/>
  <c r="E9" i="29"/>
  <c r="D9" i="29"/>
  <c r="C9" i="29"/>
  <c r="B9" i="29"/>
  <c r="A9" i="29"/>
  <c r="G8" i="29"/>
  <c r="F8" i="29"/>
  <c r="E8" i="29"/>
  <c r="D8" i="29"/>
  <c r="C8" i="29"/>
  <c r="B8" i="29"/>
  <c r="A8" i="29"/>
  <c r="G7" i="29"/>
  <c r="F7" i="29"/>
  <c r="E7" i="29"/>
  <c r="D7" i="29"/>
  <c r="C7" i="29"/>
  <c r="B7" i="29"/>
  <c r="A7" i="29"/>
  <c r="G6" i="29"/>
  <c r="F6" i="29"/>
  <c r="E6" i="29"/>
  <c r="D6" i="29"/>
  <c r="C6" i="29"/>
  <c r="B6" i="29"/>
  <c r="A6" i="29"/>
  <c r="G5" i="29"/>
  <c r="F5" i="29"/>
  <c r="E5" i="29"/>
  <c r="D5" i="29"/>
  <c r="C5" i="29"/>
  <c r="B5" i="29"/>
  <c r="A5" i="29"/>
  <c r="G4" i="29"/>
  <c r="F4" i="29"/>
  <c r="E4" i="29"/>
  <c r="D4" i="29"/>
  <c r="C4" i="29"/>
  <c r="B4" i="29"/>
  <c r="A4" i="29"/>
  <c r="G3" i="29"/>
  <c r="F3" i="29"/>
  <c r="E3" i="29"/>
  <c r="D3" i="29"/>
  <c r="C3" i="29"/>
  <c r="B3" i="29"/>
  <c r="A3" i="29"/>
  <c r="G2" i="29"/>
  <c r="F2" i="29"/>
  <c r="E2" i="29"/>
  <c r="D2" i="29"/>
  <c r="C2" i="29"/>
  <c r="B2" i="29"/>
  <c r="B3" i="34"/>
  <c r="K2" i="34"/>
  <c r="J2" i="34"/>
  <c r="I2" i="34"/>
  <c r="H2" i="34"/>
  <c r="G2" i="34"/>
  <c r="F2" i="34"/>
  <c r="E2" i="34"/>
  <c r="C2" i="34"/>
  <c r="B2" i="34"/>
  <c r="A2" i="34"/>
  <c r="A1" i="34"/>
  <c r="J11" i="33"/>
  <c r="I11" i="33"/>
  <c r="H11" i="33"/>
  <c r="G11" i="33"/>
  <c r="F11" i="33"/>
  <c r="E11" i="33"/>
  <c r="D11" i="33"/>
  <c r="C11" i="33"/>
  <c r="B11" i="33"/>
  <c r="A11" i="33"/>
  <c r="J10" i="33"/>
  <c r="I10" i="33"/>
  <c r="H10" i="33"/>
  <c r="G10" i="33"/>
  <c r="F10" i="33"/>
  <c r="E10" i="33"/>
  <c r="D10" i="33"/>
  <c r="C10" i="33"/>
  <c r="B10" i="33"/>
  <c r="A10" i="33"/>
  <c r="J9" i="33"/>
  <c r="I9" i="33"/>
  <c r="H9" i="33"/>
  <c r="G9" i="33"/>
  <c r="F9" i="33"/>
  <c r="E9" i="33"/>
  <c r="D9" i="33"/>
  <c r="C9" i="33"/>
  <c r="B9" i="33"/>
  <c r="A9" i="33"/>
  <c r="J8" i="33"/>
  <c r="I8" i="33"/>
  <c r="H8" i="33"/>
  <c r="G8" i="33"/>
  <c r="F8" i="33"/>
  <c r="E8" i="33"/>
  <c r="D8" i="33"/>
  <c r="C8" i="33"/>
  <c r="B8" i="33"/>
  <c r="A8" i="33"/>
  <c r="J7" i="33"/>
  <c r="I7" i="33"/>
  <c r="H7" i="33"/>
  <c r="G7" i="33"/>
  <c r="F7" i="33"/>
  <c r="E7" i="33"/>
  <c r="D7" i="33"/>
  <c r="C7" i="33"/>
  <c r="B7" i="33"/>
  <c r="A7" i="33"/>
  <c r="J6" i="33"/>
  <c r="I6" i="33"/>
  <c r="H6" i="33"/>
  <c r="G6" i="33"/>
  <c r="F6" i="33"/>
  <c r="E6" i="33"/>
  <c r="D6" i="33"/>
  <c r="C6" i="33"/>
  <c r="B6" i="33"/>
  <c r="A6" i="33"/>
  <c r="J5" i="33"/>
  <c r="I5" i="33"/>
  <c r="H5" i="33"/>
  <c r="G5" i="33"/>
  <c r="F5" i="33"/>
  <c r="E5" i="33"/>
  <c r="D5" i="33"/>
  <c r="C5" i="33"/>
  <c r="B5" i="33"/>
  <c r="A5" i="33"/>
  <c r="J4" i="33"/>
  <c r="I4" i="33"/>
  <c r="H4" i="33"/>
  <c r="G4" i="33"/>
  <c r="F4" i="33"/>
  <c r="E4" i="33"/>
  <c r="D4" i="33"/>
  <c r="C4" i="33"/>
  <c r="B4" i="33"/>
  <c r="A4" i="33"/>
  <c r="J3" i="33"/>
  <c r="I3" i="33"/>
  <c r="H3" i="33"/>
  <c r="G3" i="33"/>
  <c r="F3" i="33"/>
  <c r="E3" i="33"/>
  <c r="D3" i="33"/>
  <c r="C3" i="33"/>
  <c r="B3" i="33"/>
  <c r="A3" i="33"/>
  <c r="J2" i="33"/>
  <c r="I2" i="33"/>
  <c r="H2" i="33"/>
  <c r="G2" i="33"/>
  <c r="F2" i="33"/>
  <c r="E2" i="33"/>
  <c r="D2" i="33"/>
  <c r="C2" i="33"/>
  <c r="B2" i="33"/>
  <c r="A1" i="33"/>
  <c r="B21" i="26" s="1"/>
  <c r="J11" i="32"/>
  <c r="I11" i="32"/>
  <c r="H11" i="32"/>
  <c r="G11" i="32"/>
  <c r="F11" i="32"/>
  <c r="E11" i="32"/>
  <c r="D11" i="32"/>
  <c r="C11" i="32"/>
  <c r="B11" i="32"/>
  <c r="A11" i="32"/>
  <c r="J10" i="32"/>
  <c r="I10" i="32"/>
  <c r="H10" i="32"/>
  <c r="G10" i="32"/>
  <c r="F10" i="32"/>
  <c r="E10" i="32"/>
  <c r="D10" i="32"/>
  <c r="C10" i="32"/>
  <c r="B10" i="32"/>
  <c r="A10" i="32"/>
  <c r="J9" i="32"/>
  <c r="I9" i="32"/>
  <c r="H9" i="32"/>
  <c r="G9" i="32"/>
  <c r="F9" i="32"/>
  <c r="E9" i="32"/>
  <c r="D9" i="32"/>
  <c r="C9" i="32"/>
  <c r="B9" i="32"/>
  <c r="A9" i="32"/>
  <c r="J8" i="32"/>
  <c r="I8" i="32"/>
  <c r="H8" i="32"/>
  <c r="G8" i="32"/>
  <c r="F8" i="32"/>
  <c r="E8" i="32"/>
  <c r="D8" i="32"/>
  <c r="C8" i="32"/>
  <c r="B8" i="32"/>
  <c r="A8" i="32"/>
  <c r="J7" i="32"/>
  <c r="I7" i="32"/>
  <c r="H7" i="32"/>
  <c r="G7" i="32"/>
  <c r="F7" i="32"/>
  <c r="E7" i="32"/>
  <c r="D7" i="32"/>
  <c r="C7" i="32"/>
  <c r="B7" i="32"/>
  <c r="A7" i="32"/>
  <c r="J6" i="32"/>
  <c r="I6" i="32"/>
  <c r="H6" i="32"/>
  <c r="G6" i="32"/>
  <c r="F6" i="32"/>
  <c r="E6" i="32"/>
  <c r="D6" i="32"/>
  <c r="C6" i="32"/>
  <c r="B6" i="32"/>
  <c r="A6" i="32"/>
  <c r="J5" i="32"/>
  <c r="I5" i="32"/>
  <c r="H5" i="32"/>
  <c r="G5" i="32"/>
  <c r="F5" i="32"/>
  <c r="E5" i="32"/>
  <c r="D5" i="32"/>
  <c r="C5" i="32"/>
  <c r="B5" i="32"/>
  <c r="A5" i="32"/>
  <c r="J4" i="32"/>
  <c r="I4" i="32"/>
  <c r="H4" i="32"/>
  <c r="G4" i="32"/>
  <c r="F4" i="32"/>
  <c r="E4" i="32"/>
  <c r="D4" i="32"/>
  <c r="C4" i="32"/>
  <c r="B4" i="32"/>
  <c r="A4" i="32"/>
  <c r="J3" i="32"/>
  <c r="I3" i="32"/>
  <c r="H3" i="32"/>
  <c r="G3" i="32"/>
  <c r="F3" i="32"/>
  <c r="E3" i="32"/>
  <c r="D3" i="32"/>
  <c r="C3" i="32"/>
  <c r="B3" i="32"/>
  <c r="A3" i="32"/>
  <c r="J2" i="32"/>
  <c r="I2" i="32"/>
  <c r="H2" i="32"/>
  <c r="G2" i="32"/>
  <c r="F2" i="32"/>
  <c r="E2" i="32"/>
  <c r="D2" i="32"/>
  <c r="C2" i="32"/>
  <c r="B2" i="32"/>
  <c r="J11" i="31"/>
  <c r="I11" i="31"/>
  <c r="H11" i="31"/>
  <c r="G11" i="31"/>
  <c r="F11" i="31"/>
  <c r="E11" i="31"/>
  <c r="D11" i="31"/>
  <c r="C11" i="31"/>
  <c r="B11" i="31"/>
  <c r="A11" i="31"/>
  <c r="J10" i="31"/>
  <c r="I10" i="31"/>
  <c r="H10" i="31"/>
  <c r="G10" i="31"/>
  <c r="F10" i="31"/>
  <c r="E10" i="31"/>
  <c r="D10" i="31"/>
  <c r="C10" i="31"/>
  <c r="B10" i="31"/>
  <c r="A10" i="31"/>
  <c r="J9" i="31"/>
  <c r="I9" i="31"/>
  <c r="H9" i="31"/>
  <c r="G9" i="31"/>
  <c r="F9" i="31"/>
  <c r="E9" i="31"/>
  <c r="D9" i="31"/>
  <c r="C9" i="31"/>
  <c r="B9" i="31"/>
  <c r="A9" i="31"/>
  <c r="J8" i="31"/>
  <c r="I8" i="31"/>
  <c r="H8" i="31"/>
  <c r="G8" i="31"/>
  <c r="F8" i="31"/>
  <c r="E8" i="31"/>
  <c r="D8" i="31"/>
  <c r="C8" i="31"/>
  <c r="B8" i="31"/>
  <c r="A8" i="31"/>
  <c r="J7" i="31"/>
  <c r="I7" i="31"/>
  <c r="H7" i="31"/>
  <c r="G7" i="31"/>
  <c r="F7" i="31"/>
  <c r="E7" i="31"/>
  <c r="D7" i="31"/>
  <c r="C7" i="31"/>
  <c r="B7" i="31"/>
  <c r="A7" i="31"/>
  <c r="J6" i="31"/>
  <c r="I6" i="31"/>
  <c r="H6" i="31"/>
  <c r="G6" i="31"/>
  <c r="F6" i="31"/>
  <c r="E6" i="31"/>
  <c r="D6" i="31"/>
  <c r="C6" i="31"/>
  <c r="B6" i="31"/>
  <c r="A6" i="31"/>
  <c r="J5" i="31"/>
  <c r="I5" i="31"/>
  <c r="H5" i="31"/>
  <c r="G5" i="31"/>
  <c r="F5" i="31"/>
  <c r="E5" i="31"/>
  <c r="D5" i="31"/>
  <c r="C5" i="31"/>
  <c r="B5" i="31"/>
  <c r="A5" i="31"/>
  <c r="J4" i="31"/>
  <c r="I4" i="31"/>
  <c r="H4" i="31"/>
  <c r="G4" i="31"/>
  <c r="F4" i="31"/>
  <c r="E4" i="31"/>
  <c r="D4" i="31"/>
  <c r="C4" i="31"/>
  <c r="B4" i="31"/>
  <c r="A4" i="31"/>
  <c r="J3" i="31"/>
  <c r="I3" i="31"/>
  <c r="H3" i="31"/>
  <c r="G3" i="31"/>
  <c r="F3" i="31"/>
  <c r="E3" i="31"/>
  <c r="D3" i="31"/>
  <c r="C3" i="31"/>
  <c r="B3" i="31"/>
  <c r="A3" i="31"/>
  <c r="J2" i="31"/>
  <c r="I2" i="31"/>
  <c r="H2" i="31"/>
  <c r="G2" i="31"/>
  <c r="F2" i="31"/>
  <c r="E2" i="31"/>
  <c r="D2" i="31"/>
  <c r="C2" i="31"/>
  <c r="B2" i="31"/>
  <c r="A1" i="31"/>
  <c r="B19" i="26" s="1"/>
  <c r="J11" i="35"/>
  <c r="I11" i="35"/>
  <c r="H11" i="35"/>
  <c r="G11" i="35"/>
  <c r="F11" i="35"/>
  <c r="E11" i="35"/>
  <c r="D11" i="35"/>
  <c r="C11" i="35"/>
  <c r="B11" i="35"/>
  <c r="A11" i="35"/>
  <c r="J10" i="35"/>
  <c r="I10" i="35"/>
  <c r="H10" i="35"/>
  <c r="G10" i="35"/>
  <c r="F10" i="35"/>
  <c r="E10" i="35"/>
  <c r="D10" i="35"/>
  <c r="C10" i="35"/>
  <c r="B10" i="35"/>
  <c r="A10" i="35"/>
  <c r="J9" i="35"/>
  <c r="I9" i="35"/>
  <c r="H9" i="35"/>
  <c r="G9" i="35"/>
  <c r="F9" i="35"/>
  <c r="E9" i="35"/>
  <c r="D9" i="35"/>
  <c r="C9" i="35"/>
  <c r="B9" i="35"/>
  <c r="A9" i="35"/>
  <c r="J8" i="35"/>
  <c r="I8" i="35"/>
  <c r="H8" i="35"/>
  <c r="G8" i="35"/>
  <c r="F8" i="35"/>
  <c r="E8" i="35"/>
  <c r="D8" i="35"/>
  <c r="C8" i="35"/>
  <c r="B8" i="35"/>
  <c r="A8" i="35"/>
  <c r="J7" i="35"/>
  <c r="I7" i="35"/>
  <c r="H7" i="35"/>
  <c r="G7" i="35"/>
  <c r="F7" i="35"/>
  <c r="E7" i="35"/>
  <c r="D7" i="35"/>
  <c r="C7" i="35"/>
  <c r="B7" i="35"/>
  <c r="A7" i="35"/>
  <c r="J6" i="35"/>
  <c r="I6" i="35"/>
  <c r="H6" i="35"/>
  <c r="G6" i="35"/>
  <c r="F6" i="35"/>
  <c r="E6" i="35"/>
  <c r="D6" i="35"/>
  <c r="C6" i="35"/>
  <c r="B6" i="35"/>
  <c r="A6" i="35"/>
  <c r="J5" i="35"/>
  <c r="I5" i="35"/>
  <c r="H5" i="35"/>
  <c r="G5" i="35"/>
  <c r="F5" i="35"/>
  <c r="E5" i="35"/>
  <c r="D5" i="35"/>
  <c r="C5" i="35"/>
  <c r="B5" i="35"/>
  <c r="A5" i="35"/>
  <c r="J4" i="35"/>
  <c r="I4" i="35"/>
  <c r="H4" i="35"/>
  <c r="G4" i="35"/>
  <c r="F4" i="35"/>
  <c r="E4" i="35"/>
  <c r="D4" i="35"/>
  <c r="C4" i="35"/>
  <c r="B4" i="35"/>
  <c r="A4" i="35"/>
  <c r="J3" i="35"/>
  <c r="I3" i="35"/>
  <c r="H3" i="35"/>
  <c r="G3" i="35"/>
  <c r="F3" i="35"/>
  <c r="E3" i="35"/>
  <c r="D3" i="35"/>
  <c r="C3" i="35"/>
  <c r="B3" i="35"/>
  <c r="A3" i="35"/>
  <c r="J2" i="35"/>
  <c r="I2" i="35"/>
  <c r="H2" i="35"/>
  <c r="G2" i="35"/>
  <c r="F2" i="35"/>
  <c r="E2" i="35"/>
  <c r="D2" i="35"/>
  <c r="C2" i="35"/>
  <c r="B2" i="35"/>
  <c r="A1" i="35"/>
  <c r="K11" i="39"/>
  <c r="J11" i="39"/>
  <c r="I11" i="39"/>
  <c r="H11" i="39"/>
  <c r="G11" i="39"/>
  <c r="F11" i="39"/>
  <c r="E11" i="39"/>
  <c r="D11" i="39"/>
  <c r="C11" i="39"/>
  <c r="B11" i="39"/>
  <c r="A11" i="39"/>
  <c r="K10" i="39"/>
  <c r="J10" i="39"/>
  <c r="I10" i="39"/>
  <c r="H10" i="39"/>
  <c r="G10" i="39"/>
  <c r="F10" i="39"/>
  <c r="E10" i="39"/>
  <c r="D10" i="39"/>
  <c r="C10" i="39"/>
  <c r="B10" i="39"/>
  <c r="A10" i="39"/>
  <c r="K9" i="39"/>
  <c r="J9" i="39"/>
  <c r="I9" i="39"/>
  <c r="H9" i="39"/>
  <c r="G9" i="39"/>
  <c r="F9" i="39"/>
  <c r="E9" i="39"/>
  <c r="D9" i="39"/>
  <c r="C9" i="39"/>
  <c r="B9" i="39"/>
  <c r="A9" i="39"/>
  <c r="K8" i="39"/>
  <c r="J8" i="39"/>
  <c r="I8" i="39"/>
  <c r="H8" i="39"/>
  <c r="G8" i="39"/>
  <c r="F8" i="39"/>
  <c r="E8" i="39"/>
  <c r="D8" i="39"/>
  <c r="C8" i="39"/>
  <c r="B8" i="39"/>
  <c r="A8" i="39"/>
  <c r="K7" i="39"/>
  <c r="J7" i="39"/>
  <c r="I7" i="39"/>
  <c r="H7" i="39"/>
  <c r="G7" i="39"/>
  <c r="F7" i="39"/>
  <c r="E7" i="39"/>
  <c r="D7" i="39"/>
  <c r="C7" i="39"/>
  <c r="B7" i="39"/>
  <c r="A7" i="39"/>
  <c r="K6" i="39"/>
  <c r="J6" i="39"/>
  <c r="I6" i="39"/>
  <c r="H6" i="39"/>
  <c r="G6" i="39"/>
  <c r="F6" i="39"/>
  <c r="E6" i="39"/>
  <c r="D6" i="39"/>
  <c r="C6" i="39"/>
  <c r="B6" i="39"/>
  <c r="A6" i="39"/>
  <c r="K5" i="39"/>
  <c r="J5" i="39"/>
  <c r="I5" i="39"/>
  <c r="H5" i="39"/>
  <c r="G5" i="39"/>
  <c r="F5" i="39"/>
  <c r="E5" i="39"/>
  <c r="D5" i="39"/>
  <c r="C5" i="39"/>
  <c r="B5" i="39"/>
  <c r="A5" i="39"/>
  <c r="K4" i="39"/>
  <c r="J4" i="39"/>
  <c r="I4" i="39"/>
  <c r="H4" i="39"/>
  <c r="G4" i="39"/>
  <c r="F4" i="39"/>
  <c r="E4" i="39"/>
  <c r="D4" i="39"/>
  <c r="C4" i="39"/>
  <c r="B4" i="39"/>
  <c r="A4" i="39"/>
  <c r="K3" i="39"/>
  <c r="J3" i="39"/>
  <c r="I3" i="39"/>
  <c r="H3" i="39"/>
  <c r="G3" i="39"/>
  <c r="F3" i="39"/>
  <c r="E3" i="39"/>
  <c r="D3" i="39"/>
  <c r="C3" i="39"/>
  <c r="B3" i="39"/>
  <c r="A3" i="39"/>
  <c r="K2" i="39"/>
  <c r="J2" i="39"/>
  <c r="I2" i="39"/>
  <c r="H2" i="39"/>
  <c r="G2" i="39"/>
  <c r="F2" i="39"/>
  <c r="E2" i="39"/>
  <c r="D2" i="39"/>
  <c r="C2" i="39"/>
  <c r="B2" i="39"/>
  <c r="A1" i="39"/>
  <c r="B17" i="26" s="1"/>
  <c r="K60" i="37"/>
  <c r="J60" i="37"/>
  <c r="I60" i="37"/>
  <c r="H60" i="37"/>
  <c r="G60" i="37"/>
  <c r="F60" i="37"/>
  <c r="E60" i="37"/>
  <c r="D60" i="37"/>
  <c r="C60" i="37"/>
  <c r="B60" i="37"/>
  <c r="A60" i="37"/>
  <c r="K59" i="37"/>
  <c r="J59" i="37"/>
  <c r="I59" i="37"/>
  <c r="H59" i="37"/>
  <c r="G59" i="37"/>
  <c r="F59" i="37"/>
  <c r="E59" i="37"/>
  <c r="D59" i="37"/>
  <c r="C59" i="37"/>
  <c r="B59" i="37"/>
  <c r="K58" i="37"/>
  <c r="J58" i="37"/>
  <c r="I58" i="37"/>
  <c r="H58" i="37"/>
  <c r="G58" i="37"/>
  <c r="F58" i="37"/>
  <c r="E58" i="37"/>
  <c r="D58" i="37"/>
  <c r="C58" i="37"/>
  <c r="B58" i="37"/>
  <c r="K57" i="37"/>
  <c r="J57" i="37"/>
  <c r="I57" i="37"/>
  <c r="H57" i="37"/>
  <c r="G57" i="37"/>
  <c r="F57" i="37"/>
  <c r="E57" i="37"/>
  <c r="D57" i="37"/>
  <c r="C57" i="37"/>
  <c r="B57" i="37"/>
  <c r="K56" i="37"/>
  <c r="J56" i="37"/>
  <c r="I56" i="37"/>
  <c r="H56" i="37"/>
  <c r="G56" i="37"/>
  <c r="F56" i="37"/>
  <c r="E56" i="37"/>
  <c r="D56" i="37"/>
  <c r="C56" i="37"/>
  <c r="B56" i="37"/>
  <c r="K55" i="37"/>
  <c r="J55" i="37"/>
  <c r="I55" i="37"/>
  <c r="H55" i="37"/>
  <c r="G55" i="37"/>
  <c r="F55" i="37"/>
  <c r="E55" i="37"/>
  <c r="D55" i="37"/>
  <c r="C55" i="37"/>
  <c r="B55" i="37"/>
  <c r="K54" i="37"/>
  <c r="J54" i="37"/>
  <c r="I54" i="37"/>
  <c r="H54" i="37"/>
  <c r="G54" i="37"/>
  <c r="F54" i="37"/>
  <c r="E54" i="37"/>
  <c r="D54" i="37"/>
  <c r="C54" i="37"/>
  <c r="B54" i="37"/>
  <c r="K53" i="37"/>
  <c r="J53" i="37"/>
  <c r="I53" i="37"/>
  <c r="H53" i="37"/>
  <c r="G53" i="37"/>
  <c r="F53" i="37"/>
  <c r="E53" i="37"/>
  <c r="D53" i="37"/>
  <c r="C53" i="37"/>
  <c r="B53" i="37"/>
  <c r="K52" i="37"/>
  <c r="J52" i="37"/>
  <c r="I52" i="37"/>
  <c r="H52" i="37"/>
  <c r="G52" i="37"/>
  <c r="F52" i="37"/>
  <c r="E52" i="37"/>
  <c r="D52" i="37"/>
  <c r="C52" i="37"/>
  <c r="B52" i="37"/>
  <c r="K51" i="37"/>
  <c r="J51" i="37"/>
  <c r="I51" i="37"/>
  <c r="H51" i="37"/>
  <c r="G51" i="37"/>
  <c r="F51" i="37"/>
  <c r="E51" i="37"/>
  <c r="D51" i="37"/>
  <c r="C51" i="37"/>
  <c r="B51" i="37"/>
  <c r="K50" i="37"/>
  <c r="J50" i="37"/>
  <c r="I50" i="37"/>
  <c r="H50" i="37"/>
  <c r="G50" i="37"/>
  <c r="F50" i="37"/>
  <c r="E50" i="37"/>
  <c r="D50" i="37"/>
  <c r="C50" i="37"/>
  <c r="B50" i="37"/>
  <c r="K49" i="37"/>
  <c r="J49" i="37"/>
  <c r="I49" i="37"/>
  <c r="H49" i="37"/>
  <c r="G49" i="37"/>
  <c r="F49" i="37"/>
  <c r="E49" i="37"/>
  <c r="D49" i="37"/>
  <c r="C49" i="37"/>
  <c r="B49" i="37"/>
  <c r="A49" i="37"/>
  <c r="K48" i="37"/>
  <c r="J48" i="37"/>
  <c r="I48" i="37"/>
  <c r="H48" i="37"/>
  <c r="G48" i="37"/>
  <c r="F48" i="37"/>
  <c r="E48" i="37"/>
  <c r="D48" i="37"/>
  <c r="C48" i="37"/>
  <c r="B48" i="37"/>
  <c r="K47" i="37"/>
  <c r="J47" i="37"/>
  <c r="I47" i="37"/>
  <c r="H47" i="37"/>
  <c r="G47" i="37"/>
  <c r="F47" i="37"/>
  <c r="E47" i="37"/>
  <c r="D47" i="37"/>
  <c r="C47" i="37"/>
  <c r="B47" i="37"/>
  <c r="K46" i="37"/>
  <c r="J46" i="37"/>
  <c r="I46" i="37"/>
  <c r="H46" i="37"/>
  <c r="G46" i="37"/>
  <c r="F46" i="37"/>
  <c r="E46" i="37"/>
  <c r="D46" i="37"/>
  <c r="C46" i="37"/>
  <c r="B46" i="37"/>
  <c r="K45" i="37"/>
  <c r="J45" i="37"/>
  <c r="I45" i="37"/>
  <c r="H45" i="37"/>
  <c r="G45" i="37"/>
  <c r="F45" i="37"/>
  <c r="E45" i="37"/>
  <c r="D45" i="37"/>
  <c r="C45" i="37"/>
  <c r="B45" i="37"/>
  <c r="K44" i="37"/>
  <c r="J44" i="37"/>
  <c r="I44" i="37"/>
  <c r="H44" i="37"/>
  <c r="G44" i="37"/>
  <c r="F44" i="37"/>
  <c r="E44" i="37"/>
  <c r="D44" i="37"/>
  <c r="C44" i="37"/>
  <c r="B44" i="37"/>
  <c r="K43" i="37"/>
  <c r="J43" i="37"/>
  <c r="I43" i="37"/>
  <c r="H43" i="37"/>
  <c r="G43" i="37"/>
  <c r="F43" i="37"/>
  <c r="E43" i="37"/>
  <c r="D43" i="37"/>
  <c r="C43" i="37"/>
  <c r="B43" i="37"/>
  <c r="K42" i="37"/>
  <c r="J42" i="37"/>
  <c r="I42" i="37"/>
  <c r="H42" i="37"/>
  <c r="G42" i="37"/>
  <c r="F42" i="37"/>
  <c r="E42" i="37"/>
  <c r="D42" i="37"/>
  <c r="C42" i="37"/>
  <c r="B42" i="37"/>
  <c r="K41" i="37"/>
  <c r="J41" i="37"/>
  <c r="I41" i="37"/>
  <c r="H41" i="37"/>
  <c r="G41" i="37"/>
  <c r="F41" i="37"/>
  <c r="E41" i="37"/>
  <c r="D41" i="37"/>
  <c r="C41" i="37"/>
  <c r="B41" i="37"/>
  <c r="K40" i="37"/>
  <c r="J40" i="37"/>
  <c r="I40" i="37"/>
  <c r="H40" i="37"/>
  <c r="G40" i="37"/>
  <c r="F40" i="37"/>
  <c r="E40" i="37"/>
  <c r="D40" i="37"/>
  <c r="C40" i="37"/>
  <c r="B40" i="37"/>
  <c r="A40" i="37"/>
  <c r="K39" i="37"/>
  <c r="J39" i="37"/>
  <c r="I39" i="37"/>
  <c r="H39" i="37"/>
  <c r="G39" i="37"/>
  <c r="F39" i="37"/>
  <c r="E39" i="37"/>
  <c r="D39" i="37"/>
  <c r="C39" i="37"/>
  <c r="B39" i="37"/>
  <c r="K38" i="37"/>
  <c r="J38" i="37"/>
  <c r="I38" i="37"/>
  <c r="H38" i="37"/>
  <c r="G38" i="37"/>
  <c r="F38" i="37"/>
  <c r="E38" i="37"/>
  <c r="D38" i="37"/>
  <c r="C38" i="37"/>
  <c r="B38" i="37"/>
  <c r="A38" i="37"/>
  <c r="K37" i="37"/>
  <c r="J37" i="37"/>
  <c r="I37" i="37"/>
  <c r="H37" i="37"/>
  <c r="G37" i="37"/>
  <c r="F37" i="37"/>
  <c r="E37" i="37"/>
  <c r="D37" i="37"/>
  <c r="C37" i="37"/>
  <c r="B37" i="37"/>
  <c r="K36" i="37"/>
  <c r="J36" i="37"/>
  <c r="I36" i="37"/>
  <c r="H36" i="37"/>
  <c r="G36" i="37"/>
  <c r="F36" i="37"/>
  <c r="E36" i="37"/>
  <c r="D36" i="37"/>
  <c r="C36" i="37"/>
  <c r="B36" i="37"/>
  <c r="K35" i="37"/>
  <c r="J35" i="37"/>
  <c r="I35" i="37"/>
  <c r="H35" i="37"/>
  <c r="G35" i="37"/>
  <c r="F35" i="37"/>
  <c r="E35" i="37"/>
  <c r="D35" i="37"/>
  <c r="C35" i="37"/>
  <c r="B35" i="37"/>
  <c r="K34" i="37"/>
  <c r="J34" i="37"/>
  <c r="I34" i="37"/>
  <c r="H34" i="37"/>
  <c r="G34" i="37"/>
  <c r="F34" i="37"/>
  <c r="E34" i="37"/>
  <c r="D34" i="37"/>
  <c r="C34" i="37"/>
  <c r="B34" i="37"/>
  <c r="K33" i="37"/>
  <c r="J33" i="37"/>
  <c r="I33" i="37"/>
  <c r="H33" i="37"/>
  <c r="G33" i="37"/>
  <c r="F33" i="37"/>
  <c r="E33" i="37"/>
  <c r="D33" i="37"/>
  <c r="C33" i="37"/>
  <c r="B33" i="37"/>
  <c r="A33" i="37"/>
  <c r="K32" i="37"/>
  <c r="J32" i="37"/>
  <c r="I32" i="37"/>
  <c r="H32" i="37"/>
  <c r="G32" i="37"/>
  <c r="F32" i="37"/>
  <c r="E32" i="37"/>
  <c r="D32" i="37"/>
  <c r="C32" i="37"/>
  <c r="B32" i="37"/>
  <c r="K31" i="37"/>
  <c r="J31" i="37"/>
  <c r="I31" i="37"/>
  <c r="H31" i="37"/>
  <c r="G31" i="37"/>
  <c r="F31" i="37"/>
  <c r="E31" i="37"/>
  <c r="D31" i="37"/>
  <c r="C31" i="37"/>
  <c r="B31" i="37"/>
  <c r="K30" i="37"/>
  <c r="J30" i="37"/>
  <c r="I30" i="37"/>
  <c r="H30" i="37"/>
  <c r="G30" i="37"/>
  <c r="F30" i="37"/>
  <c r="E30" i="37"/>
  <c r="D30" i="37"/>
  <c r="C30" i="37"/>
  <c r="B30" i="37"/>
  <c r="K29" i="37"/>
  <c r="J29" i="37"/>
  <c r="I29" i="37"/>
  <c r="H29" i="37"/>
  <c r="G29" i="37"/>
  <c r="F29" i="37"/>
  <c r="E29" i="37"/>
  <c r="D29" i="37"/>
  <c r="C29" i="37"/>
  <c r="B29" i="37"/>
  <c r="K28" i="37"/>
  <c r="J28" i="37"/>
  <c r="I28" i="37"/>
  <c r="H28" i="37"/>
  <c r="G28" i="37"/>
  <c r="F28" i="37"/>
  <c r="E28" i="37"/>
  <c r="D28" i="37"/>
  <c r="C28" i="37"/>
  <c r="B28" i="37"/>
  <c r="K27" i="37"/>
  <c r="J27" i="37"/>
  <c r="I27" i="37"/>
  <c r="H27" i="37"/>
  <c r="G27" i="37"/>
  <c r="F27" i="37"/>
  <c r="E27" i="37"/>
  <c r="D27" i="37"/>
  <c r="C27" i="37"/>
  <c r="B27" i="37"/>
  <c r="K26" i="37"/>
  <c r="J26" i="37"/>
  <c r="I26" i="37"/>
  <c r="H26" i="37"/>
  <c r="G26" i="37"/>
  <c r="F26" i="37"/>
  <c r="E26" i="37"/>
  <c r="D26" i="37"/>
  <c r="C26" i="37"/>
  <c r="B26" i="37"/>
  <c r="K25" i="37"/>
  <c r="J25" i="37"/>
  <c r="I25" i="37"/>
  <c r="H25" i="37"/>
  <c r="G25" i="37"/>
  <c r="F25" i="37"/>
  <c r="E25" i="37"/>
  <c r="D25" i="37"/>
  <c r="C25" i="37"/>
  <c r="B25" i="37"/>
  <c r="A25" i="37"/>
  <c r="K24" i="37"/>
  <c r="J24" i="37"/>
  <c r="I24" i="37"/>
  <c r="H24" i="37"/>
  <c r="G24" i="37"/>
  <c r="F24" i="37"/>
  <c r="E24" i="37"/>
  <c r="D24" i="37"/>
  <c r="C24" i="37"/>
  <c r="B24" i="37"/>
  <c r="K23" i="37"/>
  <c r="J23" i="37"/>
  <c r="I23" i="37"/>
  <c r="H23" i="37"/>
  <c r="G23" i="37"/>
  <c r="F23" i="37"/>
  <c r="E23" i="37"/>
  <c r="D23" i="37"/>
  <c r="C23" i="37"/>
  <c r="B23" i="37"/>
  <c r="K22" i="37"/>
  <c r="J22" i="37"/>
  <c r="I22" i="37"/>
  <c r="H22" i="37"/>
  <c r="G22" i="37"/>
  <c r="F22" i="37"/>
  <c r="E22" i="37"/>
  <c r="D22" i="37"/>
  <c r="C22" i="37"/>
  <c r="B22" i="37"/>
  <c r="K21" i="37"/>
  <c r="J21" i="37"/>
  <c r="I21" i="37"/>
  <c r="H21" i="37"/>
  <c r="G21" i="37"/>
  <c r="F21" i="37"/>
  <c r="E21" i="37"/>
  <c r="D21" i="37"/>
  <c r="C21" i="37"/>
  <c r="B21" i="37"/>
  <c r="K20" i="37"/>
  <c r="J20" i="37"/>
  <c r="I20" i="37"/>
  <c r="H20" i="37"/>
  <c r="G20" i="37"/>
  <c r="F20" i="37"/>
  <c r="E20" i="37"/>
  <c r="D20" i="37"/>
  <c r="C20" i="37"/>
  <c r="B20" i="37"/>
  <c r="K19" i="37"/>
  <c r="J19" i="37"/>
  <c r="I19" i="37"/>
  <c r="H19" i="37"/>
  <c r="G19" i="37"/>
  <c r="F19" i="37"/>
  <c r="E19" i="37"/>
  <c r="D19" i="37"/>
  <c r="C19" i="37"/>
  <c r="B19" i="37"/>
  <c r="A19" i="37"/>
  <c r="K18" i="37"/>
  <c r="J18" i="37"/>
  <c r="I18" i="37"/>
  <c r="H18" i="37"/>
  <c r="G18" i="37"/>
  <c r="F18" i="37"/>
  <c r="E18" i="37"/>
  <c r="D18" i="37"/>
  <c r="C18" i="37"/>
  <c r="B18" i="37"/>
  <c r="K17" i="37"/>
  <c r="J17" i="37"/>
  <c r="I17" i="37"/>
  <c r="H17" i="37"/>
  <c r="G17" i="37"/>
  <c r="F17" i="37"/>
  <c r="E17" i="37"/>
  <c r="D17" i="37"/>
  <c r="C17" i="37"/>
  <c r="B17" i="37"/>
  <c r="K16" i="37"/>
  <c r="J16" i="37"/>
  <c r="I16" i="37"/>
  <c r="H16" i="37"/>
  <c r="G16" i="37"/>
  <c r="F16" i="37"/>
  <c r="E16" i="37"/>
  <c r="D16" i="37"/>
  <c r="C16" i="37"/>
  <c r="B16" i="37"/>
  <c r="K15" i="37"/>
  <c r="J15" i="37"/>
  <c r="I15" i="37"/>
  <c r="H15" i="37"/>
  <c r="G15" i="37"/>
  <c r="F15" i="37"/>
  <c r="E15" i="37"/>
  <c r="D15" i="37"/>
  <c r="C15" i="37"/>
  <c r="B15" i="37"/>
  <c r="K14" i="37"/>
  <c r="J14" i="37"/>
  <c r="I14" i="37"/>
  <c r="H14" i="37"/>
  <c r="G14" i="37"/>
  <c r="F14" i="37"/>
  <c r="E14" i="37"/>
  <c r="D14" i="37"/>
  <c r="C14" i="37"/>
  <c r="B14" i="37"/>
  <c r="K13" i="37"/>
  <c r="J13" i="37"/>
  <c r="I13" i="37"/>
  <c r="H13" i="37"/>
  <c r="G13" i="37"/>
  <c r="F13" i="37"/>
  <c r="E13" i="37"/>
  <c r="D13" i="37"/>
  <c r="C13" i="37"/>
  <c r="B13" i="37"/>
  <c r="K12" i="37"/>
  <c r="J12" i="37"/>
  <c r="I12" i="37"/>
  <c r="H12" i="37"/>
  <c r="G12" i="37"/>
  <c r="F12" i="37"/>
  <c r="E12" i="37"/>
  <c r="D12" i="37"/>
  <c r="C12" i="37"/>
  <c r="B12" i="37"/>
  <c r="K11" i="37"/>
  <c r="J11" i="37"/>
  <c r="I11" i="37"/>
  <c r="H11" i="37"/>
  <c r="G11" i="37"/>
  <c r="F11" i="37"/>
  <c r="E11" i="37"/>
  <c r="D11" i="37"/>
  <c r="C11" i="37"/>
  <c r="B11" i="37"/>
  <c r="K10" i="37"/>
  <c r="J10" i="37"/>
  <c r="I10" i="37"/>
  <c r="H10" i="37"/>
  <c r="G10" i="37"/>
  <c r="F10" i="37"/>
  <c r="E10" i="37"/>
  <c r="D10" i="37"/>
  <c r="C10" i="37"/>
  <c r="B10" i="37"/>
  <c r="K9" i="37"/>
  <c r="J9" i="37"/>
  <c r="I9" i="37"/>
  <c r="H9" i="37"/>
  <c r="G9" i="37"/>
  <c r="F9" i="37"/>
  <c r="E9" i="37"/>
  <c r="D9" i="37"/>
  <c r="C9" i="37"/>
  <c r="B9" i="37"/>
  <c r="K8" i="37"/>
  <c r="J8" i="37"/>
  <c r="I8" i="37"/>
  <c r="H8" i="37"/>
  <c r="G8" i="37"/>
  <c r="F8" i="37"/>
  <c r="E8" i="37"/>
  <c r="D8" i="37"/>
  <c r="C8" i="37"/>
  <c r="B8" i="37"/>
  <c r="A8" i="37"/>
  <c r="K7" i="37"/>
  <c r="J7" i="37"/>
  <c r="I7" i="37"/>
  <c r="H7" i="37"/>
  <c r="G7" i="37"/>
  <c r="F7" i="37"/>
  <c r="E7" i="37"/>
  <c r="D7" i="37"/>
  <c r="C7" i="37"/>
  <c r="B7" i="37"/>
  <c r="K6" i="37"/>
  <c r="J6" i="37"/>
  <c r="I6" i="37"/>
  <c r="H6" i="37"/>
  <c r="G6" i="37"/>
  <c r="F6" i="37"/>
  <c r="E6" i="37"/>
  <c r="D6" i="37"/>
  <c r="C6" i="37"/>
  <c r="B6" i="37"/>
  <c r="K5" i="37"/>
  <c r="J5" i="37"/>
  <c r="I5" i="37"/>
  <c r="H5" i="37"/>
  <c r="G5" i="37"/>
  <c r="F5" i="37"/>
  <c r="E5" i="37"/>
  <c r="D5" i="37"/>
  <c r="C5" i="37"/>
  <c r="B5" i="37"/>
  <c r="K4" i="37"/>
  <c r="J4" i="37"/>
  <c r="I4" i="37"/>
  <c r="H4" i="37"/>
  <c r="G4" i="37"/>
  <c r="F4" i="37"/>
  <c r="E4" i="37"/>
  <c r="D4" i="37"/>
  <c r="C4" i="37"/>
  <c r="B4" i="37"/>
  <c r="K3" i="37"/>
  <c r="J3" i="37"/>
  <c r="I3" i="37"/>
  <c r="H3" i="37"/>
  <c r="G3" i="37"/>
  <c r="F3" i="37"/>
  <c r="E3" i="37"/>
  <c r="D3" i="37"/>
  <c r="C3" i="37"/>
  <c r="B3" i="37"/>
  <c r="A3" i="37"/>
  <c r="K2" i="37"/>
  <c r="J2" i="37"/>
  <c r="I2" i="37"/>
  <c r="H2" i="37"/>
  <c r="G2" i="37"/>
  <c r="F2" i="37"/>
  <c r="E2" i="37"/>
  <c r="D2" i="37"/>
  <c r="C2" i="37"/>
  <c r="B2" i="37"/>
  <c r="A2" i="37"/>
  <c r="A1" i="37"/>
  <c r="B16" i="26" s="1"/>
  <c r="J11" i="42"/>
  <c r="I11" i="42"/>
  <c r="H11" i="42"/>
  <c r="G11" i="42"/>
  <c r="F11" i="42"/>
  <c r="E11" i="42"/>
  <c r="D11" i="42"/>
  <c r="C11" i="42"/>
  <c r="B11" i="42"/>
  <c r="A11" i="42"/>
  <c r="J10" i="42"/>
  <c r="I10" i="42"/>
  <c r="H10" i="42"/>
  <c r="G10" i="42"/>
  <c r="F10" i="42"/>
  <c r="E10" i="42"/>
  <c r="D10" i="42"/>
  <c r="C10" i="42"/>
  <c r="B10" i="42"/>
  <c r="A10" i="42"/>
  <c r="J9" i="42"/>
  <c r="I9" i="42"/>
  <c r="H9" i="42"/>
  <c r="G9" i="42"/>
  <c r="F9" i="42"/>
  <c r="E9" i="42"/>
  <c r="D9" i="42"/>
  <c r="C9" i="42"/>
  <c r="B9" i="42"/>
  <c r="A9" i="42"/>
  <c r="J8" i="42"/>
  <c r="I8" i="42"/>
  <c r="H8" i="42"/>
  <c r="G8" i="42"/>
  <c r="F8" i="42"/>
  <c r="E8" i="42"/>
  <c r="D8" i="42"/>
  <c r="C8" i="42"/>
  <c r="B8" i="42"/>
  <c r="A8" i="42"/>
  <c r="J7" i="42"/>
  <c r="I7" i="42"/>
  <c r="H7" i="42"/>
  <c r="G7" i="42"/>
  <c r="F7" i="42"/>
  <c r="E7" i="42"/>
  <c r="D7" i="42"/>
  <c r="C7" i="42"/>
  <c r="B7" i="42"/>
  <c r="A7" i="42"/>
  <c r="J6" i="42"/>
  <c r="I6" i="42"/>
  <c r="H6" i="42"/>
  <c r="G6" i="42"/>
  <c r="F6" i="42"/>
  <c r="E6" i="42"/>
  <c r="D6" i="42"/>
  <c r="C6" i="42"/>
  <c r="B6" i="42"/>
  <c r="A6" i="42"/>
  <c r="J5" i="42"/>
  <c r="I5" i="42"/>
  <c r="H5" i="42"/>
  <c r="G5" i="42"/>
  <c r="F5" i="42"/>
  <c r="E5" i="42"/>
  <c r="D5" i="42"/>
  <c r="C5" i="42"/>
  <c r="B5" i="42"/>
  <c r="A5" i="42"/>
  <c r="J4" i="42"/>
  <c r="I4" i="42"/>
  <c r="H4" i="42"/>
  <c r="G4" i="42"/>
  <c r="F4" i="42"/>
  <c r="E4" i="42"/>
  <c r="D4" i="42"/>
  <c r="C4" i="42"/>
  <c r="B4" i="42"/>
  <c r="A4" i="42"/>
  <c r="J3" i="42"/>
  <c r="I3" i="42"/>
  <c r="H3" i="42"/>
  <c r="G3" i="42"/>
  <c r="F3" i="42"/>
  <c r="E3" i="42"/>
  <c r="D3" i="42"/>
  <c r="C3" i="42"/>
  <c r="B3" i="42"/>
  <c r="A3" i="42"/>
  <c r="J2" i="42"/>
  <c r="I2" i="42"/>
  <c r="H2" i="42"/>
  <c r="G2" i="42"/>
  <c r="F2" i="42"/>
  <c r="E2" i="42"/>
  <c r="D2" i="42"/>
  <c r="C2" i="42"/>
  <c r="B2" i="42"/>
  <c r="A1" i="42"/>
  <c r="B15" i="26" s="1"/>
  <c r="J11" i="41"/>
  <c r="I11" i="41"/>
  <c r="H11" i="41"/>
  <c r="G11" i="41"/>
  <c r="F11" i="41"/>
  <c r="E11" i="41"/>
  <c r="D11" i="41"/>
  <c r="C11" i="41"/>
  <c r="B11" i="41"/>
  <c r="A11" i="41"/>
  <c r="J10" i="41"/>
  <c r="I10" i="41"/>
  <c r="H10" i="41"/>
  <c r="G10" i="41"/>
  <c r="F10" i="41"/>
  <c r="E10" i="41"/>
  <c r="D10" i="41"/>
  <c r="C10" i="41"/>
  <c r="B10" i="41"/>
  <c r="A10" i="41"/>
  <c r="J9" i="41"/>
  <c r="I9" i="41"/>
  <c r="H9" i="41"/>
  <c r="G9" i="41"/>
  <c r="F9" i="41"/>
  <c r="E9" i="41"/>
  <c r="D9" i="41"/>
  <c r="C9" i="41"/>
  <c r="B9" i="41"/>
  <c r="A9" i="41"/>
  <c r="J8" i="41"/>
  <c r="I8" i="41"/>
  <c r="H8" i="41"/>
  <c r="G8" i="41"/>
  <c r="F8" i="41"/>
  <c r="E8" i="41"/>
  <c r="D8" i="41"/>
  <c r="C8" i="41"/>
  <c r="B8" i="41"/>
  <c r="A8" i="41"/>
  <c r="J7" i="41"/>
  <c r="I7" i="41"/>
  <c r="H7" i="41"/>
  <c r="G7" i="41"/>
  <c r="F7" i="41"/>
  <c r="E7" i="41"/>
  <c r="D7" i="41"/>
  <c r="C7" i="41"/>
  <c r="B7" i="41"/>
  <c r="A7" i="41"/>
  <c r="J6" i="41"/>
  <c r="I6" i="41"/>
  <c r="H6" i="41"/>
  <c r="G6" i="41"/>
  <c r="F6" i="41"/>
  <c r="E6" i="41"/>
  <c r="D6" i="41"/>
  <c r="C6" i="41"/>
  <c r="B6" i="41"/>
  <c r="A6" i="41"/>
  <c r="J5" i="41"/>
  <c r="I5" i="41"/>
  <c r="H5" i="41"/>
  <c r="G5" i="41"/>
  <c r="F5" i="41"/>
  <c r="E5" i="41"/>
  <c r="D5" i="41"/>
  <c r="C5" i="41"/>
  <c r="B5" i="41"/>
  <c r="A5" i="41"/>
  <c r="J4" i="41"/>
  <c r="I4" i="41"/>
  <c r="H4" i="41"/>
  <c r="G4" i="41"/>
  <c r="F4" i="41"/>
  <c r="E4" i="41"/>
  <c r="D4" i="41"/>
  <c r="C4" i="41"/>
  <c r="B4" i="41"/>
  <c r="A4" i="41"/>
  <c r="J3" i="41"/>
  <c r="I3" i="41"/>
  <c r="H3" i="41"/>
  <c r="G3" i="41"/>
  <c r="F3" i="41"/>
  <c r="E3" i="41"/>
  <c r="D3" i="41"/>
  <c r="C3" i="41"/>
  <c r="B3" i="41"/>
  <c r="A3" i="41"/>
  <c r="J2" i="41"/>
  <c r="I2" i="41"/>
  <c r="H2" i="41"/>
  <c r="G2" i="41"/>
  <c r="F2" i="41"/>
  <c r="E2" i="41"/>
  <c r="D2" i="41"/>
  <c r="C2" i="41"/>
  <c r="B2" i="41"/>
  <c r="A1" i="41"/>
  <c r="B14" i="26" s="1"/>
  <c r="J11" i="40"/>
  <c r="I11" i="40"/>
  <c r="H11" i="40"/>
  <c r="G11" i="40"/>
  <c r="F11" i="40"/>
  <c r="E11" i="40"/>
  <c r="D11" i="40"/>
  <c r="C11" i="40"/>
  <c r="B11" i="40"/>
  <c r="A11" i="40"/>
  <c r="J10" i="40"/>
  <c r="I10" i="40"/>
  <c r="H10" i="40"/>
  <c r="G10" i="40"/>
  <c r="F10" i="40"/>
  <c r="E10" i="40"/>
  <c r="D10" i="40"/>
  <c r="C10" i="40"/>
  <c r="B10" i="40"/>
  <c r="A10" i="40"/>
  <c r="J9" i="40"/>
  <c r="I9" i="40"/>
  <c r="H9" i="40"/>
  <c r="G9" i="40"/>
  <c r="F9" i="40"/>
  <c r="E9" i="40"/>
  <c r="D9" i="40"/>
  <c r="C9" i="40"/>
  <c r="B9" i="40"/>
  <c r="A9" i="40"/>
  <c r="J8" i="40"/>
  <c r="I8" i="40"/>
  <c r="H8" i="40"/>
  <c r="G8" i="40"/>
  <c r="F8" i="40"/>
  <c r="E8" i="40"/>
  <c r="D8" i="40"/>
  <c r="C8" i="40"/>
  <c r="B8" i="40"/>
  <c r="A8" i="40"/>
  <c r="J7" i="40"/>
  <c r="I7" i="40"/>
  <c r="H7" i="40"/>
  <c r="G7" i="40"/>
  <c r="F7" i="40"/>
  <c r="E7" i="40"/>
  <c r="D7" i="40"/>
  <c r="C7" i="40"/>
  <c r="B7" i="40"/>
  <c r="A7" i="40"/>
  <c r="J6" i="40"/>
  <c r="I6" i="40"/>
  <c r="H6" i="40"/>
  <c r="G6" i="40"/>
  <c r="F6" i="40"/>
  <c r="E6" i="40"/>
  <c r="D6" i="40"/>
  <c r="C6" i="40"/>
  <c r="B6" i="40"/>
  <c r="A6" i="40"/>
  <c r="J5" i="40"/>
  <c r="I5" i="40"/>
  <c r="H5" i="40"/>
  <c r="G5" i="40"/>
  <c r="F5" i="40"/>
  <c r="E5" i="40"/>
  <c r="D5" i="40"/>
  <c r="C5" i="40"/>
  <c r="B5" i="40"/>
  <c r="A5" i="40"/>
  <c r="J4" i="40"/>
  <c r="I4" i="40"/>
  <c r="H4" i="40"/>
  <c r="G4" i="40"/>
  <c r="F4" i="40"/>
  <c r="E4" i="40"/>
  <c r="D4" i="40"/>
  <c r="C4" i="40"/>
  <c r="B4" i="40"/>
  <c r="A4" i="40"/>
  <c r="J3" i="40"/>
  <c r="I3" i="40"/>
  <c r="H3" i="40"/>
  <c r="G3" i="40"/>
  <c r="F3" i="40"/>
  <c r="E3" i="40"/>
  <c r="D3" i="40"/>
  <c r="C3" i="40"/>
  <c r="B3" i="40"/>
  <c r="A3" i="40"/>
  <c r="J2" i="40"/>
  <c r="I2" i="40"/>
  <c r="H2" i="40"/>
  <c r="G2" i="40"/>
  <c r="F2" i="40"/>
  <c r="E2" i="40"/>
  <c r="D2" i="40"/>
  <c r="C2" i="40"/>
  <c r="B2" i="40"/>
  <c r="A1" i="40"/>
  <c r="B13" i="26" s="1"/>
  <c r="J11" i="36"/>
  <c r="I11" i="36"/>
  <c r="H11" i="36"/>
  <c r="G11" i="36"/>
  <c r="F11" i="36"/>
  <c r="E11" i="36"/>
  <c r="D11" i="36"/>
  <c r="C11" i="36"/>
  <c r="B11" i="36"/>
  <c r="A11" i="36"/>
  <c r="J10" i="36"/>
  <c r="I10" i="36"/>
  <c r="H10" i="36"/>
  <c r="G10" i="36"/>
  <c r="F10" i="36"/>
  <c r="E10" i="36"/>
  <c r="D10" i="36"/>
  <c r="C10" i="36"/>
  <c r="B10" i="36"/>
  <c r="A10" i="36"/>
  <c r="J9" i="36"/>
  <c r="I9" i="36"/>
  <c r="H9" i="36"/>
  <c r="G9" i="36"/>
  <c r="F9" i="36"/>
  <c r="E9" i="36"/>
  <c r="D9" i="36"/>
  <c r="C9" i="36"/>
  <c r="B9" i="36"/>
  <c r="A9" i="36"/>
  <c r="J8" i="36"/>
  <c r="I8" i="36"/>
  <c r="H8" i="36"/>
  <c r="G8" i="36"/>
  <c r="F8" i="36"/>
  <c r="E8" i="36"/>
  <c r="D8" i="36"/>
  <c r="C8" i="36"/>
  <c r="B8" i="36"/>
  <c r="A8" i="36"/>
  <c r="J7" i="36"/>
  <c r="I7" i="36"/>
  <c r="H7" i="36"/>
  <c r="G7" i="36"/>
  <c r="F7" i="36"/>
  <c r="E7" i="36"/>
  <c r="D7" i="36"/>
  <c r="C7" i="36"/>
  <c r="B7" i="36"/>
  <c r="A7" i="36"/>
  <c r="J6" i="36"/>
  <c r="I6" i="36"/>
  <c r="H6" i="36"/>
  <c r="G6" i="36"/>
  <c r="F6" i="36"/>
  <c r="E6" i="36"/>
  <c r="D6" i="36"/>
  <c r="C6" i="36"/>
  <c r="B6" i="36"/>
  <c r="A6" i="36"/>
  <c r="J5" i="36"/>
  <c r="I5" i="36"/>
  <c r="H5" i="36"/>
  <c r="G5" i="36"/>
  <c r="F5" i="36"/>
  <c r="E5" i="36"/>
  <c r="D5" i="36"/>
  <c r="C5" i="36"/>
  <c r="B5" i="36"/>
  <c r="A5" i="36"/>
  <c r="J4" i="36"/>
  <c r="I4" i="36"/>
  <c r="H4" i="36"/>
  <c r="G4" i="36"/>
  <c r="F4" i="36"/>
  <c r="E4" i="36"/>
  <c r="D4" i="36"/>
  <c r="C4" i="36"/>
  <c r="B4" i="36"/>
  <c r="A4" i="36"/>
  <c r="J3" i="36"/>
  <c r="I3" i="36"/>
  <c r="H3" i="36"/>
  <c r="G3" i="36"/>
  <c r="F3" i="36"/>
  <c r="E3" i="36"/>
  <c r="D3" i="36"/>
  <c r="C3" i="36"/>
  <c r="B3" i="36"/>
  <c r="A3" i="36"/>
  <c r="J2" i="36"/>
  <c r="I2" i="36"/>
  <c r="H2" i="36"/>
  <c r="G2" i="36"/>
  <c r="F2" i="36"/>
  <c r="E2" i="36"/>
  <c r="D2" i="36"/>
  <c r="C2" i="36"/>
  <c r="B2" i="36"/>
  <c r="A1" i="36"/>
  <c r="B12" i="26" s="1"/>
  <c r="I12" i="44"/>
  <c r="H12" i="44"/>
  <c r="G12" i="44"/>
  <c r="F12" i="44"/>
  <c r="E12" i="44"/>
  <c r="D12" i="44"/>
  <c r="C12" i="44"/>
  <c r="B12" i="44"/>
  <c r="A12" i="44"/>
  <c r="I11" i="44"/>
  <c r="H11" i="44"/>
  <c r="G11" i="44"/>
  <c r="F11" i="44"/>
  <c r="E11" i="44"/>
  <c r="D11" i="44"/>
  <c r="C11" i="44"/>
  <c r="B11" i="44"/>
  <c r="A11" i="44"/>
  <c r="I10" i="44"/>
  <c r="H10" i="44"/>
  <c r="G10" i="44"/>
  <c r="F10" i="44"/>
  <c r="E10" i="44"/>
  <c r="D10" i="44"/>
  <c r="C10" i="44"/>
  <c r="B10" i="44"/>
  <c r="A10" i="44"/>
  <c r="I9" i="44"/>
  <c r="H9" i="44"/>
  <c r="G9" i="44"/>
  <c r="F9" i="44"/>
  <c r="E9" i="44"/>
  <c r="D9" i="44"/>
  <c r="C9" i="44"/>
  <c r="B9" i="44"/>
  <c r="A9" i="44"/>
  <c r="I8" i="44"/>
  <c r="H8" i="44"/>
  <c r="G8" i="44"/>
  <c r="F8" i="44"/>
  <c r="E8" i="44"/>
  <c r="D8" i="44"/>
  <c r="C8" i="44"/>
  <c r="B8" i="44"/>
  <c r="A8" i="44"/>
  <c r="I7" i="44"/>
  <c r="H7" i="44"/>
  <c r="G7" i="44"/>
  <c r="F7" i="44"/>
  <c r="E7" i="44"/>
  <c r="D7" i="44"/>
  <c r="C7" i="44"/>
  <c r="B7" i="44"/>
  <c r="A7" i="44"/>
  <c r="I6" i="44"/>
  <c r="H6" i="44"/>
  <c r="G6" i="44"/>
  <c r="F6" i="44"/>
  <c r="E6" i="44"/>
  <c r="D6" i="44"/>
  <c r="C6" i="44"/>
  <c r="B6" i="44"/>
  <c r="A6" i="44"/>
  <c r="I5" i="44"/>
  <c r="H5" i="44"/>
  <c r="G5" i="44"/>
  <c r="F5" i="44"/>
  <c r="E5" i="44"/>
  <c r="D5" i="44"/>
  <c r="C5" i="44"/>
  <c r="B5" i="44"/>
  <c r="A5" i="44"/>
  <c r="I4" i="44"/>
  <c r="H4" i="44"/>
  <c r="G4" i="44"/>
  <c r="F4" i="44"/>
  <c r="E4" i="44"/>
  <c r="D4" i="44"/>
  <c r="C4" i="44"/>
  <c r="B4" i="44"/>
  <c r="A4" i="44"/>
  <c r="I3" i="44"/>
  <c r="H3" i="44"/>
  <c r="G3" i="44"/>
  <c r="F3" i="44"/>
  <c r="E3" i="44"/>
  <c r="D3" i="44"/>
  <c r="C3" i="44"/>
  <c r="B3" i="44"/>
  <c r="H2" i="44"/>
  <c r="F2" i="44"/>
  <c r="D2" i="44"/>
  <c r="B2" i="44"/>
  <c r="A1" i="44"/>
  <c r="B10" i="26" s="1"/>
  <c r="I12" i="45"/>
  <c r="H12" i="45"/>
  <c r="G12" i="45"/>
  <c r="F12" i="45"/>
  <c r="E12" i="45"/>
  <c r="D12" i="45"/>
  <c r="C12" i="45"/>
  <c r="B12" i="45"/>
  <c r="A12" i="45"/>
  <c r="I11" i="45"/>
  <c r="H11" i="45"/>
  <c r="G11" i="45"/>
  <c r="F11" i="45"/>
  <c r="E11" i="45"/>
  <c r="D11" i="45"/>
  <c r="C11" i="45"/>
  <c r="B11" i="45"/>
  <c r="A11" i="45"/>
  <c r="I10" i="45"/>
  <c r="H10" i="45"/>
  <c r="G10" i="45"/>
  <c r="F10" i="45"/>
  <c r="E10" i="45"/>
  <c r="D10" i="45"/>
  <c r="C10" i="45"/>
  <c r="B10" i="45"/>
  <c r="A10" i="45"/>
  <c r="I9" i="45"/>
  <c r="H9" i="45"/>
  <c r="G9" i="45"/>
  <c r="F9" i="45"/>
  <c r="E9" i="45"/>
  <c r="D9" i="45"/>
  <c r="C9" i="45"/>
  <c r="B9" i="45"/>
  <c r="A9" i="45"/>
  <c r="I8" i="45"/>
  <c r="H8" i="45"/>
  <c r="G8" i="45"/>
  <c r="F8" i="45"/>
  <c r="E8" i="45"/>
  <c r="D8" i="45"/>
  <c r="C8" i="45"/>
  <c r="B8" i="45"/>
  <c r="A8" i="45"/>
  <c r="I7" i="45"/>
  <c r="H7" i="45"/>
  <c r="G7" i="45"/>
  <c r="F7" i="45"/>
  <c r="E7" i="45"/>
  <c r="D7" i="45"/>
  <c r="C7" i="45"/>
  <c r="B7" i="45"/>
  <c r="A7" i="45"/>
  <c r="I6" i="45"/>
  <c r="H6" i="45"/>
  <c r="G6" i="45"/>
  <c r="F6" i="45"/>
  <c r="E6" i="45"/>
  <c r="D6" i="45"/>
  <c r="C6" i="45"/>
  <c r="B6" i="45"/>
  <c r="A6" i="45"/>
  <c r="I5" i="45"/>
  <c r="H5" i="45"/>
  <c r="G5" i="45"/>
  <c r="F5" i="45"/>
  <c r="E5" i="45"/>
  <c r="D5" i="45"/>
  <c r="C5" i="45"/>
  <c r="B5" i="45"/>
  <c r="A5" i="45"/>
  <c r="I4" i="45"/>
  <c r="H4" i="45"/>
  <c r="G4" i="45"/>
  <c r="F4" i="45"/>
  <c r="E4" i="45"/>
  <c r="D4" i="45"/>
  <c r="C4" i="45"/>
  <c r="B4" i="45"/>
  <c r="A4" i="45"/>
  <c r="I3" i="45"/>
  <c r="H3" i="45"/>
  <c r="G3" i="45"/>
  <c r="F3" i="45"/>
  <c r="E3" i="45"/>
  <c r="D3" i="45"/>
  <c r="C3" i="45"/>
  <c r="B3" i="45"/>
  <c r="H2" i="45"/>
  <c r="F2" i="45"/>
  <c r="D2" i="45"/>
  <c r="B2" i="45"/>
  <c r="A1" i="45"/>
  <c r="I12" i="47"/>
  <c r="H12" i="47"/>
  <c r="G12" i="47"/>
  <c r="F12" i="47"/>
  <c r="E12" i="47"/>
  <c r="D12" i="47"/>
  <c r="C12" i="47"/>
  <c r="B12" i="47"/>
  <c r="A12" i="47"/>
  <c r="I11" i="47"/>
  <c r="H11" i="47"/>
  <c r="G11" i="47"/>
  <c r="F11" i="47"/>
  <c r="E11" i="47"/>
  <c r="D11" i="47"/>
  <c r="C11" i="47"/>
  <c r="B11" i="47"/>
  <c r="A11" i="47"/>
  <c r="I10" i="47"/>
  <c r="H10" i="47"/>
  <c r="G10" i="47"/>
  <c r="F10" i="47"/>
  <c r="E10" i="47"/>
  <c r="D10" i="47"/>
  <c r="C10" i="47"/>
  <c r="B10" i="47"/>
  <c r="A10" i="47"/>
  <c r="I9" i="47"/>
  <c r="H9" i="47"/>
  <c r="G9" i="47"/>
  <c r="F9" i="47"/>
  <c r="E9" i="47"/>
  <c r="D9" i="47"/>
  <c r="C9" i="47"/>
  <c r="B9" i="47"/>
  <c r="A9" i="47"/>
  <c r="I8" i="47"/>
  <c r="H8" i="47"/>
  <c r="G8" i="47"/>
  <c r="F8" i="47"/>
  <c r="E8" i="47"/>
  <c r="D8" i="47"/>
  <c r="C8" i="47"/>
  <c r="B8" i="47"/>
  <c r="A8" i="47"/>
  <c r="I7" i="47"/>
  <c r="H7" i="47"/>
  <c r="G7" i="47"/>
  <c r="F7" i="47"/>
  <c r="E7" i="47"/>
  <c r="D7" i="47"/>
  <c r="C7" i="47"/>
  <c r="B7" i="47"/>
  <c r="A7" i="47"/>
  <c r="I6" i="47"/>
  <c r="H6" i="47"/>
  <c r="G6" i="47"/>
  <c r="F6" i="47"/>
  <c r="E6" i="47"/>
  <c r="D6" i="47"/>
  <c r="C6" i="47"/>
  <c r="B6" i="47"/>
  <c r="A6" i="47"/>
  <c r="I5" i="47"/>
  <c r="H5" i="47"/>
  <c r="G5" i="47"/>
  <c r="F5" i="47"/>
  <c r="E5" i="47"/>
  <c r="D5" i="47"/>
  <c r="C5" i="47"/>
  <c r="B5" i="47"/>
  <c r="A5" i="47"/>
  <c r="I4" i="47"/>
  <c r="H4" i="47"/>
  <c r="G4" i="47"/>
  <c r="F4" i="47"/>
  <c r="E4" i="47"/>
  <c r="D4" i="47"/>
  <c r="C4" i="47"/>
  <c r="B4" i="47"/>
  <c r="A4" i="47"/>
  <c r="I3" i="47"/>
  <c r="H3" i="47"/>
  <c r="G3" i="47"/>
  <c r="F3" i="47"/>
  <c r="E3" i="47"/>
  <c r="D3" i="47"/>
  <c r="C3" i="47"/>
  <c r="B3" i="47"/>
  <c r="H2" i="47"/>
  <c r="F2" i="47"/>
  <c r="D2" i="47"/>
  <c r="B2" i="47"/>
  <c r="A1" i="47"/>
  <c r="I12" i="46"/>
  <c r="H12" i="46"/>
  <c r="G12" i="46"/>
  <c r="F12" i="46"/>
  <c r="E12" i="46"/>
  <c r="D12" i="46"/>
  <c r="C12" i="46"/>
  <c r="B12" i="46"/>
  <c r="A12" i="46"/>
  <c r="I11" i="46"/>
  <c r="H11" i="46"/>
  <c r="G11" i="46"/>
  <c r="F11" i="46"/>
  <c r="E11" i="46"/>
  <c r="D11" i="46"/>
  <c r="C11" i="46"/>
  <c r="B11" i="46"/>
  <c r="A11" i="46"/>
  <c r="I10" i="46"/>
  <c r="H10" i="46"/>
  <c r="G10" i="46"/>
  <c r="F10" i="46"/>
  <c r="E10" i="46"/>
  <c r="D10" i="46"/>
  <c r="C10" i="46"/>
  <c r="B10" i="46"/>
  <c r="A10" i="46"/>
  <c r="I9" i="46"/>
  <c r="H9" i="46"/>
  <c r="G9" i="46"/>
  <c r="F9" i="46"/>
  <c r="E9" i="46"/>
  <c r="D9" i="46"/>
  <c r="C9" i="46"/>
  <c r="B9" i="46"/>
  <c r="A9" i="46"/>
  <c r="I8" i="46"/>
  <c r="H8" i="46"/>
  <c r="G8" i="46"/>
  <c r="F8" i="46"/>
  <c r="E8" i="46"/>
  <c r="D8" i="46"/>
  <c r="C8" i="46"/>
  <c r="B8" i="46"/>
  <c r="A8" i="46"/>
  <c r="I7" i="46"/>
  <c r="H7" i="46"/>
  <c r="G7" i="46"/>
  <c r="F7" i="46"/>
  <c r="E7" i="46"/>
  <c r="D7" i="46"/>
  <c r="C7" i="46"/>
  <c r="B7" i="46"/>
  <c r="A7" i="46"/>
  <c r="I6" i="46"/>
  <c r="H6" i="46"/>
  <c r="G6" i="46"/>
  <c r="F6" i="46"/>
  <c r="E6" i="46"/>
  <c r="D6" i="46"/>
  <c r="C6" i="46"/>
  <c r="B6" i="46"/>
  <c r="A6" i="46"/>
  <c r="I5" i="46"/>
  <c r="H5" i="46"/>
  <c r="G5" i="46"/>
  <c r="F5" i="46"/>
  <c r="E5" i="46"/>
  <c r="D5" i="46"/>
  <c r="C5" i="46"/>
  <c r="B5" i="46"/>
  <c r="A5" i="46"/>
  <c r="I4" i="46"/>
  <c r="H4" i="46"/>
  <c r="G4" i="46"/>
  <c r="F4" i="46"/>
  <c r="E4" i="46"/>
  <c r="D4" i="46"/>
  <c r="C4" i="46"/>
  <c r="B4" i="46"/>
  <c r="A4" i="46"/>
  <c r="I3" i="46"/>
  <c r="H3" i="46"/>
  <c r="G3" i="46"/>
  <c r="F3" i="46"/>
  <c r="E3" i="46"/>
  <c r="D3" i="46"/>
  <c r="C3" i="46"/>
  <c r="B3" i="46"/>
  <c r="H2" i="46"/>
  <c r="F2" i="46"/>
  <c r="D2" i="46"/>
  <c r="B2" i="46"/>
  <c r="A1" i="46"/>
  <c r="B7" i="26" s="1"/>
  <c r="G11" i="48"/>
  <c r="F11" i="48"/>
  <c r="E11" i="48"/>
  <c r="D11" i="48"/>
  <c r="C11" i="48"/>
  <c r="B11" i="48"/>
  <c r="A11" i="48"/>
  <c r="G10" i="48"/>
  <c r="F10" i="48"/>
  <c r="E10" i="48"/>
  <c r="D10" i="48"/>
  <c r="C10" i="48"/>
  <c r="B10" i="48"/>
  <c r="A10" i="48"/>
  <c r="G9" i="48"/>
  <c r="F9" i="48"/>
  <c r="E9" i="48"/>
  <c r="D9" i="48"/>
  <c r="C9" i="48"/>
  <c r="B9" i="48"/>
  <c r="A9" i="48"/>
  <c r="G8" i="48"/>
  <c r="F8" i="48"/>
  <c r="E8" i="48"/>
  <c r="D8" i="48"/>
  <c r="C8" i="48"/>
  <c r="B8" i="48"/>
  <c r="A8" i="48"/>
  <c r="G7" i="48"/>
  <c r="F7" i="48"/>
  <c r="E7" i="48"/>
  <c r="D7" i="48"/>
  <c r="C7" i="48"/>
  <c r="B7" i="48"/>
  <c r="A7" i="48"/>
  <c r="G6" i="48"/>
  <c r="F6" i="48"/>
  <c r="E6" i="48"/>
  <c r="D6" i="48"/>
  <c r="C6" i="48"/>
  <c r="B6" i="48"/>
  <c r="A6" i="48"/>
  <c r="G5" i="48"/>
  <c r="F5" i="48"/>
  <c r="E5" i="48"/>
  <c r="D5" i="48"/>
  <c r="C5" i="48"/>
  <c r="B5" i="48"/>
  <c r="A5" i="48"/>
  <c r="G4" i="48"/>
  <c r="F4" i="48"/>
  <c r="E4" i="48"/>
  <c r="D4" i="48"/>
  <c r="C4" i="48"/>
  <c r="B4" i="48"/>
  <c r="A4" i="48"/>
  <c r="G3" i="48"/>
  <c r="F3" i="48"/>
  <c r="E3" i="48"/>
  <c r="D3" i="48"/>
  <c r="C3" i="48"/>
  <c r="B3" i="48"/>
  <c r="A3" i="48"/>
  <c r="G2" i="48"/>
  <c r="F2" i="48"/>
  <c r="E2" i="48"/>
  <c r="D2" i="48"/>
  <c r="C2" i="48"/>
  <c r="B2" i="48"/>
  <c r="A1" i="48"/>
  <c r="B27" i="26"/>
  <c r="B25" i="26"/>
  <c r="B24" i="26"/>
  <c r="B23" i="26"/>
  <c r="B22" i="26"/>
  <c r="B20" i="26"/>
  <c r="B18" i="26"/>
  <c r="B11" i="26"/>
  <c r="B9" i="26"/>
  <c r="B8" i="26"/>
  <c r="B6" i="26"/>
</calcChain>
</file>

<file path=xl/sharedStrings.xml><?xml version="1.0" encoding="utf-8"?>
<sst xmlns="http://schemas.openxmlformats.org/spreadsheetml/2006/main" count="1811" uniqueCount="711">
  <si>
    <t>Monaco</t>
  </si>
  <si>
    <t>Liechtenstein</t>
  </si>
  <si>
    <t>Luxembourg</t>
  </si>
  <si>
    <t>Guernsey</t>
  </si>
  <si>
    <t>Bermuda</t>
  </si>
  <si>
    <t>Jersey</t>
  </si>
  <si>
    <t>Singapore</t>
  </si>
  <si>
    <t>Cayman Islands</t>
  </si>
  <si>
    <t>Macao</t>
  </si>
  <si>
    <t>Anguilla</t>
  </si>
  <si>
    <t>Gibraltar</t>
  </si>
  <si>
    <t>Isle of Man</t>
  </si>
  <si>
    <t>Norway</t>
  </si>
  <si>
    <t>Qatar</t>
  </si>
  <si>
    <t>Montserrat</t>
  </si>
  <si>
    <t>Brunei Darussalam</t>
  </si>
  <si>
    <t>Hong Kong</t>
  </si>
  <si>
    <t>Denmark</t>
  </si>
  <si>
    <t>Taiwan</t>
  </si>
  <si>
    <t>Ireland</t>
  </si>
  <si>
    <t>Switzerland</t>
  </si>
  <si>
    <t>United Arab Emirates</t>
  </si>
  <si>
    <t>USA</t>
  </si>
  <si>
    <t>Greenland</t>
  </si>
  <si>
    <t>Andorra</t>
  </si>
  <si>
    <t>Netherlands</t>
  </si>
  <si>
    <t>Sweden</t>
  </si>
  <si>
    <t>Guyana</t>
  </si>
  <si>
    <t>Iceland</t>
  </si>
  <si>
    <t>Belgium</t>
  </si>
  <si>
    <t>Germany</t>
  </si>
  <si>
    <t>San Marino</t>
  </si>
  <si>
    <t>Australia</t>
  </si>
  <si>
    <t>Austria</t>
  </si>
  <si>
    <t>Virgin Islands, British</t>
  </si>
  <si>
    <t>Canada</t>
  </si>
  <si>
    <t>Saudi Arabia</t>
  </si>
  <si>
    <t>Malta</t>
  </si>
  <si>
    <t>Kuwait</t>
  </si>
  <si>
    <t>France</t>
  </si>
  <si>
    <t>Bahrain</t>
  </si>
  <si>
    <t>Finland</t>
  </si>
  <si>
    <t>United Kingdom</t>
  </si>
  <si>
    <t>Israel</t>
  </si>
  <si>
    <t>Italy</t>
  </si>
  <si>
    <t>South Korea</t>
  </si>
  <si>
    <t>Puerto Rico</t>
  </si>
  <si>
    <t>Mauritius</t>
  </si>
  <si>
    <t>Lithuania</t>
  </si>
  <si>
    <t>Spain</t>
  </si>
  <si>
    <t>Japan</t>
  </si>
  <si>
    <t>New Zealand</t>
  </si>
  <si>
    <t>Sint Maarten (Dutch part)</t>
  </si>
  <si>
    <t>Slovenia</t>
  </si>
  <si>
    <t>Aruba</t>
  </si>
  <si>
    <t>Poland</t>
  </si>
  <si>
    <t>Russia</t>
  </si>
  <si>
    <t>Czechia</t>
  </si>
  <si>
    <t>Portugal</t>
  </si>
  <si>
    <t>Estonia</t>
  </si>
  <si>
    <t>Croatia</t>
  </si>
  <si>
    <t>Greece</t>
  </si>
  <si>
    <t>Romania</t>
  </si>
  <si>
    <t>Slovakia</t>
  </si>
  <si>
    <t>Hungary</t>
  </si>
  <si>
    <t>Panama</t>
  </si>
  <si>
    <t>Cyprus</t>
  </si>
  <si>
    <t>New Caledonia</t>
  </si>
  <si>
    <t>Kazakhstan</t>
  </si>
  <si>
    <t>Turkiye</t>
  </si>
  <si>
    <t>Latvia</t>
  </si>
  <si>
    <t>Bahamas</t>
  </si>
  <si>
    <t>Malaysia</t>
  </si>
  <si>
    <t>Oman</t>
  </si>
  <si>
    <t>Saint Kitts and Nevis</t>
  </si>
  <si>
    <t>Uruguay</t>
  </si>
  <si>
    <t>Barbados</t>
  </si>
  <si>
    <t>Bulgaria</t>
  </si>
  <si>
    <t>Trinidad and Tobago</t>
  </si>
  <si>
    <t>Antigua and Barbuda</t>
  </si>
  <si>
    <t>Chile</t>
  </si>
  <si>
    <t>Seychelles</t>
  </si>
  <si>
    <t>Montenegro</t>
  </si>
  <si>
    <t>Costa Rica</t>
  </si>
  <si>
    <t>Argentina</t>
  </si>
  <si>
    <t>French Polynesia</t>
  </si>
  <si>
    <t>Belarus</t>
  </si>
  <si>
    <t>Dominican Republic</t>
  </si>
  <si>
    <t>Cuba</t>
  </si>
  <si>
    <t>Curacao</t>
  </si>
  <si>
    <t>Turks and Caicos Islands</t>
  </si>
  <si>
    <t>Serbia</t>
  </si>
  <si>
    <t>Georgia</t>
  </si>
  <si>
    <t>Azerbaijan</t>
  </si>
  <si>
    <t>China</t>
  </si>
  <si>
    <t>Saint Lucia</t>
  </si>
  <si>
    <t>North Macedonia</t>
  </si>
  <si>
    <t>Maldives</t>
  </si>
  <si>
    <t>Bosnia and Herzegovina</t>
  </si>
  <si>
    <t>Turkmenistan</t>
  </si>
  <si>
    <t>Mexico</t>
  </si>
  <si>
    <t>Dominica</t>
  </si>
  <si>
    <t>Armenia</t>
  </si>
  <si>
    <t>Thailand</t>
  </si>
  <si>
    <t>Saint Vincent and the Grenadines</t>
  </si>
  <si>
    <t>Egypt</t>
  </si>
  <si>
    <t>Brazil</t>
  </si>
  <si>
    <t>Colombia</t>
  </si>
  <si>
    <t>Nauru</t>
  </si>
  <si>
    <t>Palau</t>
  </si>
  <si>
    <t>Albania</t>
  </si>
  <si>
    <t>Mongolia</t>
  </si>
  <si>
    <t>Suriname</t>
  </si>
  <si>
    <t>Ukraine</t>
  </si>
  <si>
    <t>Botswana</t>
  </si>
  <si>
    <t>Paraguay</t>
  </si>
  <si>
    <t>Grenada</t>
  </si>
  <si>
    <t>Kosovo</t>
  </si>
  <si>
    <t>Bonaire</t>
  </si>
  <si>
    <t>Peru</t>
  </si>
  <si>
    <t>Gabon</t>
  </si>
  <si>
    <t>Bhutan</t>
  </si>
  <si>
    <t>Equatorial Guinea</t>
  </si>
  <si>
    <t>Sri Lanka</t>
  </si>
  <si>
    <t>Viet Nam</t>
  </si>
  <si>
    <t>Algeria</t>
  </si>
  <si>
    <t>Ecuador</t>
  </si>
  <si>
    <t>Moldova</t>
  </si>
  <si>
    <t>Fiji</t>
  </si>
  <si>
    <t>South Africa</t>
  </si>
  <si>
    <t>Libya</t>
  </si>
  <si>
    <t>Iran</t>
  </si>
  <si>
    <t>Guatemala</t>
  </si>
  <si>
    <t>Indonesia</t>
  </si>
  <si>
    <t>Iraq</t>
  </si>
  <si>
    <t>Tunisia</t>
  </si>
  <si>
    <t>Belize</t>
  </si>
  <si>
    <t>El Salvador</t>
  </si>
  <si>
    <t>Philippines</t>
  </si>
  <si>
    <t>Lebanon</t>
  </si>
  <si>
    <t>Jamaica</t>
  </si>
  <si>
    <t>Namibia</t>
  </si>
  <si>
    <t>Morocco</t>
  </si>
  <si>
    <t>Bolivia</t>
  </si>
  <si>
    <t>Tuvalu</t>
  </si>
  <si>
    <t>Cabo Verde</t>
  </si>
  <si>
    <t>Jordan</t>
  </si>
  <si>
    <t>Eswatini</t>
  </si>
  <si>
    <t>India</t>
  </si>
  <si>
    <t>Bangladesh</t>
  </si>
  <si>
    <t>Marshall Islands</t>
  </si>
  <si>
    <t>Tonga</t>
  </si>
  <si>
    <t>Lao PDR</t>
  </si>
  <si>
    <t>Uzbekistan</t>
  </si>
  <si>
    <t>Nicaragua</t>
  </si>
  <si>
    <t>Kyrgyzstan</t>
  </si>
  <si>
    <t>Samoa</t>
  </si>
  <si>
    <t>Ghana</t>
  </si>
  <si>
    <t>Djibouti</t>
  </si>
  <si>
    <t>Cote d’Ivoire</t>
  </si>
  <si>
    <t>Cambodia</t>
  </si>
  <si>
    <t>Angola</t>
  </si>
  <si>
    <t>Honduras</t>
  </si>
  <si>
    <t>Mauritania</t>
  </si>
  <si>
    <t>Tajikistan</t>
  </si>
  <si>
    <t>Pakistan</t>
  </si>
  <si>
    <t>Nigeria</t>
  </si>
  <si>
    <t>Sao Tome and Principe</t>
  </si>
  <si>
    <t>Kenya</t>
  </si>
  <si>
    <t>Nepal</t>
  </si>
  <si>
    <t>Myanmar</t>
  </si>
  <si>
    <t>Palestine</t>
  </si>
  <si>
    <t>Kiribati</t>
  </si>
  <si>
    <t>Cameroon</t>
  </si>
  <si>
    <t>Congo</t>
  </si>
  <si>
    <t>Timor-Leste</t>
  </si>
  <si>
    <t>Micronesia</t>
  </si>
  <si>
    <t>Papua New Guinea</t>
  </si>
  <si>
    <t>Senegal</t>
  </si>
  <si>
    <t>Syria</t>
  </si>
  <si>
    <t>Comoros</t>
  </si>
  <si>
    <t>Zambia</t>
  </si>
  <si>
    <t>Benin</t>
  </si>
  <si>
    <t>Vanuatu</t>
  </si>
  <si>
    <t>Ethiopia</t>
  </si>
  <si>
    <t>Rwanda</t>
  </si>
  <si>
    <t>Lesotho</t>
  </si>
  <si>
    <t>Tanzania</t>
  </si>
  <si>
    <t>Guinea</t>
  </si>
  <si>
    <t>Sierra Leone</t>
  </si>
  <si>
    <t>Gambia</t>
  </si>
  <si>
    <t>Uganda</t>
  </si>
  <si>
    <t>Togo</t>
  </si>
  <si>
    <t>Haiti</t>
  </si>
  <si>
    <t>Venezuela</t>
  </si>
  <si>
    <t>Burkina Faso</t>
  </si>
  <si>
    <t>Solomon Islands</t>
  </si>
  <si>
    <t>North Korea</t>
  </si>
  <si>
    <t>Mali</t>
  </si>
  <si>
    <t>Guinea-Bissau</t>
  </si>
  <si>
    <t>Afghanistan</t>
  </si>
  <si>
    <t>Chad</t>
  </si>
  <si>
    <t>Eritrea</t>
  </si>
  <si>
    <t>Niger</t>
  </si>
  <si>
    <t>Liberia</t>
  </si>
  <si>
    <t>South Sudan</t>
  </si>
  <si>
    <t>Madagascar</t>
  </si>
  <si>
    <t>Malawi</t>
  </si>
  <si>
    <t>DR Congo</t>
  </si>
  <si>
    <t>Somalia</t>
  </si>
  <si>
    <t>Mozambique</t>
  </si>
  <si>
    <t>Central African Republic</t>
  </si>
  <si>
    <t>Yemen</t>
  </si>
  <si>
    <t>Burundi</t>
  </si>
  <si>
    <t>Sudan</t>
  </si>
  <si>
    <t>Zimbabwe</t>
  </si>
  <si>
    <t>90%-100%</t>
  </si>
  <si>
    <t>80%-90%</t>
  </si>
  <si>
    <t>70%-80%</t>
  </si>
  <si>
    <t>60%-70%</t>
  </si>
  <si>
    <t>50%-60%</t>
  </si>
  <si>
    <t>40%-50%</t>
  </si>
  <si>
    <t>30%-40%</t>
  </si>
  <si>
    <t>20%-30%</t>
  </si>
  <si>
    <t>10%-20%</t>
  </si>
  <si>
    <t>0%-10%</t>
  </si>
  <si>
    <t>Europe</t>
  </si>
  <si>
    <t>North America &amp; Oceania</t>
  </si>
  <si>
    <t>South &amp; South-East Asia</t>
  </si>
  <si>
    <t>Latin America</t>
  </si>
  <si>
    <t>East Asia</t>
  </si>
  <si>
    <t>MENA</t>
  </si>
  <si>
    <t>Sub-Saharan Africa</t>
  </si>
  <si>
    <t>Russia &amp; Central Asia</t>
  </si>
  <si>
    <t>MC</t>
  </si>
  <si>
    <t>LI</t>
  </si>
  <si>
    <t>LU</t>
  </si>
  <si>
    <t>GG</t>
  </si>
  <si>
    <t>BM</t>
  </si>
  <si>
    <t>JE</t>
  </si>
  <si>
    <t>SG</t>
  </si>
  <si>
    <t>KY</t>
  </si>
  <si>
    <t>MO</t>
  </si>
  <si>
    <t>AI</t>
  </si>
  <si>
    <t>GI</t>
  </si>
  <si>
    <t>IM</t>
  </si>
  <si>
    <t>NO</t>
  </si>
  <si>
    <t>QA</t>
  </si>
  <si>
    <t>MS</t>
  </si>
  <si>
    <t>BN</t>
  </si>
  <si>
    <t>HK</t>
  </si>
  <si>
    <t>DK</t>
  </si>
  <si>
    <t>TW</t>
  </si>
  <si>
    <t>IE</t>
  </si>
  <si>
    <t>CH</t>
  </si>
  <si>
    <t>AE</t>
  </si>
  <si>
    <t>US</t>
  </si>
  <si>
    <t>GL</t>
  </si>
  <si>
    <t>AD</t>
  </si>
  <si>
    <t>NL</t>
  </si>
  <si>
    <t>SE</t>
  </si>
  <si>
    <t>GY</t>
  </si>
  <si>
    <t>IS</t>
  </si>
  <si>
    <t>BE</t>
  </si>
  <si>
    <t>DE</t>
  </si>
  <si>
    <t>SM</t>
  </si>
  <si>
    <t>AU</t>
  </si>
  <si>
    <t>AT</t>
  </si>
  <si>
    <t>VG</t>
  </si>
  <si>
    <t>CA</t>
  </si>
  <si>
    <t>SA</t>
  </si>
  <si>
    <t>MT</t>
  </si>
  <si>
    <t>KW</t>
  </si>
  <si>
    <t>FR</t>
  </si>
  <si>
    <t>BH</t>
  </si>
  <si>
    <t>FI</t>
  </si>
  <si>
    <t>GB</t>
  </si>
  <si>
    <t>IL</t>
  </si>
  <si>
    <t>IT</t>
  </si>
  <si>
    <t>KR</t>
  </si>
  <si>
    <t>PR</t>
  </si>
  <si>
    <t>MU</t>
  </si>
  <si>
    <t>LT</t>
  </si>
  <si>
    <t>ES</t>
  </si>
  <si>
    <t>JP</t>
  </si>
  <si>
    <t>NZ</t>
  </si>
  <si>
    <t>SX</t>
  </si>
  <si>
    <t>SI</t>
  </si>
  <si>
    <t>AW</t>
  </si>
  <si>
    <t>PL</t>
  </si>
  <si>
    <t>RU</t>
  </si>
  <si>
    <t>CZ</t>
  </si>
  <si>
    <t>PT</t>
  </si>
  <si>
    <t>EE</t>
  </si>
  <si>
    <t>HR</t>
  </si>
  <si>
    <t>GR</t>
  </si>
  <si>
    <t>RO</t>
  </si>
  <si>
    <t>SK</t>
  </si>
  <si>
    <t>HU</t>
  </si>
  <si>
    <t>PA</t>
  </si>
  <si>
    <t>CY</t>
  </si>
  <si>
    <t>NC</t>
  </si>
  <si>
    <t>KZ</t>
  </si>
  <si>
    <t>TR</t>
  </si>
  <si>
    <t>LV</t>
  </si>
  <si>
    <t>BS</t>
  </si>
  <si>
    <t>MY</t>
  </si>
  <si>
    <t>OM</t>
  </si>
  <si>
    <t>KN</t>
  </si>
  <si>
    <t>UY</t>
  </si>
  <si>
    <t>BB</t>
  </si>
  <si>
    <t>BG</t>
  </si>
  <si>
    <t>TT</t>
  </si>
  <si>
    <t>AG</t>
  </si>
  <si>
    <t>CL</t>
  </si>
  <si>
    <t>SC</t>
  </si>
  <si>
    <t>ME</t>
  </si>
  <si>
    <t>CR</t>
  </si>
  <si>
    <t>AR</t>
  </si>
  <si>
    <t>PF</t>
  </si>
  <si>
    <t>BY</t>
  </si>
  <si>
    <t>DO</t>
  </si>
  <si>
    <t>CU</t>
  </si>
  <si>
    <t>CW</t>
  </si>
  <si>
    <t>TC</t>
  </si>
  <si>
    <t>RS</t>
  </si>
  <si>
    <t>GE</t>
  </si>
  <si>
    <t>AZ</t>
  </si>
  <si>
    <t>CN</t>
  </si>
  <si>
    <t>LC</t>
  </si>
  <si>
    <t>MK</t>
  </si>
  <si>
    <t>MV</t>
  </si>
  <si>
    <t>BA</t>
  </si>
  <si>
    <t>TM</t>
  </si>
  <si>
    <t>MX</t>
  </si>
  <si>
    <t>DM</t>
  </si>
  <si>
    <t>AM</t>
  </si>
  <si>
    <t>TH</t>
  </si>
  <si>
    <t>VC</t>
  </si>
  <si>
    <t>EG</t>
  </si>
  <si>
    <t>BR</t>
  </si>
  <si>
    <t>CO</t>
  </si>
  <si>
    <t>NR</t>
  </si>
  <si>
    <t>PW</t>
  </si>
  <si>
    <t>AL</t>
  </si>
  <si>
    <t>MN</t>
  </si>
  <si>
    <t>SR</t>
  </si>
  <si>
    <t>UA</t>
  </si>
  <si>
    <t>BW</t>
  </si>
  <si>
    <t>PY</t>
  </si>
  <si>
    <t>GD</t>
  </si>
  <si>
    <t>KS</t>
  </si>
  <si>
    <t>BQ</t>
  </si>
  <si>
    <t>PE</t>
  </si>
  <si>
    <t>GA</t>
  </si>
  <si>
    <t>BT</t>
  </si>
  <si>
    <t>GQ</t>
  </si>
  <si>
    <t>LK</t>
  </si>
  <si>
    <t>VN</t>
  </si>
  <si>
    <t>DZ</t>
  </si>
  <si>
    <t>EC</t>
  </si>
  <si>
    <t>MD</t>
  </si>
  <si>
    <t>FJ</t>
  </si>
  <si>
    <t>ZA</t>
  </si>
  <si>
    <t>LY</t>
  </si>
  <si>
    <t>IR</t>
  </si>
  <si>
    <t>GT</t>
  </si>
  <si>
    <t>ID</t>
  </si>
  <si>
    <t>IQ</t>
  </si>
  <si>
    <t>TN</t>
  </si>
  <si>
    <t>BZ</t>
  </si>
  <si>
    <t>SV</t>
  </si>
  <si>
    <t>PH</t>
  </si>
  <si>
    <t>LB</t>
  </si>
  <si>
    <t>JM</t>
  </si>
  <si>
    <t>NA</t>
  </si>
  <si>
    <t>MA</t>
  </si>
  <si>
    <t>BO</t>
  </si>
  <si>
    <t>TV</t>
  </si>
  <si>
    <t>CV</t>
  </si>
  <si>
    <t>JO</t>
  </si>
  <si>
    <t>SZ</t>
  </si>
  <si>
    <t>IN</t>
  </si>
  <si>
    <t>BD</t>
  </si>
  <si>
    <t>MH</t>
  </si>
  <si>
    <t>TO</t>
  </si>
  <si>
    <t>LA</t>
  </si>
  <si>
    <t>UZ</t>
  </si>
  <si>
    <t>NI</t>
  </si>
  <si>
    <t>KG</t>
  </si>
  <si>
    <t>WS</t>
  </si>
  <si>
    <t>GH</t>
  </si>
  <si>
    <t>DJ</t>
  </si>
  <si>
    <t>CI</t>
  </si>
  <si>
    <t>KH</t>
  </si>
  <si>
    <t>AO</t>
  </si>
  <si>
    <t>HN</t>
  </si>
  <si>
    <t>MR</t>
  </si>
  <si>
    <t>TJ</t>
  </si>
  <si>
    <t>PK</t>
  </si>
  <si>
    <t>NG</t>
  </si>
  <si>
    <t>ST</t>
  </si>
  <si>
    <t>KE</t>
  </si>
  <si>
    <t>NP</t>
  </si>
  <si>
    <t>MM</t>
  </si>
  <si>
    <t>PS</t>
  </si>
  <si>
    <t>KI</t>
  </si>
  <si>
    <t>CM</t>
  </si>
  <si>
    <t>CG</t>
  </si>
  <si>
    <t>TL</t>
  </si>
  <si>
    <t>FM</t>
  </si>
  <si>
    <t>PG</t>
  </si>
  <si>
    <t>SN</t>
  </si>
  <si>
    <t>SY</t>
  </si>
  <si>
    <t>KM</t>
  </si>
  <si>
    <t>ZM</t>
  </si>
  <si>
    <t>BJ</t>
  </si>
  <si>
    <t>VU</t>
  </si>
  <si>
    <t>ET</t>
  </si>
  <si>
    <t>RW</t>
  </si>
  <si>
    <t>LS</t>
  </si>
  <si>
    <t>TZ</t>
  </si>
  <si>
    <t>GN</t>
  </si>
  <si>
    <t>SL</t>
  </si>
  <si>
    <t>GM</t>
  </si>
  <si>
    <t>UG</t>
  </si>
  <si>
    <t>TG</t>
  </si>
  <si>
    <t>HT</t>
  </si>
  <si>
    <t>VE</t>
  </si>
  <si>
    <t>BF</t>
  </si>
  <si>
    <t>SB</t>
  </si>
  <si>
    <t>KP</t>
  </si>
  <si>
    <t>ML</t>
  </si>
  <si>
    <t>GW</t>
  </si>
  <si>
    <t>AF</t>
  </si>
  <si>
    <t>TD</t>
  </si>
  <si>
    <t>ER</t>
  </si>
  <si>
    <t>NE</t>
  </si>
  <si>
    <t>LR</t>
  </si>
  <si>
    <t>SS</t>
  </si>
  <si>
    <t>MG</t>
  </si>
  <si>
    <t>MW</t>
  </si>
  <si>
    <t>CD</t>
  </si>
  <si>
    <t>SO</t>
  </si>
  <si>
    <t>MZ</t>
  </si>
  <si>
    <t>CF</t>
  </si>
  <si>
    <t>YE</t>
  </si>
  <si>
    <t>BI</t>
  </si>
  <si>
    <t>SD</t>
  </si>
  <si>
    <t>ZW</t>
  </si>
  <si>
    <t>World</t>
  </si>
  <si>
    <t>Other East Asia</t>
  </si>
  <si>
    <t>Other Western Europe</t>
  </si>
  <si>
    <t>Eastern Europe</t>
  </si>
  <si>
    <t>Other Latin America</t>
  </si>
  <si>
    <t>Other MENA</t>
  </si>
  <si>
    <t>Other North America &amp; Oceania</t>
  </si>
  <si>
    <t>Other Russia &amp; Central Asia</t>
  </si>
  <si>
    <t>Other South &amp; South-East Asia</t>
  </si>
  <si>
    <t>Other Sub-Saharan Africa</t>
  </si>
  <si>
    <t>Name of Country</t>
  </si>
  <si>
    <t>Income decile</t>
  </si>
  <si>
    <t>Region</t>
  </si>
  <si>
    <t>Country code</t>
  </si>
  <si>
    <t>Ratio MER/PPP Per Capita National Income
(2021 €)</t>
  </si>
  <si>
    <t>Ratio MER/PPP Per Capita National Income
(2021 $)</t>
  </si>
  <si>
    <t>Exchange rate euro/dollar</t>
  </si>
  <si>
    <t>Purchasing power parity euro/dollar</t>
  </si>
  <si>
    <t>Exchange rate euro/yuan</t>
  </si>
  <si>
    <t>Purchasing power parity euro/yuan</t>
  </si>
  <si>
    <t>North America/ Oceania</t>
  </si>
  <si>
    <t>Middle East/North Africa</t>
  </si>
  <si>
    <t>Subsaharan Africa</t>
  </si>
  <si>
    <t>Russia/ Central Asia</t>
  </si>
  <si>
    <t>OC</t>
  </si>
  <si>
    <t>QM</t>
  </si>
  <si>
    <t>OH</t>
  </si>
  <si>
    <t>OD</t>
  </si>
  <si>
    <t>OE</t>
  </si>
  <si>
    <t>OJ</t>
  </si>
  <si>
    <t>OA</t>
  </si>
  <si>
    <t>OB</t>
  </si>
  <si>
    <t>OI</t>
  </si>
  <si>
    <t>Data series used for the figures on exchange rates and PPP euro/dollar and euro/yuan</t>
  </si>
  <si>
    <r>
      <t xml:space="preserve">Population </t>
    </r>
    <r>
      <rPr>
        <sz val="12"/>
        <color theme="1"/>
        <rFont val="Arial Narrow"/>
        <family val="2"/>
      </rPr>
      <t>(millions)</t>
    </r>
  </si>
  <si>
    <r>
      <t xml:space="preserve">Population </t>
    </r>
    <r>
      <rPr>
        <sz val="12"/>
        <color theme="1"/>
        <rFont val="Arial Narrow"/>
        <family val="2"/>
      </rPr>
      <t>(% world total)</t>
    </r>
  </si>
  <si>
    <r>
      <t xml:space="preserve">National income      </t>
    </r>
    <r>
      <rPr>
        <sz val="12"/>
        <color theme="1"/>
        <rFont val="Arial Narrow"/>
        <family val="2"/>
      </rPr>
      <t>(% world total)</t>
    </r>
  </si>
  <si>
    <r>
      <t xml:space="preserve">Per capita national income      </t>
    </r>
    <r>
      <rPr>
        <sz val="12"/>
        <color theme="1"/>
        <rFont val="Arial Narrow"/>
        <family val="2"/>
      </rPr>
      <t>(% world average)</t>
    </r>
  </si>
  <si>
    <t>National income</t>
  </si>
  <si>
    <t>Per capita national income</t>
  </si>
  <si>
    <r>
      <t xml:space="preserve">Per capita national income      </t>
    </r>
    <r>
      <rPr>
        <sz val="12"/>
        <color theme="1"/>
        <rFont val="Arial Narrow"/>
        <family val="2"/>
      </rPr>
      <t>(% world total)</t>
    </r>
  </si>
  <si>
    <t xml:space="preserve"> Gross domestic product</t>
  </si>
  <si>
    <r>
      <t xml:space="preserve"> Gross domestic product  </t>
    </r>
    <r>
      <rPr>
        <sz val="12"/>
        <color theme="1"/>
        <rFont val="Arial Narrow"/>
        <family val="2"/>
      </rPr>
      <t>(% world total)</t>
    </r>
  </si>
  <si>
    <r>
      <t xml:space="preserve"> Gross domestic product </t>
    </r>
    <r>
      <rPr>
        <sz val="12"/>
        <color theme="1"/>
        <rFont val="Arial Narrow"/>
        <family val="2"/>
      </rPr>
      <t>(% world total)</t>
    </r>
  </si>
  <si>
    <t xml:space="preserve"> Per capita gross domestic product</t>
  </si>
  <si>
    <t xml:space="preserve"> Per capita gross domestic product (% world total)</t>
  </si>
  <si>
    <t xml:space="preserve"> Per capita gross domestic product  (% world total)</t>
  </si>
  <si>
    <r>
      <t xml:space="preserve">Per capita national income   </t>
    </r>
    <r>
      <rPr>
        <sz val="12"/>
        <color theme="1"/>
        <rFont val="Arial Narrow"/>
        <family val="2"/>
      </rPr>
      <t>(PPP 2021 $) (ICP 2021)</t>
    </r>
  </si>
  <si>
    <r>
      <t xml:space="preserve">Per capita national income      </t>
    </r>
    <r>
      <rPr>
        <sz val="12"/>
        <color theme="1"/>
        <rFont val="Arial Narrow"/>
        <family val="2"/>
      </rPr>
      <t>(% world average) (ICP 2021)</t>
    </r>
  </si>
  <si>
    <r>
      <t xml:space="preserve">Per capita national income   </t>
    </r>
    <r>
      <rPr>
        <sz val="12"/>
        <color theme="1"/>
        <rFont val="Arial Narrow"/>
        <family val="2"/>
      </rPr>
      <t>(PPP 2017 $) (ICP 2011)</t>
    </r>
  </si>
  <si>
    <r>
      <t xml:space="preserve">Per capita national income      </t>
    </r>
    <r>
      <rPr>
        <sz val="12"/>
        <color theme="1"/>
        <rFont val="Arial Narrow"/>
        <family val="2"/>
      </rPr>
      <t>(% world average) (ICP 2011)</t>
    </r>
  </si>
  <si>
    <r>
      <t xml:space="preserve">Ratio of ICP 2021/ICP 2011 Per capita national income   </t>
    </r>
    <r>
      <rPr>
        <sz val="12"/>
        <color theme="1"/>
        <rFont val="Arial Narrow"/>
        <family val="2"/>
      </rPr>
      <t xml:space="preserve">(PPP 2021 $) </t>
    </r>
  </si>
  <si>
    <t>Annual growth rate 1980-2000</t>
  </si>
  <si>
    <t>Country</t>
  </si>
  <si>
    <r>
      <t xml:space="preserve">1800 Population </t>
    </r>
    <r>
      <rPr>
        <sz val="12"/>
        <color theme="1"/>
        <rFont val="Arial Narrow"/>
        <family val="2"/>
      </rPr>
      <t>(millions)</t>
    </r>
  </si>
  <si>
    <t>1980 Price index   (€)</t>
  </si>
  <si>
    <t>1800 Price index   (€)</t>
  </si>
  <si>
    <t>1800 Price index   ($)</t>
  </si>
  <si>
    <t>1980 Price index   ($)</t>
  </si>
  <si>
    <t xml:space="preserve">Total Population </t>
  </si>
  <si>
    <t>Net Foreign Income as % of Net Domestic Product (PPP)</t>
  </si>
  <si>
    <t>Ratio between MER and PPP Per Capita National Income</t>
  </si>
  <si>
    <t>Name of Country (excluding small countries)</t>
  </si>
  <si>
    <t>Total Population 
(excluding small countries)</t>
  </si>
  <si>
    <t>Net Foreign Income as % of Net Domestic Product (PPP)
(excluding small countries)</t>
  </si>
  <si>
    <t>Ratio between MER and PPP Per Capita National Income
(excluding small countries)</t>
  </si>
  <si>
    <t>Per capita national income   (PPP 2024 €)
(excluding small countries)</t>
  </si>
  <si>
    <r>
      <t xml:space="preserve">Total Population </t>
    </r>
    <r>
      <rPr>
        <sz val="12"/>
        <color theme="1"/>
        <rFont val="Arial Narrow"/>
        <family val="2"/>
      </rPr>
      <t>(millions)</t>
    </r>
  </si>
  <si>
    <t>Ratio MER/PPP National Income</t>
  </si>
  <si>
    <t>Ranking 1</t>
  </si>
  <si>
    <t>Ranking 2</t>
  </si>
  <si>
    <t>Ranking 3</t>
  </si>
  <si>
    <t>Ranking 4</t>
  </si>
  <si>
    <t>Ranking 5</t>
  </si>
  <si>
    <t>Ranking 6</t>
  </si>
  <si>
    <t>Ranking 7</t>
  </si>
  <si>
    <t>Ranking 8</t>
  </si>
  <si>
    <t>Ranking 9</t>
  </si>
  <si>
    <t>Ranking 10</t>
  </si>
  <si>
    <r>
      <rPr>
        <b/>
        <sz val="11"/>
        <color theme="1"/>
        <rFont val="Arial"/>
        <family val="2"/>
      </rPr>
      <t>Interpretation</t>
    </r>
    <r>
      <rPr>
        <sz val="11"/>
        <color theme="1"/>
        <rFont val="Arial"/>
        <family val="2"/>
      </rPr>
      <t xml:space="preserve">. In 2024, the world's poorest countries by per capita national income exhibit several common characteristics. There is no ultra-small country among them; they all pay substantial net foreign income to the rest of the world (except for Burundi and the Central African Republic); and their MER (market exchange rate) national income is always a lot smaller than their PPP national income, reflecting their low price level (given their exchange rate) relative to the world average, or to put it differently, their low exchange rate given their price level.  </t>
    </r>
    <r>
      <rPr>
        <b/>
        <sz val="11"/>
        <color theme="1"/>
        <rFont val="Arial"/>
        <family val="2"/>
      </rPr>
      <t>Sources and series</t>
    </r>
    <r>
      <rPr>
        <sz val="11"/>
        <color theme="1"/>
        <rFont val="Arial"/>
        <family val="2"/>
      </rPr>
      <t>: wid.world</t>
    </r>
  </si>
  <si>
    <t>Name of Country (excluding pop&lt;10m countries)</t>
  </si>
  <si>
    <r>
      <t xml:space="preserve">Total Population </t>
    </r>
    <r>
      <rPr>
        <sz val="12"/>
        <color theme="1"/>
        <rFont val="Arial Narrow"/>
        <family val="2"/>
      </rPr>
      <t>(millions)</t>
    </r>
    <r>
      <rPr>
        <sz val="12"/>
        <color theme="1"/>
        <rFont val="Arial"/>
        <family val="2"/>
      </rPr>
      <t xml:space="preserve">
(excluding pop&lt;10m countries)</t>
    </r>
  </si>
  <si>
    <t>Ratio MER/PPP Per Capita National Income 
(2024 €)</t>
  </si>
  <si>
    <t>Net Foreign Wealth as % of Net Domestic Product (PPP 2024 €)
(excluding pop&lt;10m countries)</t>
  </si>
  <si>
    <t>Net Foreign Income as % of Net Domestic Product (PPP 2024 €)
(excluding pop&lt;10m countries)</t>
  </si>
  <si>
    <r>
      <rPr>
        <b/>
        <sz val="11"/>
        <color theme="1"/>
        <rFont val="Arial"/>
        <family val="2"/>
      </rPr>
      <t>Interpretation</t>
    </r>
    <r>
      <rPr>
        <sz val="11"/>
        <color theme="1"/>
        <rFont val="Arial"/>
        <family val="2"/>
      </rPr>
      <t xml:space="preserve">. Most of these countries receive positive net foreign income. These net foreign incomes provide income supplements to these countries, which are much smaller. The fact that they receive positive net foreign income is striking in some cases, given that some of them – especially the USA – have large negative foreign wealth. Richest countries are usually even richer if we use MER (market exchange rate) rather than PPP, reflecting the fact that their price level (given their exchange rate) is generally larger than the world average, or to put it differently, the fact that their exchange rate is high (given their price level), with the exception of Taïwan and Saudi Arabia.  </t>
    </r>
    <r>
      <rPr>
        <b/>
        <sz val="11"/>
        <color theme="1"/>
        <rFont val="Arial"/>
        <family val="2"/>
      </rPr>
      <t>Sources and series</t>
    </r>
    <r>
      <rPr>
        <sz val="11"/>
        <color theme="1"/>
        <rFont val="Arial"/>
        <family val="2"/>
      </rPr>
      <t>: wid.world</t>
    </r>
  </si>
  <si>
    <t>Tables</t>
  </si>
  <si>
    <t>Appendix1</t>
  </si>
  <si>
    <t>Figures</t>
  </si>
  <si>
    <r>
      <t xml:space="preserve">Figure 0a. </t>
    </r>
    <r>
      <rPr>
        <sz val="11"/>
        <color rgb="FF000000"/>
        <rFont val="Calibri"/>
        <family val="2"/>
        <scheme val="minor"/>
      </rPr>
      <t>Exchange Rate and Purchasing Power Parity: Euro/Dollar</t>
    </r>
  </si>
  <si>
    <r>
      <t xml:space="preserve">Figure 0b. </t>
    </r>
    <r>
      <rPr>
        <sz val="11"/>
        <color rgb="FF000000"/>
        <rFont val="Calibri"/>
        <family val="2"/>
        <scheme val="minor"/>
      </rPr>
      <t>Exchange Rate and Purchasing Power Parity: Euro/Yuan</t>
    </r>
  </si>
  <si>
    <t>Content</t>
  </si>
  <si>
    <t>(last update: 08/08/2025)</t>
  </si>
  <si>
    <t>Old Numeration</t>
  </si>
  <si>
    <t>F0</t>
  </si>
  <si>
    <t>T1</t>
  </si>
  <si>
    <t>T1-</t>
  </si>
  <si>
    <t>T1B</t>
  </si>
  <si>
    <t>T2</t>
  </si>
  <si>
    <t>T4</t>
  </si>
  <si>
    <t>T2_EASA</t>
  </si>
  <si>
    <t>T8</t>
  </si>
  <si>
    <t>T9</t>
  </si>
  <si>
    <t>T13</t>
  </si>
  <si>
    <t>Appendidix1</t>
  </si>
  <si>
    <t>Ranking 11</t>
  </si>
  <si>
    <t>Ranking 12</t>
  </si>
  <si>
    <t>Ranking 13</t>
  </si>
  <si>
    <t>Ranking 14</t>
  </si>
  <si>
    <t>Ranking 15</t>
  </si>
  <si>
    <t>Ranking 16</t>
  </si>
  <si>
    <t>Ranking 17</t>
  </si>
  <si>
    <t>Ranking 18</t>
  </si>
  <si>
    <t>Ranking 19</t>
  </si>
  <si>
    <t>Ranking 20</t>
  </si>
  <si>
    <t>Net Foreign Income as % of National Disposable Income</t>
  </si>
  <si>
    <t>Net Foreign Transfers as % of the National Disposable Income</t>
  </si>
  <si>
    <t>1800 Price index   (PPP 2025 €)</t>
  </si>
  <si>
    <t>1980 Price index   (PPP 2025 €)</t>
  </si>
  <si>
    <t>2025 Price index   (PPP 2025 €)</t>
  </si>
  <si>
    <t>Annual growth rate 1800-2025</t>
  </si>
  <si>
    <t>Annual growth rate 2000-2025</t>
  </si>
  <si>
    <t>2025 Population (millions)</t>
  </si>
  <si>
    <t>Ratio 2025/1800</t>
  </si>
  <si>
    <t>1800 Per capita national income   (PPP 2025 €)</t>
  </si>
  <si>
    <t>2025 Per capita national income   (PPP 2025 €)</t>
  </si>
  <si>
    <t>1980 Per capita national income   (PPP 2025 €)</t>
  </si>
  <si>
    <t>1800 Per capita national income   (PPP 2025 $)</t>
  </si>
  <si>
    <t>1980 Per capita national income   (PPP 2025 $)</t>
  </si>
  <si>
    <t>2025 Per capita national income   (PPP 2025 $)</t>
  </si>
  <si>
    <t>Table 3a. Per capita gross domestic product by World Region USD-EUR (2025)</t>
  </si>
  <si>
    <t>PPP 2025 €</t>
  </si>
  <si>
    <t xml:space="preserve"> 2025 MER €</t>
  </si>
  <si>
    <t>PPP 2025 $</t>
  </si>
  <si>
    <t xml:space="preserve"> 2025 MER $</t>
  </si>
  <si>
    <t>Table 3. Gross domestic product by World Region USD-EUR (2025)</t>
  </si>
  <si>
    <t>PPP 2025  billions €</t>
  </si>
  <si>
    <t xml:space="preserve"> 2025 MER billions €</t>
  </si>
  <si>
    <t>PPP 2025  billions $</t>
  </si>
  <si>
    <t xml:space="preserve"> 2025 MER billions $</t>
  </si>
  <si>
    <t>Table 2a. Per capita national Income by World Region USD-EUR (2025)</t>
  </si>
  <si>
    <t>PPP 2025   €</t>
  </si>
  <si>
    <t>2025 MER €</t>
  </si>
  <si>
    <t>PPP 2025  $</t>
  </si>
  <si>
    <t>2025 MER $</t>
  </si>
  <si>
    <t>Table 2. National Income by World Region USD-EUR (2025)</t>
  </si>
  <si>
    <t>Table 1. National Income by World Region (2025)</t>
  </si>
  <si>
    <t>National income        (PPP 2025 billions €)</t>
  </si>
  <si>
    <t>Per capita national income   (PPP 2025 €)</t>
  </si>
  <si>
    <t xml:space="preserve">Data series used for the figure on average income across world regions (national income per capita, PPP € 2025) </t>
  </si>
  <si>
    <t>Total national income   
(PPP 2025 €)</t>
  </si>
  <si>
    <t>Population 2025 (millions)</t>
  </si>
  <si>
    <t>Ratio MER/PPP Per Capita National Income
(2025 €)</t>
  </si>
  <si>
    <t>Ratio MER/PPP Per Capita National Income
(2025 $)</t>
  </si>
  <si>
    <t>Per capita national income   (PPP 2025 €)
(excluding small countries)</t>
  </si>
  <si>
    <t>Net Foreign Wealth as % of Net Domestic Product (PPP 2025 €)</t>
  </si>
  <si>
    <t>Net Foreign Wealth as % of Net Domestic Product (PPP 2025 €)
(excluding small countries)</t>
  </si>
  <si>
    <t xml:space="preserve">Per Capita National Income
(PPP 2025 €)
</t>
  </si>
  <si>
    <t>National income        (MER 2025 billions €)</t>
  </si>
  <si>
    <t>Ranking
National income        (MER 2025 billions €)</t>
  </si>
  <si>
    <t>Net Foreign Income as % NDP (MER 2025 $)</t>
  </si>
  <si>
    <t>Net Foreign Wealth as % NDP (MER 2025 $)</t>
  </si>
  <si>
    <t xml:space="preserve">M. Arias-Osorio, R. Moshrif, G. Nievas, T. Piketty, A. Van Der Ree "2026 Global Inequality Updates: New Insights from Extended WID Macro Series", WIL TN, 2026
</t>
  </si>
  <si>
    <t>Current Account</t>
  </si>
  <si>
    <t xml:space="preserve"> Net foreign capital income</t>
  </si>
  <si>
    <t>Net foreign labor income</t>
  </si>
  <si>
    <t>Trade balance</t>
  </si>
  <si>
    <t xml:space="preserve"> Foreign subsidies less taxes on production and imports</t>
  </si>
  <si>
    <t>Net foreign transfers</t>
  </si>
  <si>
    <t>Net Foreign Income (PPP 2025 €)</t>
  </si>
  <si>
    <t>Net Foreign Capital Income (PPP 2025 €)</t>
  </si>
  <si>
    <t>Net Foreign Labor Income (PPP 2025 €)</t>
  </si>
  <si>
    <t>Net Foreign Wealth (PPP 2025 €)</t>
  </si>
  <si>
    <t>Net Domestic Product 
(PPP 2025 €)</t>
  </si>
  <si>
    <t>GDP
(PPP 2025 €)</t>
  </si>
  <si>
    <t>2000 Per capita national income   (PPP 2025 €)</t>
  </si>
  <si>
    <t>2020 Per capita national income   (PPP 2025 €)</t>
  </si>
  <si>
    <t>Annual growth rate 2020-2025</t>
  </si>
  <si>
    <t>2000 Per capita national income   (PPP 2025 $)</t>
  </si>
  <si>
    <t>2020 Per capita national income   (PPP 2025 $)</t>
  </si>
  <si>
    <t>1800 Per capita national income   (MER €)</t>
  </si>
  <si>
    <t>1980 Per capita national income   (MER €)</t>
  </si>
  <si>
    <t>2000 Per capita national income   (MER €)</t>
  </si>
  <si>
    <t>2020 Per capita national income   (MER €)</t>
  </si>
  <si>
    <t>2025 Per capita national income   (MER €)</t>
  </si>
  <si>
    <t>1800 Per capita national income   (MER $)</t>
  </si>
  <si>
    <t>1980 Per capita national income   (MER $)</t>
  </si>
  <si>
    <t>2000 Per capita national income   (MER $)</t>
  </si>
  <si>
    <t>2020 Per capita national income   (MER $)</t>
  </si>
  <si>
    <t>2025 Per capita national income   (MER $)</t>
  </si>
  <si>
    <t>2020 Population (millions)</t>
  </si>
  <si>
    <t>2000 Population (millions)</t>
  </si>
  <si>
    <t>1980 Population (millions)</t>
  </si>
  <si>
    <t>2000 Price index   (PPP 2025 €)</t>
  </si>
  <si>
    <t>2020 Price index   (PPP 2025 €)</t>
  </si>
  <si>
    <t>1800 Price index   (PPP 2025 $)</t>
  </si>
  <si>
    <t>1980 Price index   (PPP 2025 $)</t>
  </si>
  <si>
    <t>2000 Price index   (PPP 2025 $)</t>
  </si>
  <si>
    <t>2020 Price index   (PPP 2025 $)</t>
  </si>
  <si>
    <t>2025 Price index   (PPP 2025 $)</t>
  </si>
  <si>
    <t>2000 Price index   (€)</t>
  </si>
  <si>
    <t>2020 Price index   (€)</t>
  </si>
  <si>
    <t>2025 Price index   (€)</t>
  </si>
  <si>
    <t>2025 Price index   ($)</t>
  </si>
  <si>
    <t>2020 Price index   ($)</t>
  </si>
  <si>
    <t>2000 Price index   ($)</t>
  </si>
  <si>
    <t xml:space="preserve"> 1800 Net Foreign Assets</t>
  </si>
  <si>
    <t xml:space="preserve"> 1980 Net Foreign Assets</t>
  </si>
  <si>
    <t>2020 Net Foreign Assets</t>
  </si>
  <si>
    <t>2025 Net Foreign Assets</t>
  </si>
  <si>
    <t>MER billions $</t>
  </si>
  <si>
    <t>2000 Net Foreign Assets</t>
  </si>
  <si>
    <t xml:space="preserve"> 1800 Net Foreign Assets as % of NDP</t>
  </si>
  <si>
    <t xml:space="preserve"> 1980 Net Foreign Assets  as % of NDP</t>
  </si>
  <si>
    <t>2000 Net Foreign Assets  as % of NDP</t>
  </si>
  <si>
    <t>2020 Net Foreign Assets  as % of NDP</t>
  </si>
  <si>
    <t>2025 Net Foreign Assets  as % of NDP</t>
  </si>
  <si>
    <t>MER billions €</t>
  </si>
  <si>
    <r>
      <rPr>
        <b/>
        <sz val="11"/>
        <color theme="1"/>
        <rFont val="Arial"/>
        <family val="2"/>
      </rPr>
      <t>Interpretation.</t>
    </r>
    <r>
      <rPr>
        <sz val="11"/>
        <color theme="1"/>
        <rFont val="Arial"/>
        <family val="2"/>
      </rPr>
      <t xml:space="preserve"> In 2025, per capita national income amounts to a little more than 14 588€ (PPP) worldwide, i.e., 1 216€ per month. Per capita national income, i.e., the income which all individuals would receive with a perfectly egalitarian distribution, varies from an average of little more than 3509€ in Subsaharan Africa (about 292€ per month) to over 47 013€ in North America/Oceania (about 3 917€ per month), i.e., an income scale of 1 to 13. Sources and series: wid.world</t>
    </r>
  </si>
  <si>
    <r>
      <rPr>
        <b/>
        <sz val="11"/>
        <rFont val="Calibri"/>
        <family val="2"/>
      </rPr>
      <t xml:space="preserve">Interpretation. </t>
    </r>
    <r>
      <rPr>
        <sz val="11"/>
        <rFont val="Calibri"/>
        <family val="2"/>
      </rPr>
      <t xml:space="preserve">In 2025, per capita national income  amounts to  14 588€ (PPP) worldwide, i.e., 1 216€ per month. Per capita national income, i.e., theincome which all individuals would receive with a perfectly egalitarian distribution, varies from an average of little more than 3 509€ in Subsaharan Africa (about 292€ per month) to over 47 013€ in North America/Oceania (about 3917€ per month), i.e., an income scale of 1 to 13. </t>
    </r>
    <r>
      <rPr>
        <b/>
        <sz val="11"/>
        <rFont val="Calibri"/>
        <family val="2"/>
      </rPr>
      <t>Sources and series:</t>
    </r>
    <r>
      <rPr>
        <sz val="11"/>
        <rFont val="Calibri"/>
        <family val="2"/>
      </rPr>
      <t xml:space="preserve"> wid.world</t>
    </r>
  </si>
  <si>
    <r>
      <rPr>
        <b/>
        <sz val="11"/>
        <rFont val="Calibri"/>
        <family val="2"/>
      </rPr>
      <t>Interpretation.</t>
    </r>
    <r>
      <rPr>
        <sz val="11"/>
        <rFont val="Calibri"/>
        <family val="2"/>
      </rPr>
      <t xml:space="preserve"> In 2025, national income amounts to  120 068€ (PPP) billion worldwide.  National Income, varies from an average of little more than 4 646 billion € in Subsaharan Africa to over 20 397 € billion in North America/Oceania , i.e., an income scale of 1 to 4. </t>
    </r>
    <r>
      <rPr>
        <b/>
        <sz val="11"/>
        <rFont val="Calibri"/>
        <family val="2"/>
      </rPr>
      <t>Sources and series:</t>
    </r>
    <r>
      <rPr>
        <sz val="11"/>
        <rFont val="Calibri"/>
        <family val="2"/>
      </rPr>
      <t xml:space="preserve"> wid.world								</t>
    </r>
  </si>
  <si>
    <r>
      <rPr>
        <b/>
        <sz val="11"/>
        <rFont val="Calibri"/>
        <family val="2"/>
      </rPr>
      <t xml:space="preserve">Interpretation. </t>
    </r>
    <r>
      <rPr>
        <sz val="11"/>
        <rFont val="Calibri"/>
        <family val="2"/>
      </rPr>
      <t>In 2025,  gross domestic product  amounts to  143 368€ (PPP) billion worldwide.  Gross domestic product,  varies from little more than 5 299€ billion in Subsaharan Africa to almost 24 436€ billion in North America/Oceania , i.e., an income scale of 1 to 5. Sources and series: wid.world</t>
    </r>
  </si>
  <si>
    <r>
      <rPr>
        <b/>
        <sz val="11"/>
        <rFont val="Calibri"/>
        <family val="2"/>
      </rPr>
      <t xml:space="preserve">Interpretation. </t>
    </r>
    <r>
      <rPr>
        <sz val="11"/>
        <rFont val="Calibri"/>
        <family val="2"/>
      </rPr>
      <t>In 2025, per capita gross domestic product  amounts to  17 419€ (PPP) worldwide, i.e., 1 452€ per month. Per capita gross domestic product, i.e., the part of the product which all individuals would receive with a perfectly egalitarian distribution, varies from an average of little more than 4 002€ in Subsaharan Africa (about 333€ per month) to over 56 325€ in North America/Oceania (about 4 693€ per month), i.e., an income scale of 1 to 14. Sources and series: wid.world</t>
    </r>
  </si>
  <si>
    <r>
      <rPr>
        <b/>
        <sz val="11"/>
        <color theme="1"/>
        <rFont val="Arial"/>
        <family val="2"/>
      </rPr>
      <t>Interpretation</t>
    </r>
    <r>
      <rPr>
        <sz val="11"/>
        <color theme="1"/>
        <rFont val="Arial"/>
        <family val="2"/>
      </rPr>
      <t xml:space="preserve">. Between 1800 and 2025, the real growth rate of per capita national income expressed in PPP 2025 € at the global level has been 1.3% per year. Since we observed almost doubling of average income, with an acceleration after 2000: 1.5% per year over 2000-2025 and 2.8% over 2020-2025. </t>
    </r>
    <r>
      <rPr>
        <b/>
        <sz val="11"/>
        <color theme="1"/>
        <rFont val="Arial"/>
        <family val="2"/>
      </rPr>
      <t>Sources and series</t>
    </r>
    <r>
      <rPr>
        <sz val="11"/>
        <color theme="1"/>
        <rFont val="Arial"/>
        <family val="2"/>
      </rPr>
      <t>: wid.world</t>
    </r>
  </si>
  <si>
    <r>
      <rPr>
        <b/>
        <sz val="11"/>
        <color theme="1"/>
        <rFont val="Arial"/>
        <family val="2"/>
      </rPr>
      <t>Interpretation</t>
    </r>
    <r>
      <rPr>
        <sz val="11"/>
        <color theme="1"/>
        <rFont val="Arial"/>
        <family val="2"/>
      </rPr>
      <t xml:space="preserve">. Between 1800 and 2025, the real growth rate of per capita national income expressed in PPP 2025 $ at the global level has been 1.3% per year. Since we observed almost doubling of average income, with an acceleration after 2000: 1.5% per year over 2000-2025 and 2.8% over 2020-2025. </t>
    </r>
    <r>
      <rPr>
        <b/>
        <sz val="11"/>
        <color theme="1"/>
        <rFont val="Arial"/>
        <family val="2"/>
      </rPr>
      <t>Sources and series</t>
    </r>
    <r>
      <rPr>
        <sz val="11"/>
        <color theme="1"/>
        <rFont val="Arial"/>
        <family val="2"/>
      </rPr>
      <t>: wid.world</t>
    </r>
  </si>
  <si>
    <r>
      <rPr>
        <b/>
        <sz val="11"/>
        <color theme="1"/>
        <rFont val="Arial"/>
        <family val="2"/>
      </rPr>
      <t>Interpretation</t>
    </r>
    <r>
      <rPr>
        <sz val="11"/>
        <color theme="1"/>
        <rFont val="Arial"/>
        <family val="2"/>
      </rPr>
      <t xml:space="preserve">. Between 1800 and 2025, the real growth rate of per capita national income expressed in MER € at the global level has been 1.3% per year. Since we observed almost doubling of average income, with an acceleration after 2000: 1.5% per year over 2000-2025 and 2.8% over 2020-2025. </t>
    </r>
    <r>
      <rPr>
        <b/>
        <sz val="11"/>
        <color theme="1"/>
        <rFont val="Arial"/>
        <family val="2"/>
      </rPr>
      <t>Sources and series</t>
    </r>
    <r>
      <rPr>
        <sz val="11"/>
        <color theme="1"/>
        <rFont val="Arial"/>
        <family val="2"/>
      </rPr>
      <t>: wid.world</t>
    </r>
  </si>
  <si>
    <r>
      <rPr>
        <b/>
        <sz val="11"/>
        <color theme="1"/>
        <rFont val="Arial"/>
        <family val="2"/>
      </rPr>
      <t>Interpretation</t>
    </r>
    <r>
      <rPr>
        <sz val="11"/>
        <color theme="1"/>
        <rFont val="Arial"/>
        <family val="2"/>
      </rPr>
      <t xml:space="preserve">. Between 1800 and 2025, the real growth rate of per capita national income expressed in MER $ at the global level has been 1.3% per year. Since we observed almost doubling of average income, with an acceleration after 2000: 1.5% per year over 2000-2025 and 2.8% over 2020-2025. </t>
    </r>
    <r>
      <rPr>
        <b/>
        <sz val="11"/>
        <color theme="1"/>
        <rFont val="Arial"/>
        <family val="2"/>
      </rPr>
      <t>Sources and series</t>
    </r>
    <r>
      <rPr>
        <sz val="11"/>
        <color theme="1"/>
        <rFont val="Arial"/>
        <family val="2"/>
      </rPr>
      <t>: wid.world</t>
    </r>
  </si>
  <si>
    <r>
      <rPr>
        <b/>
        <sz val="11"/>
        <color theme="1"/>
        <rFont val="Arial"/>
        <family val="2"/>
      </rPr>
      <t>Interpretation</t>
    </r>
    <r>
      <rPr>
        <sz val="11"/>
        <color theme="1"/>
        <rFont val="Arial"/>
        <family val="2"/>
      </rPr>
      <t xml:space="preserve">. From a very long-run perspective, we find the real growth rate of per capita national income at the global level has been 1.3% per year between 1800 and 2025. Only United Arab Emirates kept an average growth in  per capita national income (PPP-adjusted) above 2% but decreasing in average since 1800. East Asia's contries presented  significant growths ratesbetween 1980 and 2000. Sub-Saharan Africa, in contrast, saw slow grothws let contrasting only with, Sudan with an increase of 3,9% anual  from 1980 to 2000, with its highest growth period occurring during this century. </t>
    </r>
    <r>
      <rPr>
        <b/>
        <sz val="11"/>
        <color theme="1"/>
        <rFont val="Arial"/>
        <family val="2"/>
      </rPr>
      <t>Sources and series</t>
    </r>
    <r>
      <rPr>
        <sz val="11"/>
        <color theme="1"/>
        <rFont val="Arial"/>
        <family val="2"/>
      </rPr>
      <t>: wid.world</t>
    </r>
  </si>
  <si>
    <r>
      <rPr>
        <b/>
        <sz val="11"/>
        <color theme="1"/>
        <rFont val="Arial"/>
        <family val="2"/>
      </rPr>
      <t>Interpretation</t>
    </r>
    <r>
      <rPr>
        <sz val="11"/>
        <color theme="1"/>
        <rFont val="Arial"/>
        <family val="2"/>
      </rPr>
      <t xml:space="preserve">. Between 1800 and 2025, North America/Oceania and Latin America saw their populations grow more than 30-fold, while Europe, East Asia, and Russia/Central Asia experienced less than a 10-fold increase. Since 1980, Sub-Saharan Africa and the Middle East/North Africa have led in population growth rates (arround 3-fold), with Russia/Central Asia and Europe showing the slowest growth. </t>
    </r>
    <r>
      <rPr>
        <b/>
        <sz val="11"/>
        <color theme="1"/>
        <rFont val="Arial"/>
        <family val="2"/>
      </rPr>
      <t>Sources and series</t>
    </r>
    <r>
      <rPr>
        <sz val="11"/>
        <color theme="1"/>
        <rFont val="Arial"/>
        <family val="2"/>
      </rPr>
      <t>: wid.world</t>
    </r>
  </si>
  <si>
    <r>
      <rPr>
        <b/>
        <sz val="11"/>
        <color theme="1"/>
        <rFont val="Arial"/>
        <family val="2"/>
      </rPr>
      <t>Interpretation</t>
    </r>
    <r>
      <rPr>
        <sz val="11"/>
        <color theme="1"/>
        <rFont val="Arial"/>
        <family val="2"/>
      </rPr>
      <t xml:space="preserve">. Between 1800 and 2025, the average inflation in PPP € at the global level has been 2.9% per year, accelating during the last decades: 3.5% per year over 1980-2000  and 4% over last 5 years (2020-2025). </t>
    </r>
    <r>
      <rPr>
        <b/>
        <sz val="11"/>
        <color theme="1"/>
        <rFont val="Arial"/>
        <family val="2"/>
      </rPr>
      <t>Sources and series</t>
    </r>
    <r>
      <rPr>
        <sz val="11"/>
        <color theme="1"/>
        <rFont val="Arial"/>
        <family val="2"/>
      </rPr>
      <t>: wid.world</t>
    </r>
  </si>
  <si>
    <r>
      <rPr>
        <b/>
        <sz val="11"/>
        <color theme="1"/>
        <rFont val="Arial"/>
        <family val="2"/>
      </rPr>
      <t>Interpretation</t>
    </r>
    <r>
      <rPr>
        <sz val="11"/>
        <color theme="1"/>
        <rFont val="Arial"/>
        <family val="2"/>
      </rPr>
      <t xml:space="preserve">. Between 1980 and 2025, the average inflation in € at the global level has been 2.8% per year, accelating during the last decades: 4.8% per year over 1980-2000 and 2.7% over 2020-2025. </t>
    </r>
    <r>
      <rPr>
        <b/>
        <sz val="11"/>
        <color theme="1"/>
        <rFont val="Arial"/>
        <family val="2"/>
      </rPr>
      <t>Sources and series</t>
    </r>
    <r>
      <rPr>
        <sz val="11"/>
        <color theme="1"/>
        <rFont val="Arial"/>
        <family val="2"/>
      </rPr>
      <t>: wid.world</t>
    </r>
  </si>
  <si>
    <r>
      <rPr>
        <b/>
        <sz val="11"/>
        <color theme="1"/>
        <rFont val="Arial"/>
        <family val="2"/>
      </rPr>
      <t>Interpretation</t>
    </r>
    <r>
      <rPr>
        <sz val="11"/>
        <color theme="1"/>
        <rFont val="Arial"/>
        <family val="2"/>
      </rPr>
      <t xml:space="preserve">. Between 1800 and 2025, the average inflation in $ at the global level has been 1.6% per year, accelating during the last decades: 2.1% per year over 1980-2000 and 3.3% over 2020-2025. </t>
    </r>
    <r>
      <rPr>
        <b/>
        <sz val="11"/>
        <color theme="1"/>
        <rFont val="Arial"/>
        <family val="2"/>
      </rPr>
      <t>Sources and series</t>
    </r>
    <r>
      <rPr>
        <sz val="11"/>
        <color theme="1"/>
        <rFont val="Arial"/>
        <family val="2"/>
      </rPr>
      <t>: wid.world</t>
    </r>
  </si>
  <si>
    <r>
      <rPr>
        <b/>
        <sz val="11"/>
        <color theme="1"/>
        <rFont val="Arial"/>
        <family val="2"/>
      </rPr>
      <t>Interpretation</t>
    </r>
    <r>
      <rPr>
        <sz val="11"/>
        <color theme="1"/>
        <rFont val="Arial"/>
        <family val="2"/>
      </rPr>
      <t xml:space="preserve">. Between 1800 and 2025, the average inflation in PPP $ at the global level has been 1.7% per year, accelating during the last decades: 3% per year over 1980-2000 and 2.9% over 2000-2025 and 4.6% during the last 5 years. </t>
    </r>
    <r>
      <rPr>
        <b/>
        <sz val="11"/>
        <color theme="1"/>
        <rFont val="Arial"/>
        <family val="2"/>
      </rPr>
      <t>Sources and series</t>
    </r>
    <r>
      <rPr>
        <sz val="11"/>
        <color theme="1"/>
        <rFont val="Arial"/>
        <family val="2"/>
      </rPr>
      <t>: wid.world</t>
    </r>
  </si>
  <si>
    <r>
      <rPr>
        <b/>
        <sz val="11"/>
        <color theme="1"/>
        <rFont val="Arial"/>
        <family val="2"/>
      </rPr>
      <t>Interpretation</t>
    </r>
    <r>
      <rPr>
        <sz val="11"/>
        <color theme="1"/>
        <rFont val="Arial"/>
        <family val="2"/>
      </rPr>
      <t xml:space="preserve">. Between 1800 and 2025, the average inflation in PPP € at the global level has been 2.9% per year, accelating during the last decades: 3.5% per year over 1980-2000  and 4% over last 5 years (2020-2025).During 2000-2025, the average inflation has been 2% per year in most of countries wiht the exception  of small eocnomis in Latin America, Nort Americal and Oceania ya dn Sub-Saharan Africa, above 2.3%. In contrast, the small eocnomies in East asia displayed a lower growth of the price level of 0.4% per year for the same period. </t>
    </r>
    <r>
      <rPr>
        <b/>
        <sz val="11"/>
        <color theme="1"/>
        <rFont val="Arial"/>
        <family val="2"/>
      </rPr>
      <t>Sources and series</t>
    </r>
    <r>
      <rPr>
        <sz val="11"/>
        <color theme="1"/>
        <rFont val="Arial"/>
        <family val="2"/>
      </rPr>
      <t>: wid.world</t>
    </r>
  </si>
  <si>
    <r>
      <rPr>
        <b/>
        <sz val="11"/>
        <color theme="1"/>
        <rFont val="Arial"/>
        <family val="2"/>
      </rPr>
      <t>Interpretation</t>
    </r>
    <r>
      <rPr>
        <sz val="11"/>
        <color theme="1"/>
        <rFont val="Arial"/>
        <family val="2"/>
      </rPr>
      <t xml:space="preserve">. In 2025, the majority of the world's richest countries by per capita national income are small nations with populations under 1 million, with Singapore being the only exception among the top 10. These countries generally benefit from positive net foreign income (except Monaco). </t>
    </r>
    <r>
      <rPr>
        <b/>
        <sz val="11"/>
        <color theme="1"/>
        <rFont val="Arial"/>
        <family val="2"/>
      </rPr>
      <t>Sources and series</t>
    </r>
    <r>
      <rPr>
        <sz val="11"/>
        <color theme="1"/>
        <rFont val="Arial"/>
        <family val="2"/>
      </rPr>
      <t>: wid.world</t>
    </r>
  </si>
  <si>
    <r>
      <t xml:space="preserve">Interpretation. </t>
    </r>
    <r>
      <rPr>
        <sz val="12"/>
        <color theme="1"/>
        <rFont val="Arial"/>
        <family val="2"/>
      </rPr>
      <t xml:space="preserve">In 2025, the world's largest economies by total national income are predominantly large nations with populations exceeding 65 million. These countries all boast per capita national incomes surpassing 15,000 euros, with the exceptions of Brazil, Indonesia, and India. BRICS are dominant in PPP but severely weakened in MER. </t>
    </r>
    <r>
      <rPr>
        <b/>
        <sz val="12"/>
        <color theme="1"/>
        <rFont val="Arial"/>
        <family val="2"/>
      </rPr>
      <t xml:space="preserve">Sources and series: </t>
    </r>
    <r>
      <rPr>
        <sz val="12"/>
        <color theme="1"/>
        <rFont val="Arial"/>
        <family val="2"/>
      </rPr>
      <t>wid.world</t>
    </r>
  </si>
  <si>
    <r>
      <t>nterpretation.</t>
    </r>
    <r>
      <rPr>
        <sz val="11"/>
        <color theme="1"/>
        <rFont val="Arial"/>
        <family val="2"/>
      </rPr>
      <t xml:space="preserve">  In 2025, East Asia, Europe, and MENA present a positive current account, and South and South-East Asia approaches equilibrium in €. In contrast, North America displays a negative current account, led by an important trade balance deficit, while Latin America, Russia &amp; Central Asia, and Sub-Saharan Africa report negative results, led by their deficit position in foreign capital income. While in MER terms the world's National Accounts sum to zero, in PPP terms the disparities between local and international prices reveal an imbalance. When the MER results are compared with the PPP results, one can see that only the position of East Asia and North America &amp; Oceania strengthens; for the rest, the position weakens. </t>
    </r>
    <r>
      <rPr>
        <b/>
        <sz val="11"/>
        <color theme="1"/>
        <rFont val="Arial"/>
        <family val="2"/>
      </rPr>
      <t xml:space="preserve">Sources and series: </t>
    </r>
    <r>
      <rPr>
        <sz val="11"/>
        <color theme="1"/>
        <rFont val="Arial"/>
        <family val="2"/>
      </rPr>
      <t>wid.world</t>
    </r>
  </si>
  <si>
    <r>
      <t>nterpretation.</t>
    </r>
    <r>
      <rPr>
        <sz val="11"/>
        <color theme="1"/>
        <rFont val="Arial"/>
        <family val="2"/>
      </rPr>
      <t xml:space="preserve">  In 2025, East Asia, Europe, and MENA present a positive current account, and South and South-East Asia approaches equilibrium in $. In contrast, North America displays a negative current account, led by an important trade balance deficit, while Latin America, Russia &amp; Central Asia, and Sub-Saharan Africa report negative results, led by their deficit position in foreign capital income. While in MER terms the world's National Accounts sum to zero, in PPP terms the disparities between local and international prices reveal an imbalance. When the MER results are compared with the PPP results, one can see that only the position of East Asia strengthens; for the rest, the position weakens. </t>
    </r>
    <r>
      <rPr>
        <b/>
        <sz val="11"/>
        <color theme="1"/>
        <rFont val="Arial"/>
        <family val="2"/>
      </rPr>
      <t xml:space="preserve">Sources and series: </t>
    </r>
    <r>
      <rPr>
        <sz val="11"/>
        <color theme="1"/>
        <rFont val="Arial"/>
        <family val="2"/>
      </rPr>
      <t>wid.world</t>
    </r>
  </si>
  <si>
    <r>
      <t xml:space="preserve">Interpretation. </t>
    </r>
    <r>
      <rPr>
        <sz val="11"/>
        <color theme="1"/>
        <rFont val="Arial"/>
        <family val="2"/>
      </rPr>
      <t xml:space="preserve">Between 1800 and 2025, the net foreign assets in $ of Latin America, North America and Oceania, South and South-East Asia, and Sub-Saharan Africa have been consistently negative, in contrast with other regions such as Russia and Central Asia, which reported negative results only around 1980. During the last 5 years, the position of Latin America has strengthened in proportion to Net Domestic Product (NDP), while the deficit of North America and Oceania, South and South-East Asia, and Sub-Saharan Africa has increased as a share of NDP. </t>
    </r>
    <r>
      <rPr>
        <b/>
        <sz val="11"/>
        <color theme="1"/>
        <rFont val="Arial"/>
        <family val="2"/>
      </rPr>
      <t xml:space="preserve">Sources and series: </t>
    </r>
    <r>
      <rPr>
        <sz val="11"/>
        <color theme="1"/>
        <rFont val="Arial"/>
        <family val="2"/>
      </rPr>
      <t>wid.world</t>
    </r>
  </si>
  <si>
    <r>
      <t xml:space="preserve">Interpretation. </t>
    </r>
    <r>
      <rPr>
        <sz val="11"/>
        <color theme="1"/>
        <rFont val="Arial"/>
        <family val="2"/>
      </rPr>
      <t xml:space="preserve">Between 1800 and 2025, the net foreign assets in € of Latin America, North America and Oceania, South and South-East Asia, and Sub-Saharan Africa have been consistently negative, in contrast with other regions such as Russia and Central Asia, which reported negative results only around 1980. During the last 5 years, the position of Latin America has strengthened in proportion to Net Domestic Product (NDP), while the deficit of North America and Oceania, South and South-East Asia, and Sub-Saharan Africa has increased as a share of NDP. </t>
    </r>
    <r>
      <rPr>
        <b/>
        <sz val="11"/>
        <color theme="1"/>
        <rFont val="Arial"/>
        <family val="2"/>
      </rPr>
      <t xml:space="preserve">Sources and series: </t>
    </r>
    <r>
      <rPr>
        <sz val="11"/>
        <color theme="1"/>
        <rFont val="Arial"/>
        <family val="2"/>
      </rPr>
      <t>wid.world</t>
    </r>
  </si>
  <si>
    <t>Table 3c. National Income by World Region (2021): New PPP (ICP 2021) vs Old PPP (ICP 2011)</t>
  </si>
  <si>
    <t xml:space="preserve">Table 5. Per Capita National Income Growth PPP 2025  € by  WID core Territories (1980-2025) </t>
  </si>
  <si>
    <t xml:space="preserve">Table 4d. Per Capita National Income Growth MER 2025 $  by World Regions (1980-2025) </t>
  </si>
  <si>
    <t xml:space="preserve">Table 4c. Per Capita National Income Growth MER 2025 € by World Regions (1980-2025) </t>
  </si>
  <si>
    <t xml:space="preserve">Table 4b. Per Capita National Income Growth PPP 2025  $  by World Regions (1980-2025) </t>
  </si>
  <si>
    <t xml:space="preserve">Table 4a. Per Capita National Income Growth PPP 2025  € by World Regions (1980-2025) </t>
  </si>
  <si>
    <t>Table 6. Population by World Regions (1800-2025)</t>
  </si>
  <si>
    <t xml:space="preserve">Table 8. Price index Growth  €  by Core countries (1980-2025) </t>
  </si>
  <si>
    <t xml:space="preserve">Table 7d. Price index Growth  $ by World Regions (1980-2025) </t>
  </si>
  <si>
    <t xml:space="preserve">Table 7c. Price index Growth  € by World Regions (1980-2025) </t>
  </si>
  <si>
    <t xml:space="preserve">Table 7b. Price index Growth PPP 2025 $ by World Regions (1980-2025) </t>
  </si>
  <si>
    <t xml:space="preserve">Table 7a. Price index Growth PPP 2025 € by World Regions (1980-2025) </t>
  </si>
  <si>
    <t>Table 9. Top 10 Richest Countries (2025)</t>
  </si>
  <si>
    <t>Table9b. Top 10 Richest Countries (2024), excluding countries with population below 10 million</t>
  </si>
  <si>
    <t>Table9a. Top 10 Richest Countries (2024),including countries with population below 10 million</t>
  </si>
  <si>
    <t>Table 10. Bottom 10 Poorest Countries (2025)</t>
  </si>
  <si>
    <t>Table 11. Top 10 Largest Economies (2025)</t>
  </si>
  <si>
    <t>Table 12b. Current Account by World Region $ (2025)</t>
  </si>
  <si>
    <t>Table 12a. Current Account by World Region € (2025)</t>
  </si>
  <si>
    <t xml:space="preserve">Table 13a. Net foreing Assets €  by World Regions (1980-2025) </t>
  </si>
  <si>
    <t xml:space="preserve">Table 13b. Net foreing Assets $  by World Regions (1980-2025)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</si>
</sst>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0.0"/>
    <numFmt numFmtId="165" formatCode="#,##0.0"/>
    <numFmt numFmtId="166" formatCode="0.0%"/>
  </numFmts>
  <fonts count="21" x14ac:knownFonts="1">
    <font>
      <sz val="11"/>
      <name val="Calibri"/>
    </font>
    <font>
      <sz val="12"/>
      <color theme="1"/>
      <name val="Calibri"/>
      <family val="2"/>
      <scheme val="minor"/>
    </font>
    <font>
      <sz val="11"/>
      <name val="Calibri"/>
      <family val="2"/>
    </font>
    <font>
      <sz val="12"/>
      <color theme="1"/>
      <name val="Arial"/>
      <family val="2"/>
    </font>
    <font>
      <b/>
      <sz val="12"/>
      <color theme="1"/>
      <name val="Arial"/>
      <family val="2"/>
    </font>
    <font>
      <sz val="12"/>
      <name val="Arial"/>
      <family val="2"/>
    </font>
    <font>
      <sz val="10"/>
      <name val="Arial"/>
      <family val="2"/>
    </font>
    <font>
      <b/>
      <sz val="12"/>
      <name val="Arial"/>
      <family val="2"/>
    </font>
    <font>
      <sz val="12"/>
      <color theme="1"/>
      <name val="Arial Narrow"/>
      <family val="2"/>
    </font>
    <font>
      <b/>
      <sz val="12"/>
      <color rgb="FF000000"/>
      <name val="Arial"/>
      <family val="2"/>
    </font>
    <font>
      <sz val="12"/>
      <color rgb="FF000000"/>
      <name val="Arial"/>
      <family val="2"/>
    </font>
    <font>
      <sz val="11"/>
      <name val="Calibri"/>
      <family val="2"/>
    </font>
    <font>
      <b/>
      <sz val="11"/>
      <name val="Calibri"/>
      <family val="2"/>
    </font>
    <font>
      <b/>
      <sz val="11"/>
      <color theme="1"/>
      <name val="Arial"/>
      <family val="2"/>
    </font>
    <font>
      <sz val="11"/>
      <color theme="1"/>
      <name val="Arial"/>
      <family val="2"/>
    </font>
    <font>
      <sz val="8"/>
      <name val="Calibri"/>
      <family val="2"/>
    </font>
    <font>
      <sz val="11"/>
      <name val="Calibri"/>
      <family val="2"/>
      <scheme val="minor"/>
    </font>
    <font>
      <sz val="11"/>
      <color rgb="FF000000"/>
      <name val="Calibri"/>
      <family val="2"/>
      <scheme val="minor"/>
    </font>
    <font>
      <sz val="11"/>
      <color theme="0" tint="-0.49995422223578601"/>
      <name val="Calibri"/>
      <family val="2"/>
    </font>
    <font>
      <sz val="11"/>
      <color theme="1"/>
      <name val="Calibri"/>
      <family val="2"/>
      <scheme val="minor"/>
    </font>
    <font>
      <b/>
      <sz val="14"/>
      <name val="Arial"/>
      <family val="2"/>
    </font>
  </fonts>
  <fills count="7">
    <fill>
      <patternFill patternType="none"/>
    </fill>
    <fill>
      <patternFill patternType="gray125"/>
    </fill>
    <fill>
      <patternFill patternType="solid">
        <fgColor theme="0"/>
        <bgColor indexed="64"/>
      </patternFill>
    </fill>
    <fill>
      <patternFill patternType="solid">
        <fgColor rgb="FFFFFFFF"/>
        <bgColor rgb="FF000000"/>
      </patternFill>
    </fill>
    <fill>
      <patternFill patternType="solid">
        <fgColor rgb="FFFF0000"/>
        <bgColor indexed="64"/>
      </patternFill>
    </fill>
    <fill>
      <patternFill patternType="solid">
        <fgColor theme="8"/>
        <bgColor indexed="64"/>
      </patternFill>
    </fill>
    <fill>
      <patternFill patternType="solid">
        <fgColor rgb="FF00B050"/>
        <bgColor indexed="64"/>
      </patternFill>
    </fill>
  </fills>
  <borders count="24">
    <border>
      <left/>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diagonal/>
    </border>
    <border>
      <left style="thin">
        <color indexed="64"/>
      </left>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style="medium">
        <color indexed="64"/>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top/>
      <bottom style="medium">
        <color indexed="64"/>
      </bottom>
      <diagonal/>
    </border>
    <border>
      <left style="medium">
        <color indexed="64"/>
      </left>
      <right/>
      <top/>
      <bottom/>
      <diagonal/>
    </border>
    <border>
      <left/>
      <right style="medium">
        <color indexed="64"/>
      </right>
      <top/>
      <bottom/>
      <diagonal/>
    </border>
    <border>
      <left style="medium">
        <color indexed="64"/>
      </left>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medium">
        <color indexed="64"/>
      </top>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right style="medium">
        <color rgb="FF000000"/>
      </right>
      <top style="medium">
        <color indexed="64"/>
      </top>
      <bottom style="medium">
        <color indexed="64"/>
      </bottom>
      <diagonal/>
    </border>
  </borders>
  <cellStyleXfs count="7">
    <xf numFmtId="0" fontId="0" fillId="0" borderId="0"/>
    <xf numFmtId="43" fontId="2" fillId="0" borderId="0" applyFont="0" applyFill="0" applyBorder="0" applyAlignment="0" applyProtection="0"/>
    <xf numFmtId="0" fontId="1" fillId="0" borderId="0"/>
    <xf numFmtId="0" fontId="6" fillId="0" borderId="0"/>
    <xf numFmtId="0" fontId="2" fillId="0" borderId="0"/>
    <xf numFmtId="9" fontId="11" fillId="0" borderId="0" applyFont="0" applyFill="0" applyBorder="0" applyAlignment="0" applyProtection="0"/>
    <xf numFmtId="0" fontId="19" fillId="0" borderId="0"/>
  </cellStyleXfs>
  <cellXfs count="203">
    <xf numFmtId="0" fontId="0" fillId="0" borderId="0" xfId="0"/>
    <xf numFmtId="0" fontId="3" fillId="2" borderId="1" xfId="2" applyFont="1" applyFill="1" applyBorder="1" applyAlignment="1">
      <alignment horizontal="center" vertical="center" wrapText="1"/>
    </xf>
    <xf numFmtId="3" fontId="3" fillId="2" borderId="1" xfId="1" applyNumberFormat="1" applyFont="1" applyFill="1" applyBorder="1" applyAlignment="1">
      <alignment horizontal="center" vertical="center" wrapText="1"/>
    </xf>
    <xf numFmtId="0" fontId="3" fillId="2" borderId="2" xfId="2" applyFont="1" applyFill="1" applyBorder="1" applyAlignment="1">
      <alignment horizontal="center" vertical="center" wrapText="1"/>
    </xf>
    <xf numFmtId="3" fontId="3" fillId="2" borderId="1" xfId="1" applyNumberFormat="1" applyFont="1" applyFill="1" applyBorder="1" applyAlignment="1">
      <alignment horizontal="left" vertical="center" wrapText="1"/>
    </xf>
    <xf numFmtId="3" fontId="4" fillId="2" borderId="1" xfId="1" applyNumberFormat="1" applyFont="1" applyFill="1" applyBorder="1" applyAlignment="1">
      <alignment horizontal="left" vertical="center" wrapText="1"/>
    </xf>
    <xf numFmtId="3" fontId="3" fillId="2" borderId="1" xfId="1" applyNumberFormat="1" applyFont="1" applyFill="1" applyBorder="1" applyAlignment="1">
      <alignment horizontal="right" vertical="center" wrapText="1"/>
    </xf>
    <xf numFmtId="3" fontId="5" fillId="0" borderId="1" xfId="1" applyNumberFormat="1" applyFont="1" applyFill="1" applyBorder="1" applyAlignment="1">
      <alignment horizontal="right" vertical="center" wrapText="1"/>
    </xf>
    <xf numFmtId="3" fontId="3" fillId="0" borderId="1" xfId="1" applyNumberFormat="1" applyFont="1" applyFill="1" applyBorder="1" applyAlignment="1">
      <alignment horizontal="right" vertical="center" wrapText="1"/>
    </xf>
    <xf numFmtId="4" fontId="3" fillId="0" borderId="1" xfId="1" applyNumberFormat="1" applyFont="1" applyFill="1" applyBorder="1" applyAlignment="1">
      <alignment horizontal="left" vertical="center" wrapText="1"/>
    </xf>
    <xf numFmtId="0" fontId="5" fillId="0" borderId="0" xfId="3" applyFont="1" applyAlignment="1">
      <alignment horizontal="center" vertical="center" wrapText="1"/>
    </xf>
    <xf numFmtId="0" fontId="5" fillId="0" borderId="0" xfId="3" applyFont="1"/>
    <xf numFmtId="4" fontId="5" fillId="0" borderId="0" xfId="3" applyNumberFormat="1" applyFont="1" applyAlignment="1">
      <alignment horizontal="center"/>
    </xf>
    <xf numFmtId="1" fontId="0" fillId="0" borderId="0" xfId="0" applyNumberFormat="1"/>
    <xf numFmtId="0" fontId="7" fillId="0" borderId="0" xfId="3" applyFont="1"/>
    <xf numFmtId="0" fontId="3" fillId="0" borderId="1" xfId="2" applyFont="1" applyBorder="1" applyAlignment="1">
      <alignment horizontal="center" vertical="center" wrapText="1"/>
    </xf>
    <xf numFmtId="1" fontId="3" fillId="2" borderId="1" xfId="1" applyNumberFormat="1" applyFont="1" applyFill="1" applyBorder="1" applyAlignment="1">
      <alignment horizontal="center" vertical="center" wrapText="1"/>
    </xf>
    <xf numFmtId="1" fontId="3" fillId="2" borderId="4" xfId="1" applyNumberFormat="1" applyFont="1" applyFill="1" applyBorder="1" applyAlignment="1">
      <alignment horizontal="center" vertical="center" wrapText="1"/>
    </xf>
    <xf numFmtId="3" fontId="4" fillId="2" borderId="1" xfId="1" applyNumberFormat="1" applyFont="1" applyFill="1" applyBorder="1" applyAlignment="1">
      <alignment horizontal="center" vertical="center" wrapText="1"/>
    </xf>
    <xf numFmtId="1" fontId="4" fillId="2" borderId="1" xfId="1" applyNumberFormat="1" applyFont="1" applyFill="1" applyBorder="1" applyAlignment="1">
      <alignment horizontal="center" vertical="center" wrapText="1"/>
    </xf>
    <xf numFmtId="1" fontId="4" fillId="2" borderId="4" xfId="1" applyNumberFormat="1" applyFont="1" applyFill="1" applyBorder="1" applyAlignment="1">
      <alignment horizontal="center" vertical="center" wrapText="1"/>
    </xf>
    <xf numFmtId="0" fontId="4" fillId="2" borderId="5" xfId="2" applyFont="1" applyFill="1" applyBorder="1" applyAlignment="1">
      <alignment wrapText="1"/>
    </xf>
    <xf numFmtId="0" fontId="3" fillId="2" borderId="5" xfId="2" applyFont="1" applyFill="1" applyBorder="1" applyAlignment="1">
      <alignment horizontal="center" vertical="center" wrapText="1"/>
    </xf>
    <xf numFmtId="0" fontId="4" fillId="2" borderId="5" xfId="2" applyFont="1" applyFill="1" applyBorder="1" applyAlignment="1">
      <alignment horizontal="center" vertical="center" wrapText="1"/>
    </xf>
    <xf numFmtId="1" fontId="3" fillId="2" borderId="3" xfId="2" applyNumberFormat="1" applyFont="1" applyFill="1" applyBorder="1" applyAlignment="1">
      <alignment horizontal="center" vertical="center" wrapText="1"/>
    </xf>
    <xf numFmtId="1" fontId="4" fillId="2" borderId="3" xfId="2" applyNumberFormat="1" applyFont="1" applyFill="1" applyBorder="1" applyAlignment="1">
      <alignment horizontal="center" vertical="center" wrapText="1"/>
    </xf>
    <xf numFmtId="0" fontId="3" fillId="2" borderId="3" xfId="2" applyFont="1" applyFill="1" applyBorder="1" applyAlignment="1">
      <alignment horizontal="center" vertical="center" wrapText="1"/>
    </xf>
    <xf numFmtId="2" fontId="3" fillId="2" borderId="4" xfId="1" applyNumberFormat="1" applyFont="1" applyFill="1" applyBorder="1" applyAlignment="1">
      <alignment horizontal="center" vertical="center" wrapText="1"/>
    </xf>
    <xf numFmtId="0" fontId="4" fillId="2" borderId="3" xfId="2" applyFont="1" applyFill="1" applyBorder="1" applyAlignment="1">
      <alignment horizontal="center" vertical="center" wrapText="1"/>
    </xf>
    <xf numFmtId="2" fontId="4" fillId="2" borderId="4" xfId="1" applyNumberFormat="1" applyFont="1" applyFill="1" applyBorder="1" applyAlignment="1">
      <alignment horizontal="center" vertical="center" wrapText="1"/>
    </xf>
    <xf numFmtId="164" fontId="3" fillId="2" borderId="1" xfId="1" applyNumberFormat="1" applyFont="1" applyFill="1" applyBorder="1" applyAlignment="1">
      <alignment horizontal="center" vertical="center" wrapText="1"/>
    </xf>
    <xf numFmtId="164" fontId="4" fillId="2" borderId="1" xfId="1" applyNumberFormat="1" applyFont="1" applyFill="1" applyBorder="1" applyAlignment="1">
      <alignment horizontal="center" vertical="center" wrapText="1"/>
    </xf>
    <xf numFmtId="0" fontId="4" fillId="0" borderId="0" xfId="2" applyFont="1" applyAlignment="1">
      <alignment vertical="center"/>
    </xf>
    <xf numFmtId="0" fontId="3" fillId="0" borderId="0" xfId="2" applyFont="1" applyAlignment="1">
      <alignment horizontal="center" vertical="center" wrapText="1"/>
    </xf>
    <xf numFmtId="0" fontId="3" fillId="0" borderId="4" xfId="2" applyFont="1" applyBorder="1" applyAlignment="1">
      <alignment horizontal="center" vertical="center" wrapText="1"/>
    </xf>
    <xf numFmtId="4" fontId="3" fillId="2" borderId="1" xfId="1" applyNumberFormat="1" applyFont="1" applyFill="1" applyBorder="1" applyAlignment="1">
      <alignment horizontal="center" vertical="center" wrapText="1"/>
    </xf>
    <xf numFmtId="4" fontId="4" fillId="2" borderId="1" xfId="1" applyNumberFormat="1" applyFont="1" applyFill="1" applyBorder="1" applyAlignment="1">
      <alignment horizontal="center" vertical="center" wrapText="1"/>
    </xf>
    <xf numFmtId="2" fontId="3" fillId="2" borderId="1" xfId="1" applyNumberFormat="1" applyFont="1" applyFill="1" applyBorder="1" applyAlignment="1">
      <alignment horizontal="center" vertical="center" wrapText="1"/>
    </xf>
    <xf numFmtId="2" fontId="4" fillId="2" borderId="1" xfId="1" applyNumberFormat="1" applyFont="1" applyFill="1" applyBorder="1" applyAlignment="1">
      <alignment horizontal="center" vertical="center" wrapText="1"/>
    </xf>
    <xf numFmtId="0" fontId="9" fillId="3" borderId="12" xfId="0" applyFont="1" applyFill="1" applyBorder="1" applyAlignment="1">
      <alignment wrapText="1"/>
    </xf>
    <xf numFmtId="0" fontId="10" fillId="3" borderId="13" xfId="0" applyFont="1" applyFill="1" applyBorder="1" applyAlignment="1">
      <alignment horizontal="center" vertical="center" wrapText="1"/>
    </xf>
    <xf numFmtId="0" fontId="10" fillId="3" borderId="11" xfId="0" applyFont="1" applyFill="1" applyBorder="1" applyAlignment="1">
      <alignment horizontal="center" vertical="center" wrapText="1"/>
    </xf>
    <xf numFmtId="0" fontId="10" fillId="3" borderId="7" xfId="0" applyFont="1" applyFill="1" applyBorder="1" applyAlignment="1">
      <alignment horizontal="center" vertical="center" wrapText="1"/>
    </xf>
    <xf numFmtId="0" fontId="10" fillId="0" borderId="7" xfId="0" applyFont="1" applyBorder="1" applyAlignment="1">
      <alignment horizontal="center" vertical="center" wrapText="1"/>
    </xf>
    <xf numFmtId="0" fontId="3" fillId="0" borderId="5" xfId="2" applyFont="1" applyBorder="1" applyAlignment="1">
      <alignment horizontal="center" vertical="center" wrapText="1"/>
    </xf>
    <xf numFmtId="165" fontId="3" fillId="2" borderId="1" xfId="1" applyNumberFormat="1" applyFont="1" applyFill="1" applyBorder="1" applyAlignment="1">
      <alignment horizontal="center" vertical="center" wrapText="1"/>
    </xf>
    <xf numFmtId="1" fontId="3" fillId="2" borderId="5" xfId="5" applyNumberFormat="1" applyFont="1" applyFill="1" applyBorder="1" applyAlignment="1">
      <alignment horizontal="center" vertical="center" wrapText="1"/>
    </xf>
    <xf numFmtId="10" fontId="3" fillId="2" borderId="1" xfId="5" applyNumberFormat="1" applyFont="1" applyFill="1" applyBorder="1" applyAlignment="1">
      <alignment horizontal="center" vertical="center" wrapText="1"/>
    </xf>
    <xf numFmtId="166" fontId="3" fillId="0" borderId="1" xfId="5" applyNumberFormat="1" applyFont="1" applyFill="1" applyBorder="1" applyAlignment="1">
      <alignment horizontal="center" vertical="center"/>
    </xf>
    <xf numFmtId="0" fontId="3" fillId="0" borderId="0" xfId="0" applyFont="1"/>
    <xf numFmtId="0" fontId="4" fillId="0" borderId="0" xfId="0" applyFont="1" applyAlignment="1">
      <alignment horizontal="left"/>
    </xf>
    <xf numFmtId="1" fontId="3" fillId="2" borderId="1" xfId="1" applyNumberFormat="1" applyFont="1" applyFill="1" applyBorder="1" applyAlignment="1">
      <alignment horizontal="center" vertical="center"/>
    </xf>
    <xf numFmtId="3" fontId="3" fillId="0" borderId="1" xfId="1" applyNumberFormat="1" applyFont="1" applyFill="1" applyBorder="1" applyAlignment="1">
      <alignment horizontal="center" vertical="center"/>
    </xf>
    <xf numFmtId="165" fontId="3" fillId="0" borderId="1" xfId="1" applyNumberFormat="1" applyFont="1" applyFill="1" applyBorder="1" applyAlignment="1">
      <alignment horizontal="center" vertical="center"/>
    </xf>
    <xf numFmtId="9" fontId="3" fillId="0" borderId="1" xfId="5" applyFont="1" applyFill="1" applyBorder="1" applyAlignment="1">
      <alignment horizontal="center" vertical="center"/>
    </xf>
    <xf numFmtId="1" fontId="3" fillId="0" borderId="1" xfId="1" applyNumberFormat="1" applyFont="1" applyFill="1" applyBorder="1" applyAlignment="1">
      <alignment horizontal="center" vertical="center" wrapText="1"/>
    </xf>
    <xf numFmtId="165" fontId="3" fillId="0" borderId="1" xfId="1" applyNumberFormat="1" applyFont="1" applyFill="1" applyBorder="1" applyAlignment="1">
      <alignment horizontal="center" vertical="center" wrapText="1"/>
    </xf>
    <xf numFmtId="1" fontId="3" fillId="0" borderId="0" xfId="1" applyNumberFormat="1" applyFont="1" applyFill="1" applyBorder="1" applyAlignment="1">
      <alignment horizontal="center" vertical="center" wrapText="1"/>
    </xf>
    <xf numFmtId="1" fontId="3" fillId="0" borderId="0" xfId="1" applyNumberFormat="1" applyFont="1" applyFill="1" applyBorder="1" applyAlignment="1">
      <alignment horizontal="center" vertical="center"/>
    </xf>
    <xf numFmtId="0" fontId="2" fillId="0" borderId="0" xfId="0" applyFont="1"/>
    <xf numFmtId="2" fontId="3" fillId="2" borderId="1" xfId="1" applyNumberFormat="1" applyFont="1" applyFill="1" applyBorder="1" applyAlignment="1">
      <alignment horizontal="center" vertical="center"/>
    </xf>
    <xf numFmtId="166" fontId="3" fillId="2" borderId="1" xfId="5" applyNumberFormat="1" applyFont="1" applyFill="1" applyBorder="1" applyAlignment="1">
      <alignment horizontal="center" vertical="center"/>
    </xf>
    <xf numFmtId="9" fontId="3" fillId="2" borderId="1" xfId="5" applyFont="1" applyFill="1" applyBorder="1" applyAlignment="1">
      <alignment horizontal="center" vertical="center"/>
    </xf>
    <xf numFmtId="1" fontId="3" fillId="0" borderId="1" xfId="1" applyNumberFormat="1" applyFont="1" applyFill="1" applyBorder="1" applyAlignment="1">
      <alignment horizontal="center" vertical="center"/>
    </xf>
    <xf numFmtId="0" fontId="3" fillId="2" borderId="17" xfId="2" applyFont="1" applyFill="1" applyBorder="1" applyAlignment="1">
      <alignment horizontal="center" vertical="center" wrapText="1"/>
    </xf>
    <xf numFmtId="3" fontId="3" fillId="0" borderId="18" xfId="1" applyNumberFormat="1" applyFont="1" applyFill="1" applyBorder="1" applyAlignment="1">
      <alignment horizontal="center" vertical="center"/>
    </xf>
    <xf numFmtId="1" fontId="3" fillId="0" borderId="18" xfId="1" applyNumberFormat="1" applyFont="1" applyFill="1" applyBorder="1" applyAlignment="1">
      <alignment horizontal="center" vertical="center" wrapText="1"/>
    </xf>
    <xf numFmtId="164" fontId="3" fillId="2" borderId="1" xfId="1" applyNumberFormat="1" applyFont="1" applyFill="1" applyBorder="1" applyAlignment="1">
      <alignment horizontal="center" vertical="center"/>
    </xf>
    <xf numFmtId="0" fontId="2" fillId="0" borderId="0" xfId="0" applyFont="1" applyAlignment="1">
      <alignment wrapText="1"/>
    </xf>
    <xf numFmtId="0" fontId="3" fillId="2" borderId="5" xfId="2" applyFont="1" applyFill="1" applyBorder="1" applyAlignment="1">
      <alignment horizontal="center" vertical="center"/>
    </xf>
    <xf numFmtId="3" fontId="3" fillId="2" borderId="1" xfId="1" applyNumberFormat="1" applyFont="1" applyFill="1" applyBorder="1" applyAlignment="1">
      <alignment horizontal="center" vertical="center"/>
    </xf>
    <xf numFmtId="3" fontId="4" fillId="0" borderId="1" xfId="1" applyNumberFormat="1" applyFont="1" applyFill="1" applyBorder="1" applyAlignment="1">
      <alignment horizontal="center" vertical="center"/>
    </xf>
    <xf numFmtId="164" fontId="4" fillId="2" borderId="1" xfId="1" applyNumberFormat="1" applyFont="1" applyFill="1" applyBorder="1" applyAlignment="1">
      <alignment horizontal="center" vertical="center"/>
    </xf>
    <xf numFmtId="165" fontId="3" fillId="2" borderId="1" xfId="1" applyNumberFormat="1" applyFont="1" applyFill="1" applyBorder="1" applyAlignment="1">
      <alignment horizontal="center" vertical="center"/>
    </xf>
    <xf numFmtId="165" fontId="4" fillId="0" borderId="1" xfId="1" applyNumberFormat="1" applyFont="1" applyFill="1" applyBorder="1" applyAlignment="1">
      <alignment horizontal="center" vertical="center"/>
    </xf>
    <xf numFmtId="0" fontId="14" fillId="0" borderId="0" xfId="2" applyFont="1" applyAlignment="1">
      <alignment vertical="top" wrapText="1"/>
    </xf>
    <xf numFmtId="0" fontId="3" fillId="2" borderId="5" xfId="2" applyFont="1" applyFill="1" applyBorder="1" applyAlignment="1">
      <alignment wrapText="1"/>
    </xf>
    <xf numFmtId="1" fontId="4" fillId="2" borderId="1" xfId="1" applyNumberFormat="1" applyFont="1" applyFill="1" applyBorder="1" applyAlignment="1">
      <alignment horizontal="center" vertical="center"/>
    </xf>
    <xf numFmtId="0" fontId="0" fillId="0" borderId="0" xfId="0" applyAlignment="1">
      <alignment wrapText="1"/>
    </xf>
    <xf numFmtId="9" fontId="4" fillId="2" borderId="1" xfId="5" applyFont="1" applyFill="1" applyBorder="1" applyAlignment="1">
      <alignment horizontal="center" vertical="center"/>
    </xf>
    <xf numFmtId="0" fontId="12" fillId="0" borderId="0" xfId="0" applyFont="1"/>
    <xf numFmtId="0" fontId="0" fillId="0" borderId="14" xfId="0" applyBorder="1"/>
    <xf numFmtId="0" fontId="0" fillId="0" borderId="11" xfId="0" applyBorder="1"/>
    <xf numFmtId="0" fontId="12" fillId="0" borderId="16" xfId="0" applyFont="1" applyBorder="1"/>
    <xf numFmtId="0" fontId="2" fillId="0" borderId="14" xfId="0" applyFont="1" applyBorder="1"/>
    <xf numFmtId="0" fontId="0" fillId="2" borderId="0" xfId="0" applyFill="1"/>
    <xf numFmtId="0" fontId="16" fillId="0" borderId="12" xfId="0" applyFont="1" applyBorder="1"/>
    <xf numFmtId="0" fontId="16" fillId="0" borderId="15" xfId="0" applyFont="1" applyBorder="1"/>
    <xf numFmtId="0" fontId="0" fillId="0" borderId="16" xfId="0" applyBorder="1"/>
    <xf numFmtId="0" fontId="2" fillId="4" borderId="13" xfId="0" applyFont="1" applyFill="1" applyBorder="1"/>
    <xf numFmtId="0" fontId="2" fillId="4" borderId="19" xfId="0" applyFont="1" applyFill="1" applyBorder="1"/>
    <xf numFmtId="0" fontId="2" fillId="4" borderId="2" xfId="0" applyFont="1" applyFill="1" applyBorder="1"/>
    <xf numFmtId="0" fontId="2" fillId="5" borderId="2" xfId="0" applyFont="1" applyFill="1" applyBorder="1"/>
    <xf numFmtId="0" fontId="2" fillId="0" borderId="20" xfId="0" applyFont="1" applyBorder="1"/>
    <xf numFmtId="0" fontId="2" fillId="0" borderId="21" xfId="0" applyFont="1" applyBorder="1"/>
    <xf numFmtId="0" fontId="0" fillId="0" borderId="21" xfId="0" applyBorder="1"/>
    <xf numFmtId="0" fontId="2" fillId="0" borderId="22" xfId="0" applyFont="1" applyBorder="1"/>
    <xf numFmtId="0" fontId="18" fillId="0" borderId="0" xfId="0" applyFont="1"/>
    <xf numFmtId="0" fontId="4" fillId="2" borderId="1" xfId="2" applyFont="1" applyFill="1" applyBorder="1" applyAlignment="1">
      <alignment horizontal="center" vertical="center" wrapText="1"/>
    </xf>
    <xf numFmtId="0" fontId="3" fillId="0" borderId="0" xfId="6" applyFont="1" applyAlignment="1">
      <alignment horizontal="center" vertical="center"/>
    </xf>
    <xf numFmtId="0" fontId="4" fillId="2" borderId="1" xfId="2" applyFont="1" applyFill="1" applyBorder="1" applyAlignment="1">
      <alignment wrapText="1"/>
    </xf>
    <xf numFmtId="0" fontId="3" fillId="2" borderId="2" xfId="2" applyFont="1" applyFill="1" applyBorder="1" applyAlignment="1">
      <alignment vertical="center" wrapText="1"/>
    </xf>
    <xf numFmtId="3" fontId="3" fillId="0" borderId="1" xfId="1" applyNumberFormat="1" applyFont="1" applyFill="1" applyBorder="1" applyAlignment="1">
      <alignment horizontal="center" vertical="center" wrapText="1"/>
    </xf>
    <xf numFmtId="4" fontId="3" fillId="0" borderId="1" xfId="1" applyNumberFormat="1" applyFont="1" applyFill="1" applyBorder="1" applyAlignment="1">
      <alignment horizontal="center" vertical="center"/>
    </xf>
    <xf numFmtId="164" fontId="0" fillId="0" borderId="0" xfId="0" applyNumberFormat="1"/>
    <xf numFmtId="0" fontId="12" fillId="0" borderId="5" xfId="0" applyFont="1" applyBorder="1" applyAlignment="1">
      <alignment horizontal="center"/>
    </xf>
    <xf numFmtId="0" fontId="12" fillId="0" borderId="6" xfId="0" applyFont="1" applyBorder="1" applyAlignment="1">
      <alignment horizontal="center"/>
    </xf>
    <xf numFmtId="0" fontId="12" fillId="0" borderId="7" xfId="0" applyFont="1" applyBorder="1" applyAlignment="1">
      <alignment horizontal="center"/>
    </xf>
    <xf numFmtId="0" fontId="12" fillId="0" borderId="5" xfId="0" applyFont="1" applyBorder="1" applyAlignment="1">
      <alignment horizontal="left"/>
    </xf>
    <xf numFmtId="0" fontId="12" fillId="0" borderId="6" xfId="0" applyFont="1" applyBorder="1" applyAlignment="1">
      <alignment horizontal="left"/>
    </xf>
    <xf numFmtId="0" fontId="12" fillId="0" borderId="7" xfId="0" applyFont="1" applyBorder="1" applyAlignment="1">
      <alignment horizontal="left"/>
    </xf>
    <xf numFmtId="0" fontId="4" fillId="2" borderId="5" xfId="2" applyFont="1" applyFill="1" applyBorder="1" applyAlignment="1">
      <alignment horizontal="center" vertical="center"/>
    </xf>
    <xf numFmtId="0" fontId="4" fillId="2" borderId="6" xfId="2" applyFont="1" applyFill="1" applyBorder="1" applyAlignment="1">
      <alignment horizontal="center" vertical="center"/>
    </xf>
    <xf numFmtId="0" fontId="4" fillId="2" borderId="7" xfId="2" applyFont="1" applyFill="1" applyBorder="1" applyAlignment="1">
      <alignment horizontal="center" vertical="center"/>
    </xf>
    <xf numFmtId="0" fontId="14" fillId="0" borderId="8" xfId="2" applyFont="1" applyBorder="1" applyAlignment="1">
      <alignment vertical="top" wrapText="1"/>
    </xf>
    <xf numFmtId="0" fontId="14" fillId="0" borderId="9" xfId="2" applyFont="1" applyBorder="1" applyAlignment="1">
      <alignment vertical="top" wrapText="1"/>
    </xf>
    <xf numFmtId="0" fontId="14" fillId="0" borderId="10" xfId="2" applyFont="1" applyBorder="1" applyAlignment="1">
      <alignment vertical="top" wrapText="1"/>
    </xf>
    <xf numFmtId="0" fontId="14" fillId="0" borderId="12" xfId="2" applyFont="1" applyBorder="1" applyAlignment="1">
      <alignment vertical="top" wrapText="1"/>
    </xf>
    <xf numFmtId="0" fontId="14" fillId="0" borderId="14" xfId="2" applyFont="1" applyBorder="1" applyAlignment="1">
      <alignment vertical="top" wrapText="1"/>
    </xf>
    <xf numFmtId="0" fontId="14" fillId="0" borderId="11" xfId="2" applyFont="1" applyBorder="1" applyAlignment="1">
      <alignment vertical="top" wrapText="1"/>
    </xf>
    <xf numFmtId="0" fontId="3" fillId="2" borderId="5" xfId="2" applyFont="1" applyFill="1" applyBorder="1" applyAlignment="1">
      <alignment horizontal="center" vertical="center" wrapText="1"/>
    </xf>
    <xf numFmtId="0" fontId="3" fillId="2" borderId="7" xfId="2" applyFont="1" applyFill="1" applyBorder="1" applyAlignment="1">
      <alignment horizontal="center" vertical="center" wrapText="1"/>
    </xf>
    <xf numFmtId="0" fontId="3" fillId="0" borderId="5" xfId="2" applyFont="1" applyBorder="1" applyAlignment="1">
      <alignment horizontal="center" vertical="center" wrapText="1"/>
    </xf>
    <xf numFmtId="0" fontId="3" fillId="0" borderId="7" xfId="2" applyFont="1" applyBorder="1" applyAlignment="1">
      <alignment horizontal="center" vertical="center" wrapText="1"/>
    </xf>
    <xf numFmtId="0" fontId="2" fillId="0" borderId="8" xfId="0" applyFont="1" applyBorder="1" applyAlignment="1">
      <alignment horizontal="left" vertical="top" wrapText="1"/>
    </xf>
    <xf numFmtId="0" fontId="2" fillId="0" borderId="9" xfId="0" applyFont="1" applyBorder="1" applyAlignment="1">
      <alignment horizontal="left" vertical="top" wrapText="1"/>
    </xf>
    <xf numFmtId="0" fontId="2" fillId="0" borderId="10" xfId="0" applyFont="1" applyBorder="1" applyAlignment="1">
      <alignment horizontal="left" vertical="top" wrapText="1"/>
    </xf>
    <xf numFmtId="0" fontId="2" fillId="0" borderId="12" xfId="0" applyFont="1" applyBorder="1" applyAlignment="1">
      <alignment horizontal="left" vertical="top" wrapText="1"/>
    </xf>
    <xf numFmtId="0" fontId="2" fillId="0" borderId="14" xfId="0" applyFont="1" applyBorder="1" applyAlignment="1">
      <alignment horizontal="left" vertical="top" wrapText="1"/>
    </xf>
    <xf numFmtId="0" fontId="2" fillId="0" borderId="11" xfId="0" applyFont="1" applyBorder="1" applyAlignment="1">
      <alignment horizontal="left" vertical="top" wrapText="1"/>
    </xf>
    <xf numFmtId="0" fontId="2" fillId="0" borderId="8" xfId="0" applyFont="1" applyBorder="1" applyAlignment="1">
      <alignment horizontal="center" wrapText="1"/>
    </xf>
    <xf numFmtId="0" fontId="2" fillId="0" borderId="9" xfId="0" applyFont="1" applyBorder="1" applyAlignment="1">
      <alignment horizontal="center" wrapText="1"/>
    </xf>
    <xf numFmtId="0" fontId="2" fillId="0" borderId="10" xfId="0" applyFont="1" applyBorder="1" applyAlignment="1">
      <alignment horizontal="center" wrapText="1"/>
    </xf>
    <xf numFmtId="0" fontId="2" fillId="0" borderId="12" xfId="0" applyFont="1" applyBorder="1" applyAlignment="1">
      <alignment horizontal="center" wrapText="1"/>
    </xf>
    <xf numFmtId="0" fontId="2" fillId="0" borderId="14" xfId="0" applyFont="1" applyBorder="1" applyAlignment="1">
      <alignment horizontal="center" wrapText="1"/>
    </xf>
    <xf numFmtId="0" fontId="2" fillId="0" borderId="11" xfId="0" applyFont="1" applyBorder="1" applyAlignment="1">
      <alignment horizontal="center" wrapText="1"/>
    </xf>
    <xf numFmtId="0" fontId="2" fillId="0" borderId="5" xfId="0" applyFont="1" applyBorder="1" applyAlignment="1">
      <alignment horizontal="center" wrapText="1"/>
    </xf>
    <xf numFmtId="0" fontId="0" fillId="0" borderId="6" xfId="0" applyBorder="1" applyAlignment="1">
      <alignment horizontal="center" wrapText="1"/>
    </xf>
    <xf numFmtId="0" fontId="0" fillId="0" borderId="7" xfId="0" applyBorder="1" applyAlignment="1">
      <alignment horizontal="center" wrapText="1"/>
    </xf>
    <xf numFmtId="0" fontId="14" fillId="0" borderId="8" xfId="2" applyFont="1" applyBorder="1" applyAlignment="1">
      <alignment horizontal="center" vertical="top" wrapText="1"/>
    </xf>
    <xf numFmtId="0" fontId="14" fillId="0" borderId="9" xfId="2" applyFont="1" applyBorder="1" applyAlignment="1">
      <alignment horizontal="center" vertical="top" wrapText="1"/>
    </xf>
    <xf numFmtId="0" fontId="14" fillId="0" borderId="10" xfId="2" applyFont="1" applyBorder="1" applyAlignment="1">
      <alignment horizontal="center" vertical="top" wrapText="1"/>
    </xf>
    <xf numFmtId="0" fontId="14" fillId="0" borderId="12" xfId="2" applyFont="1" applyBorder="1" applyAlignment="1">
      <alignment horizontal="center" vertical="top" wrapText="1"/>
    </xf>
    <xf numFmtId="0" fontId="14" fillId="0" borderId="14" xfId="2" applyFont="1" applyBorder="1" applyAlignment="1">
      <alignment horizontal="center" vertical="top" wrapText="1"/>
    </xf>
    <xf numFmtId="0" fontId="14" fillId="0" borderId="11" xfId="2" applyFont="1" applyBorder="1" applyAlignment="1">
      <alignment horizontal="center" vertical="top" wrapText="1"/>
    </xf>
    <xf numFmtId="0" fontId="14" fillId="0" borderId="8" xfId="2" applyFont="1" applyBorder="1" applyAlignment="1">
      <alignment horizontal="left" vertical="top" wrapText="1"/>
    </xf>
    <xf numFmtId="0" fontId="14" fillId="0" borderId="9" xfId="2" applyFont="1" applyBorder="1" applyAlignment="1">
      <alignment horizontal="left" vertical="top" wrapText="1"/>
    </xf>
    <xf numFmtId="0" fontId="14" fillId="0" borderId="10" xfId="2" applyFont="1" applyBorder="1" applyAlignment="1">
      <alignment horizontal="left" vertical="top" wrapText="1"/>
    </xf>
    <xf numFmtId="0" fontId="14" fillId="0" borderId="12" xfId="2" applyFont="1" applyBorder="1" applyAlignment="1">
      <alignment horizontal="left" vertical="top" wrapText="1"/>
    </xf>
    <xf numFmtId="0" fontId="14" fillId="0" borderId="14" xfId="2" applyFont="1" applyBorder="1" applyAlignment="1">
      <alignment horizontal="left" vertical="top" wrapText="1"/>
    </xf>
    <xf numFmtId="0" fontId="14" fillId="0" borderId="11" xfId="2" applyFont="1" applyBorder="1" applyAlignment="1">
      <alignment horizontal="left" vertical="top" wrapText="1"/>
    </xf>
    <xf numFmtId="0" fontId="4" fillId="2" borderId="8" xfId="2" applyFont="1" applyFill="1" applyBorder="1" applyAlignment="1">
      <alignment horizontal="center" vertical="center"/>
    </xf>
    <xf numFmtId="0" fontId="4" fillId="2" borderId="9" xfId="2" applyFont="1" applyFill="1" applyBorder="1" applyAlignment="1">
      <alignment horizontal="center" vertical="center"/>
    </xf>
    <xf numFmtId="0" fontId="4" fillId="2" borderId="10" xfId="2" applyFont="1" applyFill="1" applyBorder="1" applyAlignment="1">
      <alignment horizontal="center" vertical="center"/>
    </xf>
    <xf numFmtId="0" fontId="3" fillId="2" borderId="19" xfId="2" applyFont="1" applyFill="1" applyBorder="1" applyAlignment="1">
      <alignment horizontal="center" vertical="center" wrapText="1"/>
    </xf>
    <xf numFmtId="0" fontId="3" fillId="2" borderId="2" xfId="2" applyFont="1" applyFill="1" applyBorder="1" applyAlignment="1">
      <alignment horizontal="center" vertical="center" wrapText="1"/>
    </xf>
    <xf numFmtId="0" fontId="3" fillId="2" borderId="13" xfId="2" applyFont="1" applyFill="1" applyBorder="1" applyAlignment="1">
      <alignment horizontal="center" vertical="center" wrapText="1"/>
    </xf>
    <xf numFmtId="0" fontId="13" fillId="0" borderId="12" xfId="2" applyFont="1" applyBorder="1" applyAlignment="1">
      <alignment horizontal="left" vertical="top" wrapText="1"/>
    </xf>
    <xf numFmtId="0" fontId="13" fillId="0" borderId="14" xfId="2" applyFont="1" applyBorder="1" applyAlignment="1">
      <alignment horizontal="left" vertical="top" wrapText="1"/>
    </xf>
    <xf numFmtId="0" fontId="13" fillId="0" borderId="11" xfId="2" applyFont="1" applyBorder="1" applyAlignment="1">
      <alignment horizontal="left" vertical="top" wrapText="1"/>
    </xf>
    <xf numFmtId="1" fontId="3" fillId="2" borderId="5" xfId="1" applyNumberFormat="1" applyFont="1" applyFill="1" applyBorder="1" applyAlignment="1">
      <alignment horizontal="center" vertical="center"/>
    </xf>
    <xf numFmtId="1" fontId="3" fillId="2" borderId="6" xfId="1" applyNumberFormat="1" applyFont="1" applyFill="1" applyBorder="1" applyAlignment="1">
      <alignment horizontal="center" vertical="center"/>
    </xf>
    <xf numFmtId="1" fontId="3" fillId="2" borderId="7" xfId="1" applyNumberFormat="1" applyFont="1" applyFill="1" applyBorder="1" applyAlignment="1">
      <alignment horizontal="center" vertical="center"/>
    </xf>
    <xf numFmtId="1" fontId="4" fillId="2" borderId="5" xfId="1" applyNumberFormat="1" applyFont="1" applyFill="1" applyBorder="1" applyAlignment="1">
      <alignment horizontal="center" vertical="center"/>
    </xf>
    <xf numFmtId="1" fontId="4" fillId="2" borderId="6" xfId="1" applyNumberFormat="1" applyFont="1" applyFill="1" applyBorder="1" applyAlignment="1">
      <alignment horizontal="center" vertical="center"/>
    </xf>
    <xf numFmtId="1" fontId="4" fillId="2" borderId="7" xfId="1" applyNumberFormat="1" applyFont="1" applyFill="1" applyBorder="1" applyAlignment="1">
      <alignment horizontal="center" vertical="center"/>
    </xf>
    <xf numFmtId="0" fontId="13" fillId="0" borderId="8" xfId="2" applyFont="1" applyBorder="1" applyAlignment="1">
      <alignment horizontal="left" vertical="top" wrapText="1"/>
    </xf>
    <xf numFmtId="0" fontId="13" fillId="0" borderId="9" xfId="2" applyFont="1" applyBorder="1" applyAlignment="1">
      <alignment horizontal="left" vertical="top" wrapText="1"/>
    </xf>
    <xf numFmtId="0" fontId="13" fillId="0" borderId="10" xfId="2" applyFont="1" applyBorder="1" applyAlignment="1">
      <alignment horizontal="left" vertical="top" wrapText="1"/>
    </xf>
    <xf numFmtId="1" fontId="4" fillId="2" borderId="5" xfId="1" applyNumberFormat="1" applyFont="1" applyFill="1" applyBorder="1" applyAlignment="1">
      <alignment horizontal="center" vertical="center" wrapText="1"/>
    </xf>
    <xf numFmtId="1" fontId="4" fillId="2" borderId="6" xfId="1" applyNumberFormat="1" applyFont="1" applyFill="1" applyBorder="1" applyAlignment="1">
      <alignment horizontal="center" vertical="center" wrapText="1"/>
    </xf>
    <xf numFmtId="1" fontId="4" fillId="2" borderId="7" xfId="1" applyNumberFormat="1" applyFont="1" applyFill="1" applyBorder="1" applyAlignment="1">
      <alignment horizontal="center" vertical="center" wrapText="1"/>
    </xf>
    <xf numFmtId="0" fontId="4" fillId="2" borderId="5" xfId="2" applyFont="1" applyFill="1" applyBorder="1" applyAlignment="1">
      <alignment horizontal="center" wrapText="1"/>
    </xf>
    <xf numFmtId="0" fontId="4" fillId="2" borderId="6" xfId="2" applyFont="1" applyFill="1" applyBorder="1" applyAlignment="1">
      <alignment horizontal="center" wrapText="1"/>
    </xf>
    <xf numFmtId="0" fontId="4" fillId="2" borderId="7" xfId="2" applyFont="1" applyFill="1" applyBorder="1" applyAlignment="1">
      <alignment horizontal="center" wrapText="1"/>
    </xf>
    <xf numFmtId="0" fontId="9" fillId="3" borderId="5" xfId="0" applyFont="1" applyFill="1" applyBorder="1" applyAlignment="1">
      <alignment horizontal="center" vertical="center"/>
    </xf>
    <xf numFmtId="0" fontId="9" fillId="3" borderId="6" xfId="0" applyFont="1" applyFill="1" applyBorder="1" applyAlignment="1">
      <alignment horizontal="center" vertical="center"/>
    </xf>
    <xf numFmtId="0" fontId="9" fillId="3" borderId="7" xfId="0" applyFont="1" applyFill="1" applyBorder="1" applyAlignment="1">
      <alignment horizontal="center" vertical="center"/>
    </xf>
    <xf numFmtId="0" fontId="7" fillId="0" borderId="5" xfId="4" applyFont="1" applyBorder="1" applyAlignment="1">
      <alignment horizontal="center"/>
    </xf>
    <xf numFmtId="0" fontId="7" fillId="0" borderId="6" xfId="4" applyFont="1" applyBorder="1" applyAlignment="1">
      <alignment horizontal="center"/>
    </xf>
    <xf numFmtId="0" fontId="7" fillId="0" borderId="7" xfId="4" applyFont="1" applyBorder="1" applyAlignment="1">
      <alignment horizontal="center"/>
    </xf>
    <xf numFmtId="0" fontId="3" fillId="2" borderId="6" xfId="2" applyFont="1" applyFill="1" applyBorder="1" applyAlignment="1">
      <alignment horizontal="center" vertical="center" wrapText="1"/>
    </xf>
    <xf numFmtId="164" fontId="3" fillId="2" borderId="1" xfId="2" applyNumberFormat="1" applyFont="1" applyFill="1" applyBorder="1" applyAlignment="1">
      <alignment horizontal="center" vertical="center" wrapText="1"/>
    </xf>
    <xf numFmtId="164" fontId="4" fillId="2" borderId="1" xfId="2" applyNumberFormat="1" applyFont="1" applyFill="1" applyBorder="1" applyAlignment="1">
      <alignment horizontal="center" vertical="center" wrapText="1"/>
    </xf>
    <xf numFmtId="164" fontId="3" fillId="2" borderId="1" xfId="5" applyNumberFormat="1" applyFont="1" applyFill="1" applyBorder="1" applyAlignment="1">
      <alignment horizontal="center" vertical="center"/>
    </xf>
    <xf numFmtId="164" fontId="3" fillId="0" borderId="1" xfId="5" applyNumberFormat="1" applyFont="1" applyFill="1" applyBorder="1" applyAlignment="1">
      <alignment horizontal="center" vertical="center"/>
    </xf>
    <xf numFmtId="164" fontId="3" fillId="0" borderId="18" xfId="5" applyNumberFormat="1" applyFont="1" applyFill="1" applyBorder="1" applyAlignment="1">
      <alignment horizontal="center" vertical="center"/>
    </xf>
    <xf numFmtId="164" fontId="3" fillId="2" borderId="18" xfId="5" applyNumberFormat="1" applyFont="1" applyFill="1" applyBorder="1" applyAlignment="1">
      <alignment horizontal="center" vertical="center"/>
    </xf>
    <xf numFmtId="0" fontId="4" fillId="0" borderId="15" xfId="2" applyFont="1" applyBorder="1" applyAlignment="1">
      <alignment horizontal="left" vertical="top" wrapText="1"/>
    </xf>
    <xf numFmtId="0" fontId="4" fillId="0" borderId="0" xfId="2" applyFont="1" applyAlignment="1">
      <alignment horizontal="left" vertical="top" wrapText="1"/>
    </xf>
    <xf numFmtId="0" fontId="4" fillId="0" borderId="16" xfId="2" applyFont="1" applyBorder="1" applyAlignment="1">
      <alignment horizontal="left" vertical="top" wrapText="1"/>
    </xf>
    <xf numFmtId="0" fontId="4" fillId="0" borderId="12" xfId="2" applyFont="1" applyBorder="1" applyAlignment="1">
      <alignment horizontal="left" vertical="top" wrapText="1"/>
    </xf>
    <xf numFmtId="0" fontId="4" fillId="0" borderId="14" xfId="2" applyFont="1" applyBorder="1" applyAlignment="1">
      <alignment horizontal="left" vertical="top" wrapText="1"/>
    </xf>
    <xf numFmtId="0" fontId="4" fillId="0" borderId="11" xfId="2" applyFont="1" applyBorder="1" applyAlignment="1">
      <alignment horizontal="left" vertical="top" wrapText="1"/>
    </xf>
    <xf numFmtId="0" fontId="20" fillId="0" borderId="5" xfId="0" applyFont="1" applyBorder="1" applyAlignment="1">
      <alignment horizontal="center"/>
    </xf>
    <xf numFmtId="0" fontId="20" fillId="0" borderId="6" xfId="0" applyFont="1" applyBorder="1" applyAlignment="1">
      <alignment horizontal="center"/>
    </xf>
    <xf numFmtId="0" fontId="20" fillId="0" borderId="7" xfId="0" applyFont="1" applyBorder="1" applyAlignment="1">
      <alignment horizontal="center"/>
    </xf>
    <xf numFmtId="0" fontId="2" fillId="6" borderId="2" xfId="0" applyFont="1" applyFill="1" applyBorder="1"/>
    <xf numFmtId="1" fontId="2" fillId="0" borderId="0" xfId="0" applyNumberFormat="1" applyFont="1"/>
    <xf numFmtId="0" fontId="4" fillId="2" borderId="5" xfId="2" applyFont="1" applyFill="1" applyBorder="1" applyAlignment="1">
      <alignment horizontal="center" vertical="center" wrapText="1"/>
    </xf>
    <xf numFmtId="0" fontId="4" fillId="2" borderId="6" xfId="2" applyFont="1" applyFill="1" applyBorder="1" applyAlignment="1">
      <alignment horizontal="center" vertical="center" wrapText="1"/>
    </xf>
    <xf numFmtId="0" fontId="4" fillId="2" borderId="7" xfId="2" applyFont="1" applyFill="1" applyBorder="1" applyAlignment="1">
      <alignment horizontal="center" vertical="center" wrapText="1"/>
    </xf>
    <xf numFmtId="0" fontId="9" fillId="3" borderId="23" xfId="0" applyFont="1" applyFill="1" applyBorder="1" applyAlignment="1">
      <alignment horizontal="center" vertical="center"/>
    </xf>
  </cellXfs>
  <cellStyles count="7">
    <cellStyle name="Comma" xfId="1" builtinId="3"/>
    <cellStyle name="Normal" xfId="0" builtinId="0"/>
    <cellStyle name="Normal 2" xfId="2" xr:uid="{00000000-0005-0000-0000-000002000000}"/>
    <cellStyle name="Normal 3" xfId="4" xr:uid="{00000000-0005-0000-0000-000003000000}"/>
    <cellStyle name="Normal 4" xfId="6" xr:uid="{00000000-0005-0000-0000-000004000000}"/>
    <cellStyle name="Normal_TabAnnexeH" xfId="3" xr:uid="{00000000-0005-0000-0000-000005000000}"/>
    <cellStyle name="Per cent" xfId="5"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calcChain" Target="calcChain.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sharedStrings" Target="sharedStrings.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s>
</file>

<file path=xl/charts/_rels/chart1.xml.rels><?xml version="1.0" encoding="UTF-8" standalone="yes"?>
<Relationships xmlns="http://schemas.openxmlformats.org/package/2006/relationships"><Relationship Id="rId1" Type="http://schemas.openxmlformats.org/officeDocument/2006/relationships/chartUserShapes" Target="../drawings/drawing2.xml"/></Relationships>
</file>

<file path=xl/charts/_rels/chart2.xml.rels><?xml version="1.0" encoding="UTF-8" standalone="yes"?>
<Relationships xmlns="http://schemas.openxmlformats.org/package/2006/relationships"><Relationship Id="rId1" Type="http://schemas.openxmlformats.org/officeDocument/2006/relationships/chartUserShapes" Target="../drawings/drawing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700" b="1" i="0" u="none" strike="noStrike" baseline="0">
                <a:solidFill>
                  <a:srgbClr val="000000"/>
                </a:solidFill>
                <a:latin typeface="Arial"/>
                <a:ea typeface="Arial"/>
                <a:cs typeface="Arial"/>
              </a:defRPr>
            </a:pPr>
            <a:r>
              <a:rPr lang="fr-FR" sz="1800" b="1" baseline="0">
                <a:latin typeface="Arial" panose="020B0604020202020204" pitchFamily="34" charset="0"/>
                <a:cs typeface="Arial" panose="020B0604020202020204" pitchFamily="34" charset="0"/>
              </a:rPr>
              <a:t>Figure 0a. </a:t>
            </a:r>
            <a:r>
              <a:rPr lang="en-US" sz="1700" b="1" i="0" u="none" strike="noStrike" baseline="0"/>
              <a:t>Exchange Rate and Purchasing Power Parity: Euro/Dollar</a:t>
            </a:r>
            <a:endParaRPr lang="fr-FR" sz="1800" b="1" baseline="0">
              <a:latin typeface="Arial" panose="020B0604020202020204" pitchFamily="34" charset="0"/>
              <a:cs typeface="Arial" panose="020B0604020202020204" pitchFamily="34" charset="0"/>
            </a:endParaRPr>
          </a:p>
        </c:rich>
      </c:tx>
      <c:layout>
        <c:manualLayout>
          <c:xMode val="edge"/>
          <c:yMode val="edge"/>
          <c:x val="0.13506871949982979"/>
          <c:y val="2.2032644161393842E-3"/>
        </c:manualLayout>
      </c:layout>
      <c:overlay val="0"/>
      <c:spPr>
        <a:noFill/>
        <a:ln w="25400">
          <a:noFill/>
        </a:ln>
      </c:spPr>
    </c:title>
    <c:autoTitleDeleted val="0"/>
    <c:plotArea>
      <c:layout>
        <c:manualLayout>
          <c:layoutTarget val="inner"/>
          <c:xMode val="edge"/>
          <c:yMode val="edge"/>
          <c:x val="0.1130023679065842"/>
          <c:y val="6.5675853018372699E-2"/>
          <c:w val="0.85382081643768204"/>
          <c:h val="0.71041711002340935"/>
        </c:manualLayout>
      </c:layout>
      <c:lineChart>
        <c:grouping val="standard"/>
        <c:varyColors val="0"/>
        <c:ser>
          <c:idx val="1"/>
          <c:order val="0"/>
          <c:tx>
            <c:strRef>
              <c:f>DataF0a!$C$4</c:f>
              <c:strCache>
                <c:ptCount val="1"/>
                <c:pt idx="0">
                  <c:v>Exchange rate euro/dollar</c:v>
                </c:pt>
              </c:strCache>
            </c:strRef>
          </c:tx>
          <c:spPr>
            <a:ln w="50800">
              <a:solidFill>
                <a:srgbClr val="00B0F0"/>
              </a:solidFill>
            </a:ln>
          </c:spPr>
          <c:marker>
            <c:symbol val="none"/>
          </c:marker>
          <c:cat>
            <c:numRef>
              <c:f>DataF0a!$B$5:$B$40</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numCache>
            </c:numRef>
          </c:cat>
          <c:val>
            <c:numRef>
              <c:f>DataF0a!$C$5:$C$40</c:f>
              <c:numCache>
                <c:formatCode>#,##0.00</c:formatCode>
                <c:ptCount val="36"/>
                <c:pt idx="0">
                  <c:v>1.3198069334030151</c:v>
                </c:pt>
                <c:pt idx="1">
                  <c:v>1.2800216674804688</c:v>
                </c:pt>
                <c:pt idx="2">
                  <c:v>1.3417659997940063</c:v>
                </c:pt>
                <c:pt idx="3">
                  <c:v>1.1998587846755981</c:v>
                </c:pt>
                <c:pt idx="4">
                  <c:v>1.2030993700027466</c:v>
                </c:pt>
                <c:pt idx="5">
                  <c:v>1.3085800409317017</c:v>
                </c:pt>
                <c:pt idx="6">
                  <c:v>1.2878895998001099</c:v>
                </c:pt>
                <c:pt idx="7">
                  <c:v>1.129968523979187</c:v>
                </c:pt>
                <c:pt idx="8">
                  <c:v>1.1125752925872803</c:v>
                </c:pt>
                <c:pt idx="9">
                  <c:v>1.0657764673233032</c:v>
                </c:pt>
                <c:pt idx="10">
                  <c:v>0.92361253499984741</c:v>
                </c:pt>
                <c:pt idx="11">
                  <c:v>0.89562952518463135</c:v>
                </c:pt>
                <c:pt idx="12">
                  <c:v>0.94557374715805054</c:v>
                </c:pt>
                <c:pt idx="13">
                  <c:v>1.1311603784561157</c:v>
                </c:pt>
                <c:pt idx="14">
                  <c:v>1.243902325630188</c:v>
                </c:pt>
                <c:pt idx="15">
                  <c:v>1.2440903186798096</c:v>
                </c:pt>
                <c:pt idx="16">
                  <c:v>1.255598783493042</c:v>
                </c:pt>
                <c:pt idx="17">
                  <c:v>1.3704780340194702</c:v>
                </c:pt>
                <c:pt idx="18">
                  <c:v>1.4707554578781128</c:v>
                </c:pt>
                <c:pt idx="19">
                  <c:v>1.3947824239730835</c:v>
                </c:pt>
                <c:pt idx="20">
                  <c:v>1.3257166147232056</c:v>
                </c:pt>
                <c:pt idx="21">
                  <c:v>1.3919552564620972</c:v>
                </c:pt>
                <c:pt idx="22">
                  <c:v>1.2847887277603149</c:v>
                </c:pt>
                <c:pt idx="23">
                  <c:v>1.3281180858612061</c:v>
                </c:pt>
                <c:pt idx="24">
                  <c:v>1.3285007476806641</c:v>
                </c:pt>
                <c:pt idx="25">
                  <c:v>1.1095129251480103</c:v>
                </c:pt>
                <c:pt idx="26">
                  <c:v>1.106903076171875</c:v>
                </c:pt>
                <c:pt idx="27">
                  <c:v>1.1296812295913696</c:v>
                </c:pt>
                <c:pt idx="28">
                  <c:v>1.1809544563293457</c:v>
                </c:pt>
                <c:pt idx="29">
                  <c:v>1.1194745302200317</c:v>
                </c:pt>
                <c:pt idx="30">
                  <c:v>1.1421960592269897</c:v>
                </c:pt>
                <c:pt idx="31">
                  <c:v>1.182740330696106</c:v>
                </c:pt>
                <c:pt idx="32">
                  <c:v>1.0530486106872559</c:v>
                </c:pt>
                <c:pt idx="33">
                  <c:v>1.0812686681747437</c:v>
                </c:pt>
                <c:pt idx="34">
                  <c:v>1.0823804140090942</c:v>
                </c:pt>
                <c:pt idx="35">
                  <c:v>1.1786365509033203</c:v>
                </c:pt>
              </c:numCache>
            </c:numRef>
          </c:val>
          <c:smooth val="1"/>
          <c:extLst>
            <c:ext xmlns:c16="http://schemas.microsoft.com/office/drawing/2014/chart" uri="{C3380CC4-5D6E-409C-BE32-E72D297353CC}">
              <c16:uniqueId val="{00000000-1FE3-134C-BB41-1461947A890B}"/>
            </c:ext>
          </c:extLst>
        </c:ser>
        <c:ser>
          <c:idx val="2"/>
          <c:order val="1"/>
          <c:tx>
            <c:strRef>
              <c:f>DataF0a!$D$4</c:f>
              <c:strCache>
                <c:ptCount val="1"/>
                <c:pt idx="0">
                  <c:v>Purchasing power parity euro/dollar</c:v>
                </c:pt>
              </c:strCache>
            </c:strRef>
          </c:tx>
          <c:spPr>
            <a:ln w="50800">
              <a:solidFill>
                <a:srgbClr val="F90FE3"/>
              </a:solidFill>
            </a:ln>
          </c:spPr>
          <c:marker>
            <c:symbol val="none"/>
          </c:marker>
          <c:cat>
            <c:numRef>
              <c:f>DataF0a!$B$5:$B$40</c:f>
              <c:numCache>
                <c:formatCode>General</c:formatCode>
                <c:ptCount val="36"/>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numCache>
            </c:numRef>
          </c:cat>
          <c:val>
            <c:numRef>
              <c:f>DataF0a!$D$5:$D$40</c:f>
              <c:numCache>
                <c:formatCode>#,##0.00</c:formatCode>
                <c:ptCount val="36"/>
                <c:pt idx="0">
                  <c:v>1.3722079992294312</c:v>
                </c:pt>
                <c:pt idx="1">
                  <c:v>1.3632115125656128</c:v>
                </c:pt>
                <c:pt idx="2">
                  <c:v>1.3375370502471924</c:v>
                </c:pt>
                <c:pt idx="3">
                  <c:v>1.3276165723800659</c:v>
                </c:pt>
                <c:pt idx="4">
                  <c:v>1.327426552772522</c:v>
                </c:pt>
                <c:pt idx="5">
                  <c:v>1.323421835899353</c:v>
                </c:pt>
                <c:pt idx="6">
                  <c:v>1.3258109092712402</c:v>
                </c:pt>
                <c:pt idx="7">
                  <c:v>1.3335087299346924</c:v>
                </c:pt>
                <c:pt idx="8">
                  <c:v>1.330879807472229</c:v>
                </c:pt>
                <c:pt idx="9">
                  <c:v>1.3378736972808838</c:v>
                </c:pt>
                <c:pt idx="10">
                  <c:v>1.3533813953399658</c:v>
                </c:pt>
                <c:pt idx="11">
                  <c:v>1.3523480892181396</c:v>
                </c:pt>
                <c:pt idx="12">
                  <c:v>1.3410552740097046</c:v>
                </c:pt>
                <c:pt idx="13">
                  <c:v>1.3392343521118164</c:v>
                </c:pt>
                <c:pt idx="14">
                  <c:v>1.3502277135848999</c:v>
                </c:pt>
                <c:pt idx="15">
                  <c:v>1.3690446615219116</c:v>
                </c:pt>
                <c:pt idx="16">
                  <c:v>1.3863877058029175</c:v>
                </c:pt>
                <c:pt idx="17">
                  <c:v>1.3914532661437988</c:v>
                </c:pt>
                <c:pt idx="18">
                  <c:v>1.3917528390884399</c:v>
                </c:pt>
                <c:pt idx="19">
                  <c:v>1.3843721151351929</c:v>
                </c:pt>
                <c:pt idx="20">
                  <c:v>1.3908780813217163</c:v>
                </c:pt>
                <c:pt idx="21">
                  <c:v>1.4052689075469971</c:v>
                </c:pt>
                <c:pt idx="22">
                  <c:v>1.4136265516281128</c:v>
                </c:pt>
                <c:pt idx="23">
                  <c:v>1.4189608097076416</c:v>
                </c:pt>
                <c:pt idx="24">
                  <c:v>1.4290441274642944</c:v>
                </c:pt>
                <c:pt idx="25">
                  <c:v>1.4257436990737915</c:v>
                </c:pt>
                <c:pt idx="26">
                  <c:v>1.4265570640563965</c:v>
                </c:pt>
                <c:pt idx="27">
                  <c:v>1.4363670349121094</c:v>
                </c:pt>
                <c:pt idx="28">
                  <c:v>1.447170615196228</c:v>
                </c:pt>
                <c:pt idx="29">
                  <c:v>1.446537971496582</c:v>
                </c:pt>
                <c:pt idx="30">
                  <c:v>1.4347448348999023</c:v>
                </c:pt>
                <c:pt idx="31">
                  <c:v>1.4698508977890015</c:v>
                </c:pt>
                <c:pt idx="32">
                  <c:v>1.5041998624801636</c:v>
                </c:pt>
                <c:pt idx="33">
                  <c:v>1.473957896232605</c:v>
                </c:pt>
                <c:pt idx="34">
                  <c:v>1.4683740139007568</c:v>
                </c:pt>
                <c:pt idx="35">
                  <c:v>1.4749164581298828</c:v>
                </c:pt>
              </c:numCache>
            </c:numRef>
          </c:val>
          <c:smooth val="0"/>
          <c:extLst>
            <c:ext xmlns:c16="http://schemas.microsoft.com/office/drawing/2014/chart" uri="{C3380CC4-5D6E-409C-BE32-E72D297353CC}">
              <c16:uniqueId val="{00000001-1FE3-134C-BB41-1461947A890B}"/>
            </c:ext>
          </c:extLst>
        </c:ser>
        <c:dLbls>
          <c:showLegendKey val="0"/>
          <c:showVal val="0"/>
          <c:showCatName val="0"/>
          <c:showSerName val="0"/>
          <c:showPercent val="0"/>
          <c:showBubbleSize val="0"/>
        </c:dLbls>
        <c:smooth val="0"/>
        <c:axId val="692303864"/>
        <c:axId val="692307392"/>
      </c:lineChart>
      <c:catAx>
        <c:axId val="692303864"/>
        <c:scaling>
          <c:orientation val="minMax"/>
        </c:scaling>
        <c:delete val="0"/>
        <c:axPos val="b"/>
        <c:majorGridlines>
          <c:spPr>
            <a:ln w="12700">
              <a:solidFill>
                <a:srgbClr val="000000"/>
              </a:solidFill>
              <a:prstDash val="sysDash"/>
            </a:ln>
          </c:spPr>
        </c:majorGridlines>
        <c:minorGridlines>
          <c:spPr>
            <a:ln>
              <a:noFill/>
            </a:ln>
          </c:spPr>
        </c:minorGridlines>
        <c:numFmt formatCode="General" sourceLinked="0"/>
        <c:majorTickMark val="out"/>
        <c:minorTickMark val="none"/>
        <c:tickLblPos val="nextTo"/>
        <c:spPr>
          <a:ln w="3175">
            <a:solidFill>
              <a:srgbClr val="000000"/>
            </a:solidFill>
            <a:prstDash val="solid"/>
          </a:ln>
        </c:spPr>
        <c:txPr>
          <a:bodyPr rot="0" vert="horz"/>
          <a:lstStyle/>
          <a:p>
            <a:pPr>
              <a:defRPr sz="1600" b="0" i="0" u="none" strike="noStrike" baseline="0">
                <a:solidFill>
                  <a:srgbClr val="000000"/>
                </a:solidFill>
                <a:latin typeface="Arial"/>
                <a:ea typeface="Arial"/>
                <a:cs typeface="Arial"/>
              </a:defRPr>
            </a:pPr>
            <a:endParaRPr lang="en-US"/>
          </a:p>
        </c:txPr>
        <c:crossAx val="692307392"/>
        <c:crossesAt val="0"/>
        <c:auto val="0"/>
        <c:lblAlgn val="ctr"/>
        <c:lblOffset val="100"/>
        <c:tickLblSkip val="5"/>
        <c:tickMarkSkip val="5"/>
        <c:noMultiLvlLbl val="0"/>
      </c:catAx>
      <c:valAx>
        <c:axId val="692307392"/>
        <c:scaling>
          <c:orientation val="minMax"/>
          <c:min val="0.8"/>
        </c:scaling>
        <c:delete val="0"/>
        <c:axPos val="l"/>
        <c:majorGridlines>
          <c:spPr>
            <a:ln w="12700">
              <a:solidFill>
                <a:srgbClr val="000000"/>
              </a:solidFill>
              <a:prstDash val="sysDash"/>
            </a:ln>
          </c:spPr>
        </c:majorGridlines>
        <c:title>
          <c:tx>
            <c:rich>
              <a:bodyPr/>
              <a:lstStyle/>
              <a:p>
                <a:pPr>
                  <a:defRPr sz="1200"/>
                </a:pPr>
                <a:r>
                  <a:rPr lang="en-US" sz="1200" b="0" i="0" u="none" strike="noStrike" kern="1200" baseline="0">
                    <a:solidFill>
                      <a:srgbClr val="000000"/>
                    </a:solidFill>
                    <a:latin typeface="Arial"/>
                    <a:ea typeface="Arial"/>
                    <a:cs typeface="Arial"/>
                  </a:rPr>
                  <a:t>Dollars</a:t>
                </a:r>
                <a:endParaRPr lang="fr-FR" sz="1200" b="0" i="0" u="none" strike="noStrike" kern="1200" baseline="0">
                  <a:solidFill>
                    <a:srgbClr val="000000"/>
                  </a:solidFill>
                  <a:latin typeface="Arial"/>
                  <a:ea typeface="Arial"/>
                  <a:cs typeface="Arial"/>
                </a:endParaRPr>
              </a:p>
            </c:rich>
          </c:tx>
          <c:overlay val="0"/>
        </c:title>
        <c:numFmt formatCode="#,##0.0" sourceLinked="0"/>
        <c:majorTickMark val="out"/>
        <c:minorTickMark val="none"/>
        <c:tickLblPos val="nextTo"/>
        <c:spPr>
          <a:ln w="3175">
            <a:solidFill>
              <a:srgbClr val="000000"/>
            </a:solidFill>
            <a:prstDash val="solid"/>
          </a:ln>
        </c:spPr>
        <c:txPr>
          <a:bodyPr rot="0" vert="horz"/>
          <a:lstStyle/>
          <a:p>
            <a:pPr>
              <a:defRPr sz="1600" b="0" i="0" u="none" strike="noStrike" baseline="0">
                <a:solidFill>
                  <a:srgbClr val="000000"/>
                </a:solidFill>
                <a:latin typeface="Arial"/>
                <a:ea typeface="Arial"/>
                <a:cs typeface="Arial"/>
              </a:defRPr>
            </a:pPr>
            <a:endParaRPr lang="en-US"/>
          </a:p>
        </c:txPr>
        <c:crossAx val="692303864"/>
        <c:crossesAt val="1"/>
        <c:crossBetween val="midCat"/>
      </c:valAx>
      <c:spPr>
        <a:noFill/>
        <a:ln w="25400">
          <a:solidFill>
            <a:srgbClr val="000000"/>
          </a:solidFill>
        </a:ln>
      </c:spPr>
    </c:plotArea>
    <c:legend>
      <c:legendPos val="l"/>
      <c:layout>
        <c:manualLayout>
          <c:xMode val="edge"/>
          <c:yMode val="edge"/>
          <c:x val="0.44564003820830078"/>
          <c:y val="0.59601642424565826"/>
          <c:w val="0.50582790540102873"/>
          <c:h val="0.16817470893763725"/>
        </c:manualLayout>
      </c:layout>
      <c:overlay val="1"/>
      <c:spPr>
        <a:solidFill>
          <a:schemeClr val="bg1"/>
        </a:solidFill>
        <a:ln w="12700">
          <a:solidFill>
            <a:schemeClr val="tx1"/>
          </a:solidFill>
        </a:ln>
      </c:spPr>
      <c:txPr>
        <a:bodyPr/>
        <a:lstStyle/>
        <a:p>
          <a:pPr>
            <a:defRPr sz="1400" baseline="0"/>
          </a:pPr>
          <a:endParaRPr lang="en-US"/>
        </a:p>
      </c:txPr>
    </c:legend>
    <c:plotVisOnly val="1"/>
    <c:dispBlanksAs val="span"/>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printSettings>
    <c:headerFooter/>
    <c:pageMargins b="0.75" l="0.7" r="0.7" t="0.75" header="0.3" footer="0.3"/>
    <c:pageSetup/>
  </c:printSettings>
  <c:userShapes r:id="rId1"/>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700" b="1" i="0" u="none" strike="noStrike" baseline="0">
                <a:solidFill>
                  <a:srgbClr val="000000"/>
                </a:solidFill>
                <a:latin typeface="Arial"/>
                <a:ea typeface="Arial"/>
                <a:cs typeface="Arial"/>
              </a:defRPr>
            </a:pPr>
            <a:r>
              <a:rPr lang="fr-FR" sz="1800" b="1" baseline="0">
                <a:latin typeface="Arial" panose="020B0604020202020204" pitchFamily="34" charset="0"/>
                <a:cs typeface="Arial" panose="020B0604020202020204" pitchFamily="34" charset="0"/>
              </a:rPr>
              <a:t>Figure 0b. </a:t>
            </a:r>
            <a:r>
              <a:rPr lang="en-US" sz="1700" b="1" i="0" u="none" strike="noStrike" baseline="0"/>
              <a:t>Exchange Rate and Purchasing Power Parity: Euro/Yuan</a:t>
            </a:r>
            <a:endParaRPr lang="fr-FR" sz="1800" b="1" baseline="0">
              <a:latin typeface="Arial" panose="020B0604020202020204" pitchFamily="34" charset="0"/>
              <a:cs typeface="Arial" panose="020B0604020202020204" pitchFamily="34" charset="0"/>
            </a:endParaRPr>
          </a:p>
        </c:rich>
      </c:tx>
      <c:layout>
        <c:manualLayout>
          <c:xMode val="edge"/>
          <c:yMode val="edge"/>
          <c:x val="0.13506871949982979"/>
          <c:y val="2.2032644161393842E-3"/>
        </c:manualLayout>
      </c:layout>
      <c:overlay val="0"/>
      <c:spPr>
        <a:noFill/>
        <a:ln w="25400">
          <a:noFill/>
        </a:ln>
      </c:spPr>
    </c:title>
    <c:autoTitleDeleted val="0"/>
    <c:plotArea>
      <c:layout>
        <c:manualLayout>
          <c:layoutTarget val="inner"/>
          <c:xMode val="edge"/>
          <c:yMode val="edge"/>
          <c:x val="0.1130023679065842"/>
          <c:y val="6.5675853018372699E-2"/>
          <c:w val="0.85382081643768204"/>
          <c:h val="0.71041711002340935"/>
        </c:manualLayout>
      </c:layout>
      <c:lineChart>
        <c:grouping val="standard"/>
        <c:varyColors val="0"/>
        <c:ser>
          <c:idx val="1"/>
          <c:order val="0"/>
          <c:tx>
            <c:strRef>
              <c:f>DataF0a!$E$4</c:f>
              <c:strCache>
                <c:ptCount val="1"/>
                <c:pt idx="0">
                  <c:v>Exchange rate euro/yuan</c:v>
                </c:pt>
              </c:strCache>
            </c:strRef>
          </c:tx>
          <c:spPr>
            <a:ln w="50800">
              <a:solidFill>
                <a:srgbClr val="00B0F0"/>
              </a:solidFill>
            </a:ln>
          </c:spPr>
          <c:marker>
            <c:symbol val="none"/>
          </c:marker>
          <c:cat>
            <c:numRef>
              <c:f>DataF0a!$B$5:$B$39</c:f>
              <c:numCache>
                <c:formatCode>General</c:formatCode>
                <c:ptCount val="35"/>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DataF0a!$E$5:$E$40</c:f>
              <c:numCache>
                <c:formatCode>#,##0.00</c:formatCode>
                <c:ptCount val="36"/>
                <c:pt idx="0">
                  <c:v>6.3129115104675293</c:v>
                </c:pt>
                <c:pt idx="1">
                  <c:v>6.8140568733215332</c:v>
                </c:pt>
                <c:pt idx="2">
                  <c:v>7.3992915153503418</c:v>
                </c:pt>
                <c:pt idx="3">
                  <c:v>6.9135360717773438</c:v>
                </c:pt>
                <c:pt idx="4">
                  <c:v>10.369204521179199</c:v>
                </c:pt>
                <c:pt idx="5">
                  <c:v>10.928497314453125</c:v>
                </c:pt>
                <c:pt idx="6">
                  <c:v>10.70773983001709</c:v>
                </c:pt>
                <c:pt idx="7">
                  <c:v>9.3672323226928711</c:v>
                </c:pt>
                <c:pt idx="8">
                  <c:v>9.2109642028808594</c:v>
                </c:pt>
                <c:pt idx="9">
                  <c:v>8.8227634429931641</c:v>
                </c:pt>
                <c:pt idx="10">
                  <c:v>7.6461305618286133</c:v>
                </c:pt>
                <c:pt idx="11">
                  <c:v>7.4131865501403809</c:v>
                </c:pt>
                <c:pt idx="12">
                  <c:v>7.8264737129211426</c:v>
                </c:pt>
                <c:pt idx="13">
                  <c:v>9.3626556396484375</c:v>
                </c:pt>
                <c:pt idx="14">
                  <c:v>10.2955322265625</c:v>
                </c:pt>
                <c:pt idx="15">
                  <c:v>10.194470405578613</c:v>
                </c:pt>
                <c:pt idx="16">
                  <c:v>10.011439323425293</c:v>
                </c:pt>
                <c:pt idx="17">
                  <c:v>10.425955772399902</c:v>
                </c:pt>
                <c:pt idx="18">
                  <c:v>10.219771385192871</c:v>
                </c:pt>
                <c:pt idx="19">
                  <c:v>9.5283393859863281</c:v>
                </c:pt>
                <c:pt idx="20">
                  <c:v>8.9754581451416016</c:v>
                </c:pt>
                <c:pt idx="21">
                  <c:v>8.9940643310546875</c:v>
                </c:pt>
                <c:pt idx="22">
                  <c:v>8.1100139617919922</c:v>
                </c:pt>
                <c:pt idx="23">
                  <c:v>8.22869873046875</c:v>
                </c:pt>
                <c:pt idx="24">
                  <c:v>8.1615571975708008</c:v>
                </c:pt>
                <c:pt idx="25">
                  <c:v>6.9094791412353516</c:v>
                </c:pt>
                <c:pt idx="26">
                  <c:v>7.3547930717468262</c:v>
                </c:pt>
                <c:pt idx="27">
                  <c:v>7.6352381706237793</c:v>
                </c:pt>
                <c:pt idx="28">
                  <c:v>7.8131442070007324</c:v>
                </c:pt>
                <c:pt idx="29">
                  <c:v>7.7337608337402344</c:v>
                </c:pt>
                <c:pt idx="30">
                  <c:v>7.8820300102233887</c:v>
                </c:pt>
                <c:pt idx="31">
                  <c:v>7.6274628639221191</c:v>
                </c:pt>
                <c:pt idx="32">
                  <c:v>7.0945549011230469</c:v>
                </c:pt>
                <c:pt idx="33">
                  <c:v>7.659705638885498</c:v>
                </c:pt>
                <c:pt idx="34">
                  <c:v>7.7904238700866699</c:v>
                </c:pt>
                <c:pt idx="35">
                  <c:v>8.4438705444335938</c:v>
                </c:pt>
              </c:numCache>
            </c:numRef>
          </c:val>
          <c:smooth val="1"/>
          <c:extLst>
            <c:ext xmlns:c16="http://schemas.microsoft.com/office/drawing/2014/chart" uri="{C3380CC4-5D6E-409C-BE32-E72D297353CC}">
              <c16:uniqueId val="{00000000-1F69-FA48-9FF7-1303A4574E82}"/>
            </c:ext>
          </c:extLst>
        </c:ser>
        <c:ser>
          <c:idx val="2"/>
          <c:order val="1"/>
          <c:tx>
            <c:strRef>
              <c:f>DataF0a!$F$4</c:f>
              <c:strCache>
                <c:ptCount val="1"/>
                <c:pt idx="0">
                  <c:v>Purchasing power parity euro/yuan</c:v>
                </c:pt>
              </c:strCache>
            </c:strRef>
          </c:tx>
          <c:spPr>
            <a:ln w="50800">
              <a:solidFill>
                <a:srgbClr val="F90FE3"/>
              </a:solidFill>
            </a:ln>
          </c:spPr>
          <c:marker>
            <c:symbol val="none"/>
          </c:marker>
          <c:cat>
            <c:numRef>
              <c:f>DataF0a!$B$5:$B$39</c:f>
              <c:numCache>
                <c:formatCode>General</c:formatCode>
                <c:ptCount val="35"/>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cat>
          <c:val>
            <c:numRef>
              <c:f>DataF0a!$F$5:$F$40</c:f>
              <c:numCache>
                <c:formatCode>#,##0.00</c:formatCode>
                <c:ptCount val="36"/>
                <c:pt idx="0">
                  <c:v>1.6601442098617554</c:v>
                </c:pt>
                <c:pt idx="1">
                  <c:v>1.7430330514907837</c:v>
                </c:pt>
                <c:pt idx="2">
                  <c:v>1.8872716426849365</c:v>
                </c:pt>
                <c:pt idx="3">
                  <c:v>2.1704933643341064</c:v>
                </c:pt>
                <c:pt idx="4">
                  <c:v>2.6680021286010742</c:v>
                </c:pt>
                <c:pt idx="5">
                  <c:v>2.8944549560546875</c:v>
                </c:pt>
                <c:pt idx="6">
                  <c:v>3.2167994976043701</c:v>
                </c:pt>
                <c:pt idx="7">
                  <c:v>3.297053337097168</c:v>
                </c:pt>
                <c:pt idx="8">
                  <c:v>3.4617142677307129</c:v>
                </c:pt>
                <c:pt idx="9">
                  <c:v>3.4397468566894531</c:v>
                </c:pt>
                <c:pt idx="10">
                  <c:v>3.5399935245513916</c:v>
                </c:pt>
                <c:pt idx="11">
                  <c:v>3.5765111446380615</c:v>
                </c:pt>
                <c:pt idx="12">
                  <c:v>3.4636774063110352</c:v>
                </c:pt>
                <c:pt idx="13">
                  <c:v>3.5178213119506836</c:v>
                </c:pt>
                <c:pt idx="14">
                  <c:v>3.6714582443237305</c:v>
                </c:pt>
                <c:pt idx="15">
                  <c:v>3.847419261932373</c:v>
                </c:pt>
                <c:pt idx="16">
                  <c:v>3.9479429721832275</c:v>
                </c:pt>
                <c:pt idx="17">
                  <c:v>4.2289896011352539</c:v>
                </c:pt>
                <c:pt idx="18">
                  <c:v>4.6464323997497559</c:v>
                </c:pt>
                <c:pt idx="19">
                  <c:v>4.6390819549560547</c:v>
                </c:pt>
                <c:pt idx="20">
                  <c:v>4.9825620651245117</c:v>
                </c:pt>
                <c:pt idx="21">
                  <c:v>5.4098138809204102</c:v>
                </c:pt>
                <c:pt idx="22">
                  <c:v>5.5164051055908203</c:v>
                </c:pt>
                <c:pt idx="23">
                  <c:v>5.5751843452453613</c:v>
                </c:pt>
                <c:pt idx="24">
                  <c:v>5.588531494140625</c:v>
                </c:pt>
                <c:pt idx="25">
                  <c:v>5.5319385528564453</c:v>
                </c:pt>
                <c:pt idx="26">
                  <c:v>5.5639963150024414</c:v>
                </c:pt>
                <c:pt idx="27">
                  <c:v>5.7318825721740723</c:v>
                </c:pt>
                <c:pt idx="28">
                  <c:v>5.8414440155029297</c:v>
                </c:pt>
                <c:pt idx="29">
                  <c:v>5.8196535110473633</c:v>
                </c:pt>
                <c:pt idx="30">
                  <c:v>5.7257952690124512</c:v>
                </c:pt>
                <c:pt idx="31">
                  <c:v>5.8608965873718262</c:v>
                </c:pt>
                <c:pt idx="32">
                  <c:v>5.7079052925109863</c:v>
                </c:pt>
                <c:pt idx="33">
                  <c:v>5.3662428855895996</c:v>
                </c:pt>
                <c:pt idx="34">
                  <c:v>5.1795616149902344</c:v>
                </c:pt>
                <c:pt idx="35">
                  <c:v>5.008265495300293</c:v>
                </c:pt>
              </c:numCache>
            </c:numRef>
          </c:val>
          <c:smooth val="0"/>
          <c:extLst>
            <c:ext xmlns:c16="http://schemas.microsoft.com/office/drawing/2014/chart" uri="{C3380CC4-5D6E-409C-BE32-E72D297353CC}">
              <c16:uniqueId val="{00000001-1F69-FA48-9FF7-1303A4574E82}"/>
            </c:ext>
          </c:extLst>
        </c:ser>
        <c:dLbls>
          <c:showLegendKey val="0"/>
          <c:showVal val="0"/>
          <c:showCatName val="0"/>
          <c:showSerName val="0"/>
          <c:showPercent val="0"/>
          <c:showBubbleSize val="0"/>
        </c:dLbls>
        <c:smooth val="0"/>
        <c:axId val="692303864"/>
        <c:axId val="692307392"/>
      </c:lineChart>
      <c:catAx>
        <c:axId val="692303864"/>
        <c:scaling>
          <c:orientation val="minMax"/>
        </c:scaling>
        <c:delete val="0"/>
        <c:axPos val="b"/>
        <c:majorGridlines>
          <c:spPr>
            <a:ln w="12700">
              <a:solidFill>
                <a:srgbClr val="000000"/>
              </a:solidFill>
              <a:prstDash val="sysDash"/>
            </a:ln>
          </c:spPr>
        </c:majorGridlines>
        <c:minorGridlines>
          <c:spPr>
            <a:ln>
              <a:noFill/>
            </a:ln>
          </c:spPr>
        </c:minorGridlines>
        <c:numFmt formatCode="General" sourceLinked="0"/>
        <c:majorTickMark val="out"/>
        <c:minorTickMark val="none"/>
        <c:tickLblPos val="nextTo"/>
        <c:spPr>
          <a:ln w="3175">
            <a:solidFill>
              <a:srgbClr val="000000"/>
            </a:solidFill>
            <a:prstDash val="solid"/>
          </a:ln>
        </c:spPr>
        <c:txPr>
          <a:bodyPr rot="0" vert="horz"/>
          <a:lstStyle/>
          <a:p>
            <a:pPr>
              <a:defRPr sz="1600" b="0" i="0" u="none" strike="noStrike" baseline="0">
                <a:solidFill>
                  <a:srgbClr val="000000"/>
                </a:solidFill>
                <a:latin typeface="Arial"/>
                <a:ea typeface="Arial"/>
                <a:cs typeface="Arial"/>
              </a:defRPr>
            </a:pPr>
            <a:endParaRPr lang="en-US"/>
          </a:p>
        </c:txPr>
        <c:crossAx val="692307392"/>
        <c:crossesAt val="0"/>
        <c:auto val="0"/>
        <c:lblAlgn val="ctr"/>
        <c:lblOffset val="100"/>
        <c:tickLblSkip val="5"/>
        <c:tickMarkSkip val="5"/>
        <c:noMultiLvlLbl val="0"/>
      </c:catAx>
      <c:valAx>
        <c:axId val="692307392"/>
        <c:scaling>
          <c:orientation val="minMax"/>
          <c:min val="0.8"/>
        </c:scaling>
        <c:delete val="0"/>
        <c:axPos val="l"/>
        <c:majorGridlines>
          <c:spPr>
            <a:ln w="12700">
              <a:solidFill>
                <a:srgbClr val="000000"/>
              </a:solidFill>
              <a:prstDash val="sysDash"/>
            </a:ln>
          </c:spPr>
        </c:majorGridlines>
        <c:title>
          <c:tx>
            <c:rich>
              <a:bodyPr/>
              <a:lstStyle/>
              <a:p>
                <a:pPr>
                  <a:defRPr sz="1200"/>
                </a:pPr>
                <a:r>
                  <a:rPr lang="en-US" sz="1200" b="0" i="0" u="none" strike="noStrike" kern="1200" baseline="0">
                    <a:solidFill>
                      <a:srgbClr val="000000"/>
                    </a:solidFill>
                    <a:latin typeface="Arial"/>
                    <a:ea typeface="Arial"/>
                    <a:cs typeface="Arial"/>
                  </a:rPr>
                  <a:t>Yuans</a:t>
                </a:r>
                <a:endParaRPr lang="fr-FR" sz="1200" b="0" i="0" u="none" strike="noStrike" kern="1200" baseline="0">
                  <a:solidFill>
                    <a:srgbClr val="000000"/>
                  </a:solidFill>
                  <a:latin typeface="Arial"/>
                  <a:ea typeface="Arial"/>
                  <a:cs typeface="Arial"/>
                </a:endParaRPr>
              </a:p>
            </c:rich>
          </c:tx>
          <c:overlay val="0"/>
        </c:title>
        <c:numFmt formatCode="#,##0.0" sourceLinked="0"/>
        <c:majorTickMark val="out"/>
        <c:minorTickMark val="none"/>
        <c:tickLblPos val="nextTo"/>
        <c:spPr>
          <a:ln w="3175">
            <a:solidFill>
              <a:srgbClr val="000000"/>
            </a:solidFill>
            <a:prstDash val="solid"/>
          </a:ln>
        </c:spPr>
        <c:txPr>
          <a:bodyPr rot="0" vert="horz"/>
          <a:lstStyle/>
          <a:p>
            <a:pPr>
              <a:defRPr sz="1600" b="0" i="0" u="none" strike="noStrike" baseline="0">
                <a:solidFill>
                  <a:srgbClr val="000000"/>
                </a:solidFill>
                <a:latin typeface="Arial"/>
                <a:ea typeface="Arial"/>
                <a:cs typeface="Arial"/>
              </a:defRPr>
            </a:pPr>
            <a:endParaRPr lang="en-US"/>
          </a:p>
        </c:txPr>
        <c:crossAx val="692303864"/>
        <c:crossesAt val="1"/>
        <c:crossBetween val="midCat"/>
      </c:valAx>
      <c:spPr>
        <a:noFill/>
        <a:ln w="25400">
          <a:solidFill>
            <a:srgbClr val="000000"/>
          </a:solidFill>
        </a:ln>
      </c:spPr>
    </c:plotArea>
    <c:legend>
      <c:legendPos val="l"/>
      <c:layout>
        <c:manualLayout>
          <c:xMode val="edge"/>
          <c:yMode val="edge"/>
          <c:x val="0.52890109176875977"/>
          <c:y val="0.59601642424565826"/>
          <c:w val="0.42256689238934969"/>
          <c:h val="0.16817470893763725"/>
        </c:manualLayout>
      </c:layout>
      <c:overlay val="1"/>
      <c:spPr>
        <a:solidFill>
          <a:schemeClr val="bg1"/>
        </a:solidFill>
        <a:ln w="12700">
          <a:solidFill>
            <a:schemeClr val="tx1"/>
          </a:solidFill>
        </a:ln>
      </c:spPr>
      <c:txPr>
        <a:bodyPr/>
        <a:lstStyle/>
        <a:p>
          <a:pPr>
            <a:defRPr sz="1400" baseline="0"/>
          </a:pPr>
          <a:endParaRPr lang="en-US"/>
        </a:p>
      </c:txPr>
    </c:legend>
    <c:plotVisOnly val="1"/>
    <c:dispBlanksAs val="span"/>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printSettings>
    <c:headerFooter/>
    <c:pageMargins b="0.75" l="0.7" r="0.7" t="0.75" header="0.3" footer="0.3"/>
    <c:pageSetup/>
  </c:printSettings>
  <c:userShapes r:id="rId1"/>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absoluteAnchor>
    <xdr:pos x="1651000" y="1333500"/>
    <xdr:ext cx="9159875" cy="5667375"/>
    <xdr:graphicFrame macro="">
      <xdr:nvGraphicFramePr>
        <xdr:cNvPr id="2" name="Chart 1">
          <a:extLst>
            <a:ext uri="{FF2B5EF4-FFF2-40B4-BE49-F238E27FC236}">
              <a16:creationId xmlns:a16="http://schemas.microsoft.com/office/drawing/2014/main" id="{8EDE180F-0D64-AB45-BB82-0623E5A1704C}"/>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xml><?xml version="1.0" encoding="utf-8"?>
<c:userShapes xmlns:c="http://schemas.openxmlformats.org/drawingml/2006/chart">
  <cdr:relSizeAnchor xmlns:cdr="http://schemas.openxmlformats.org/drawingml/2006/chartDrawing">
    <cdr:from>
      <cdr:x>0.06104</cdr:x>
      <cdr:y>0.87669</cdr:y>
    </cdr:from>
    <cdr:to>
      <cdr:x>1</cdr:x>
      <cdr:y>1</cdr:y>
    </cdr:to>
    <cdr:sp macro="" textlink="">
      <cdr:nvSpPr>
        <cdr:cNvPr id="2" name="ZoneTexte 1"/>
        <cdr:cNvSpPr txBox="1"/>
      </cdr:nvSpPr>
      <cdr:spPr>
        <a:xfrm xmlns:a="http://schemas.openxmlformats.org/drawingml/2006/main">
          <a:off x="556260" y="4930140"/>
          <a:ext cx="8557260" cy="69342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fr-FR" sz="1100"/>
        </a:p>
      </cdr:txBody>
    </cdr:sp>
  </cdr:relSizeAnchor>
  <cdr:relSizeAnchor xmlns:cdr="http://schemas.openxmlformats.org/drawingml/2006/chartDrawing">
    <cdr:from>
      <cdr:x>0.00376</cdr:x>
      <cdr:y>0.95687</cdr:y>
    </cdr:from>
    <cdr:to>
      <cdr:x>0.98453</cdr:x>
      <cdr:y>1</cdr:y>
    </cdr:to>
    <cdr:sp macro="" textlink="">
      <cdr:nvSpPr>
        <cdr:cNvPr id="3" name="ZoneTexte 2"/>
        <cdr:cNvSpPr txBox="1"/>
      </cdr:nvSpPr>
      <cdr:spPr>
        <a:xfrm xmlns:a="http://schemas.openxmlformats.org/drawingml/2006/main">
          <a:off x="34364" y="5410200"/>
          <a:ext cx="8971897" cy="24384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marL="0" marR="0" indent="0" defTabSz="914400" eaLnBrk="1" fontAlgn="auto" latinLnBrk="0" hangingPunct="1">
            <a:lnSpc>
              <a:spcPct val="100000"/>
            </a:lnSpc>
            <a:spcBef>
              <a:spcPts val="0"/>
            </a:spcBef>
            <a:spcAft>
              <a:spcPts val="0"/>
            </a:spcAft>
            <a:buClrTx/>
            <a:buSzTx/>
            <a:buFontTx/>
            <a:buNone/>
            <a:tabLst/>
            <a:defRPr/>
          </a:pPr>
          <a:endParaRPr lang="fr-FR" sz="1300">
            <a:latin typeface="Arial" panose="020B0604020202020204" pitchFamily="34" charset="0"/>
            <a:cs typeface="Arial" panose="020B0604020202020204" pitchFamily="34" charset="0"/>
          </a:endParaRPr>
        </a:p>
      </cdr:txBody>
    </cdr:sp>
  </cdr:relSizeAnchor>
  <cdr:relSizeAnchor xmlns:cdr="http://schemas.openxmlformats.org/drawingml/2006/chartDrawing">
    <cdr:from>
      <cdr:x>0.01333</cdr:x>
      <cdr:y>0.8424</cdr:y>
    </cdr:from>
    <cdr:to>
      <cdr:x>0.97192</cdr:x>
      <cdr:y>0.94069</cdr:y>
    </cdr:to>
    <cdr:sp macro="" textlink="">
      <cdr:nvSpPr>
        <cdr:cNvPr id="4" name="Rectangle 3"/>
        <cdr:cNvSpPr/>
      </cdr:nvSpPr>
      <cdr:spPr>
        <a:xfrm xmlns:a="http://schemas.openxmlformats.org/drawingml/2006/main">
          <a:off x="121622" y="4746746"/>
          <a:ext cx="8746125" cy="553833"/>
        </a:xfrm>
        <a:prstGeom xmlns:a="http://schemas.openxmlformats.org/drawingml/2006/main" prst="rect">
          <a:avLst/>
        </a:prstGeom>
        <a:noFill xmlns:a="http://schemas.openxmlformats.org/drawingml/2006/main"/>
        <a:ln xmlns:a="http://schemas.openxmlformats.org/drawingml/2006/main" w="15875">
          <a:solidFill>
            <a:sysClr val="windowText" lastClr="000000"/>
          </a:solid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rtl="0"/>
          <a:r>
            <a:rPr lang="fr-FR" sz="1100" b="1" i="0" baseline="0">
              <a:solidFill>
                <a:schemeClr val="tx1"/>
              </a:solidFill>
              <a:effectLst/>
              <a:latin typeface="Arial" panose="020B0604020202020204" pitchFamily="34" charset="0"/>
              <a:ea typeface="+mn-ea"/>
              <a:cs typeface="Arial" panose="020B0604020202020204" pitchFamily="34" charset="0"/>
            </a:rPr>
            <a:t>Interpretation</a:t>
          </a:r>
          <a:r>
            <a:rPr lang="fr-FR" sz="1100" b="0" i="0" baseline="0">
              <a:solidFill>
                <a:schemeClr val="tx1"/>
              </a:solidFill>
              <a:effectLst/>
              <a:latin typeface="Arial" panose="020B0604020202020204" pitchFamily="34" charset="0"/>
              <a:ea typeface="+mn-ea"/>
              <a:cs typeface="Arial" panose="020B0604020202020204" pitchFamily="34" charset="0"/>
            </a:rPr>
            <a:t>. </a:t>
          </a:r>
          <a:r>
            <a:rPr lang="en-US">
              <a:solidFill>
                <a:schemeClr val="tx1"/>
              </a:solidFill>
              <a:latin typeface="Arial" panose="020B0604020202020204" pitchFamily="34" charset="0"/>
              <a:cs typeface="Arial" panose="020B0604020202020204" pitchFamily="34" charset="0"/>
            </a:rPr>
            <a:t>In 2025, 1 euro is worth 1.18 dollars according to current exchange rate, but 1.47 dollars in purchasing power partity.</a:t>
          </a:r>
          <a:r>
            <a:rPr lang="fr-FR" sz="1100" b="0" i="0" baseline="0">
              <a:solidFill>
                <a:schemeClr val="tx1"/>
              </a:solidFill>
              <a:effectLst/>
              <a:latin typeface="Arial" panose="020B0604020202020204" pitchFamily="34" charset="0"/>
              <a:ea typeface="+mn-ea"/>
              <a:cs typeface="Arial" panose="020B0604020202020204" pitchFamily="34" charset="0"/>
            </a:rPr>
            <a:t> </a:t>
          </a:r>
          <a:r>
            <a:rPr lang="fr-FR" sz="1100" b="1" i="0" baseline="0">
              <a:solidFill>
                <a:schemeClr val="tx1"/>
              </a:solidFill>
              <a:effectLst/>
              <a:latin typeface="Arial Narrow" panose="020B0606020202030204" pitchFamily="34" charset="0"/>
              <a:ea typeface="+mn-ea"/>
              <a:cs typeface="Arial" panose="020B0604020202020204" pitchFamily="34" charset="0"/>
            </a:rPr>
            <a:t>Sources and series</a:t>
          </a:r>
          <a:r>
            <a:rPr lang="fr-FR" sz="1100" b="0" i="0" baseline="0">
              <a:solidFill>
                <a:schemeClr val="tx1"/>
              </a:solidFill>
              <a:effectLst/>
              <a:latin typeface="Arial Narrow" panose="020B0606020202030204" pitchFamily="34" charset="0"/>
              <a:ea typeface="+mn-ea"/>
              <a:cs typeface="Arial" panose="020B0604020202020204" pitchFamily="34" charset="0"/>
            </a:rPr>
            <a:t>: wid.world</a:t>
          </a:r>
          <a:r>
            <a:rPr lang="fr-FR" sz="1100" b="0" i="0" baseline="0">
              <a:solidFill>
                <a:schemeClr val="lt1"/>
              </a:solidFill>
              <a:effectLst/>
              <a:latin typeface="Arial Narrow" panose="020B0606020202030204" pitchFamily="34" charset="0"/>
              <a:ea typeface="+mn-ea"/>
              <a:cs typeface="+mn-cs"/>
            </a:rPr>
            <a:t>t </a:t>
          </a:r>
          <a:endParaRPr lang="fr-FR" sz="1100">
            <a:effectLst/>
            <a:latin typeface="Arial Narrow" panose="020B0606020202030204" pitchFamily="34" charset="0"/>
          </a:endParaRPr>
        </a:p>
      </cdr:txBody>
    </cdr:sp>
  </cdr:relSizeAnchor>
</c:userShapes>
</file>

<file path=xl/drawings/drawing3.xml><?xml version="1.0" encoding="utf-8"?>
<xdr:wsDr xmlns:xdr="http://schemas.openxmlformats.org/drawingml/2006/spreadsheetDrawing" xmlns:a="http://schemas.openxmlformats.org/drawingml/2006/main">
  <xdr:absoluteAnchor>
    <xdr:pos x="825500" y="381000"/>
    <xdr:ext cx="9159875" cy="5667375"/>
    <xdr:graphicFrame macro="">
      <xdr:nvGraphicFramePr>
        <xdr:cNvPr id="2" name="Chart 1">
          <a:extLst>
            <a:ext uri="{FF2B5EF4-FFF2-40B4-BE49-F238E27FC236}">
              <a16:creationId xmlns:a16="http://schemas.microsoft.com/office/drawing/2014/main" id="{B3F156E8-064C-364E-9B82-DBE0FDCC14FC}"/>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xml><?xml version="1.0" encoding="utf-8"?>
<c:userShapes xmlns:c="http://schemas.openxmlformats.org/drawingml/2006/chart">
  <cdr:relSizeAnchor xmlns:cdr="http://schemas.openxmlformats.org/drawingml/2006/chartDrawing">
    <cdr:from>
      <cdr:x>0.06104</cdr:x>
      <cdr:y>0.87669</cdr:y>
    </cdr:from>
    <cdr:to>
      <cdr:x>1</cdr:x>
      <cdr:y>1</cdr:y>
    </cdr:to>
    <cdr:sp macro="" textlink="">
      <cdr:nvSpPr>
        <cdr:cNvPr id="2" name="ZoneTexte 1"/>
        <cdr:cNvSpPr txBox="1"/>
      </cdr:nvSpPr>
      <cdr:spPr>
        <a:xfrm xmlns:a="http://schemas.openxmlformats.org/drawingml/2006/main">
          <a:off x="556260" y="4930140"/>
          <a:ext cx="8557260" cy="69342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fr-FR" sz="1100"/>
        </a:p>
      </cdr:txBody>
    </cdr:sp>
  </cdr:relSizeAnchor>
  <cdr:relSizeAnchor xmlns:cdr="http://schemas.openxmlformats.org/drawingml/2006/chartDrawing">
    <cdr:from>
      <cdr:x>0.00376</cdr:x>
      <cdr:y>0.95687</cdr:y>
    </cdr:from>
    <cdr:to>
      <cdr:x>0.98453</cdr:x>
      <cdr:y>1</cdr:y>
    </cdr:to>
    <cdr:sp macro="" textlink="">
      <cdr:nvSpPr>
        <cdr:cNvPr id="3" name="ZoneTexte 2"/>
        <cdr:cNvSpPr txBox="1"/>
      </cdr:nvSpPr>
      <cdr:spPr>
        <a:xfrm xmlns:a="http://schemas.openxmlformats.org/drawingml/2006/main">
          <a:off x="34364" y="5410200"/>
          <a:ext cx="8971897" cy="24384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marL="0" marR="0" indent="0" defTabSz="914400" eaLnBrk="1" fontAlgn="auto" latinLnBrk="0" hangingPunct="1">
            <a:lnSpc>
              <a:spcPct val="100000"/>
            </a:lnSpc>
            <a:spcBef>
              <a:spcPts val="0"/>
            </a:spcBef>
            <a:spcAft>
              <a:spcPts val="0"/>
            </a:spcAft>
            <a:buClrTx/>
            <a:buSzTx/>
            <a:buFontTx/>
            <a:buNone/>
            <a:tabLst/>
            <a:defRPr/>
          </a:pPr>
          <a:endParaRPr lang="fr-FR" sz="1300">
            <a:latin typeface="Arial" panose="020B0604020202020204" pitchFamily="34" charset="0"/>
            <a:cs typeface="Arial" panose="020B0604020202020204" pitchFamily="34" charset="0"/>
          </a:endParaRPr>
        </a:p>
      </cdr:txBody>
    </cdr:sp>
  </cdr:relSizeAnchor>
  <cdr:relSizeAnchor xmlns:cdr="http://schemas.openxmlformats.org/drawingml/2006/chartDrawing">
    <cdr:from>
      <cdr:x>0.01333</cdr:x>
      <cdr:y>0.8424</cdr:y>
    </cdr:from>
    <cdr:to>
      <cdr:x>0.97192</cdr:x>
      <cdr:y>0.94069</cdr:y>
    </cdr:to>
    <cdr:sp macro="" textlink="">
      <cdr:nvSpPr>
        <cdr:cNvPr id="4" name="Rectangle 3"/>
        <cdr:cNvSpPr/>
      </cdr:nvSpPr>
      <cdr:spPr>
        <a:xfrm xmlns:a="http://schemas.openxmlformats.org/drawingml/2006/main">
          <a:off x="121622" y="4746746"/>
          <a:ext cx="8746125" cy="553833"/>
        </a:xfrm>
        <a:prstGeom xmlns:a="http://schemas.openxmlformats.org/drawingml/2006/main" prst="rect">
          <a:avLst/>
        </a:prstGeom>
        <a:noFill xmlns:a="http://schemas.openxmlformats.org/drawingml/2006/main"/>
        <a:ln xmlns:a="http://schemas.openxmlformats.org/drawingml/2006/main" w="15875">
          <a:solidFill>
            <a:sysClr val="windowText" lastClr="000000"/>
          </a:solid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rtl="0"/>
          <a:r>
            <a:rPr lang="fr-FR" sz="1100" b="1" i="0" baseline="0">
              <a:solidFill>
                <a:schemeClr val="tx1"/>
              </a:solidFill>
              <a:effectLst/>
              <a:latin typeface="Arial" panose="020B0604020202020204" pitchFamily="34" charset="0"/>
              <a:ea typeface="+mn-ea"/>
              <a:cs typeface="Arial" panose="020B0604020202020204" pitchFamily="34" charset="0"/>
            </a:rPr>
            <a:t>Interpretation</a:t>
          </a:r>
          <a:r>
            <a:rPr lang="fr-FR" sz="1100" b="0" i="0" baseline="0">
              <a:solidFill>
                <a:schemeClr val="tx1"/>
              </a:solidFill>
              <a:effectLst/>
              <a:latin typeface="Arial" panose="020B0604020202020204" pitchFamily="34" charset="0"/>
              <a:ea typeface="+mn-ea"/>
              <a:cs typeface="Arial" panose="020B0604020202020204" pitchFamily="34" charset="0"/>
            </a:rPr>
            <a:t>. </a:t>
          </a:r>
          <a:r>
            <a:rPr lang="en-US">
              <a:solidFill>
                <a:schemeClr val="tx1"/>
              </a:solidFill>
              <a:latin typeface="Arial" panose="020B0604020202020204" pitchFamily="34" charset="0"/>
              <a:cs typeface="Arial" panose="020B0604020202020204" pitchFamily="34" charset="0"/>
            </a:rPr>
            <a:t>In 2024, 1 euro is worth 8.44 yuans according to current exchange rate, but 5.01 yuans in purchasing power partity.</a:t>
          </a:r>
          <a:r>
            <a:rPr lang="fr-FR" sz="1100" b="0" i="0" baseline="0">
              <a:solidFill>
                <a:schemeClr val="tx1"/>
              </a:solidFill>
              <a:effectLst/>
              <a:latin typeface="Arial" panose="020B0604020202020204" pitchFamily="34" charset="0"/>
              <a:ea typeface="+mn-ea"/>
              <a:cs typeface="Arial" panose="020B0604020202020204" pitchFamily="34" charset="0"/>
            </a:rPr>
            <a:t> </a:t>
          </a:r>
          <a:r>
            <a:rPr lang="fr-FR" sz="1100" b="1" i="0" baseline="0">
              <a:solidFill>
                <a:schemeClr val="tx1"/>
              </a:solidFill>
              <a:effectLst/>
              <a:latin typeface="Arial Narrow" panose="020B0606020202030204" pitchFamily="34" charset="0"/>
              <a:ea typeface="+mn-ea"/>
              <a:cs typeface="Arial" panose="020B0604020202020204" pitchFamily="34" charset="0"/>
            </a:rPr>
            <a:t>Sources and series</a:t>
          </a:r>
          <a:r>
            <a:rPr lang="fr-FR" sz="1100" b="0" i="0" baseline="0">
              <a:solidFill>
                <a:schemeClr val="tx1"/>
              </a:solidFill>
              <a:effectLst/>
              <a:latin typeface="Arial Narrow" panose="020B0606020202030204" pitchFamily="34" charset="0"/>
              <a:ea typeface="+mn-ea"/>
              <a:cs typeface="Arial" panose="020B0604020202020204" pitchFamily="34" charset="0"/>
            </a:rPr>
            <a:t>: wid.world</a:t>
          </a:r>
          <a:r>
            <a:rPr lang="fr-FR" sz="1100" b="0" i="0" baseline="0">
              <a:solidFill>
                <a:schemeClr val="lt1"/>
              </a:solidFill>
              <a:effectLst/>
              <a:latin typeface="Arial Narrow" panose="020B0606020202030204" pitchFamily="34" charset="0"/>
              <a:ea typeface="+mn-ea"/>
              <a:cs typeface="+mn-cs"/>
            </a:rPr>
            <a:t>t </a:t>
          </a:r>
          <a:endParaRPr lang="fr-FR" sz="1100">
            <a:effectLst/>
            <a:latin typeface="Arial Narrow" panose="020B0606020202030204" pitchFamily="34" charset="0"/>
          </a:endParaRPr>
        </a:p>
      </cdr:txBody>
    </cdr:sp>
  </cdr:relSizeAnchor>
</c:userShap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1E694-DF67-9E40-8DD8-518C54B6F909}">
  <dimension ref="A1:J36"/>
  <sheetViews>
    <sheetView tabSelected="1" workbookViewId="0">
      <selection activeCell="I12" sqref="I12"/>
    </sheetView>
  </sheetViews>
  <sheetFormatPr baseColWidth="10" defaultRowHeight="15" x14ac:dyDescent="0.2"/>
  <cols>
    <col min="1" max="1" width="5.33203125" customWidth="1"/>
    <col min="9" max="9" width="13.33203125" bestFit="1" customWidth="1"/>
  </cols>
  <sheetData>
    <row r="1" spans="1:10" ht="16" x14ac:dyDescent="0.2">
      <c r="A1" s="49" t="s">
        <v>542</v>
      </c>
    </row>
    <row r="2" spans="1:10" ht="16" x14ac:dyDescent="0.2">
      <c r="A2" s="50" t="s">
        <v>612</v>
      </c>
    </row>
    <row r="3" spans="1:10" ht="16" thickBot="1" x14ac:dyDescent="0.25"/>
    <row r="4" spans="1:10" ht="16" thickBot="1" x14ac:dyDescent="0.25">
      <c r="A4" s="108" t="s">
        <v>541</v>
      </c>
      <c r="B4" s="109"/>
      <c r="C4" s="109"/>
      <c r="D4" s="109"/>
      <c r="E4" s="109"/>
      <c r="F4" s="109"/>
      <c r="G4" s="109"/>
      <c r="H4" s="110"/>
    </row>
    <row r="5" spans="1:10" ht="16" thickBot="1" x14ac:dyDescent="0.25">
      <c r="A5" s="105" t="s">
        <v>536</v>
      </c>
      <c r="B5" s="106"/>
      <c r="C5" s="106"/>
      <c r="D5" s="106"/>
      <c r="E5" s="106"/>
      <c r="F5" s="106"/>
      <c r="G5" s="106"/>
      <c r="H5" s="107"/>
      <c r="I5" s="93" t="s">
        <v>543</v>
      </c>
    </row>
    <row r="6" spans="1:10" x14ac:dyDescent="0.2">
      <c r="A6" s="90">
        <v>1</v>
      </c>
      <c r="B6" s="59" t="str">
        <f>'T1'!A1</f>
        <v>Table 1. National Income by World Region (2025)</v>
      </c>
      <c r="C6" s="59"/>
      <c r="D6" s="80"/>
      <c r="E6" s="80"/>
      <c r="F6" s="80"/>
      <c r="G6" s="80"/>
      <c r="H6" s="83"/>
      <c r="I6" s="94" t="s">
        <v>545</v>
      </c>
      <c r="J6" s="59"/>
    </row>
    <row r="7" spans="1:10" x14ac:dyDescent="0.2">
      <c r="A7" s="92">
        <v>2</v>
      </c>
      <c r="B7" s="59" t="str">
        <f>'T2'!A1</f>
        <v>Table 2. National Income by World Region USD-EUR (2025)</v>
      </c>
      <c r="C7" s="59"/>
      <c r="D7" s="80"/>
      <c r="E7" s="80"/>
      <c r="F7" s="80"/>
      <c r="G7" s="80"/>
      <c r="H7" s="83"/>
      <c r="I7" s="94" t="s">
        <v>546</v>
      </c>
      <c r="J7" s="59"/>
    </row>
    <row r="8" spans="1:10" x14ac:dyDescent="0.2">
      <c r="A8" s="92">
        <v>3</v>
      </c>
      <c r="B8" s="59" t="str">
        <f>T2a!A1</f>
        <v>Table 2a. Per capita national Income by World Region USD-EUR (2025)</v>
      </c>
      <c r="C8" s="59"/>
      <c r="D8" s="80"/>
      <c r="E8" s="80"/>
      <c r="F8" s="80"/>
      <c r="G8" s="80"/>
      <c r="H8" s="83"/>
      <c r="I8" s="94" t="s">
        <v>546</v>
      </c>
      <c r="J8" s="59"/>
    </row>
    <row r="9" spans="1:10" x14ac:dyDescent="0.2">
      <c r="A9" s="92">
        <v>4</v>
      </c>
      <c r="B9" s="59" t="str">
        <f>'T3'!A1</f>
        <v>Table 3. Gross domestic product by World Region USD-EUR (2025)</v>
      </c>
      <c r="C9" s="59"/>
      <c r="D9" s="80"/>
      <c r="E9" s="80"/>
      <c r="F9" s="80"/>
      <c r="G9" s="80"/>
      <c r="H9" s="83"/>
      <c r="I9" s="94" t="s">
        <v>546</v>
      </c>
      <c r="J9" s="59"/>
    </row>
    <row r="10" spans="1:10" x14ac:dyDescent="0.2">
      <c r="A10" s="92">
        <v>5</v>
      </c>
      <c r="B10" s="59" t="str">
        <f>T3a!A1</f>
        <v>Table 3a. Per capita gross domestic product by World Region USD-EUR (2025)</v>
      </c>
      <c r="C10" s="59"/>
      <c r="D10" s="80"/>
      <c r="E10" s="80"/>
      <c r="F10" s="80"/>
      <c r="G10" s="80"/>
      <c r="H10" s="83"/>
      <c r="I10" s="94" t="s">
        <v>546</v>
      </c>
      <c r="J10" s="59"/>
    </row>
    <row r="11" spans="1:10" x14ac:dyDescent="0.2">
      <c r="A11" s="91"/>
      <c r="B11" s="97" t="str">
        <f>DataT3c!B3</f>
        <v>Table 3c. National Income by World Region (2021): New PPP (ICP 2021) vs Old PPP (ICP 2011)</v>
      </c>
      <c r="C11" s="59"/>
      <c r="D11" s="80"/>
      <c r="E11" s="80"/>
      <c r="F11" s="80"/>
      <c r="G11" s="80"/>
      <c r="H11" s="83"/>
      <c r="I11" s="94" t="s">
        <v>547</v>
      </c>
      <c r="J11" s="59"/>
    </row>
    <row r="12" spans="1:10" x14ac:dyDescent="0.2">
      <c r="A12" s="92">
        <v>6</v>
      </c>
      <c r="B12" s="59" t="str">
        <f>T4a!A1</f>
        <v xml:space="preserve">Table 4a. Per Capita National Income Growth PPP 2025  € by World Regions (1980-2025) </v>
      </c>
      <c r="C12" s="59"/>
      <c r="D12" s="80"/>
      <c r="E12" s="80"/>
      <c r="F12" s="80"/>
      <c r="G12" s="80"/>
      <c r="H12" s="83"/>
      <c r="I12" s="94" t="s">
        <v>548</v>
      </c>
      <c r="J12" s="59"/>
    </row>
    <row r="13" spans="1:10" x14ac:dyDescent="0.2">
      <c r="A13" s="92">
        <v>7</v>
      </c>
      <c r="B13" s="59" t="str">
        <f>T4b!A1</f>
        <v xml:space="preserve">Table 4b. Per Capita National Income Growth PPP 2025  $  by World Regions (1980-2025) </v>
      </c>
      <c r="C13" s="59"/>
      <c r="D13" s="80"/>
      <c r="E13" s="80"/>
      <c r="F13" s="80"/>
      <c r="G13" s="80"/>
      <c r="H13" s="83"/>
      <c r="I13" s="94" t="s">
        <v>548</v>
      </c>
      <c r="J13" s="59"/>
    </row>
    <row r="14" spans="1:10" x14ac:dyDescent="0.2">
      <c r="A14" s="92">
        <v>8</v>
      </c>
      <c r="B14" s="59" t="str">
        <f>T4c!A1</f>
        <v xml:space="preserve">Table 4c. Per Capita National Income Growth MER 2025 € by World Regions (1980-2025) </v>
      </c>
      <c r="C14" s="59"/>
      <c r="D14" s="80"/>
      <c r="E14" s="80"/>
      <c r="F14" s="80"/>
      <c r="G14" s="80"/>
      <c r="H14" s="83"/>
      <c r="I14" s="94" t="s">
        <v>548</v>
      </c>
      <c r="J14" s="59"/>
    </row>
    <row r="15" spans="1:10" x14ac:dyDescent="0.2">
      <c r="A15" s="92">
        <v>9</v>
      </c>
      <c r="B15" s="59" t="str">
        <f>T4d!A1</f>
        <v xml:space="preserve">Table 4d. Per Capita National Income Growth MER 2025 $  by World Regions (1980-2025) </v>
      </c>
      <c r="C15" s="59"/>
      <c r="D15" s="80"/>
      <c r="E15" s="80"/>
      <c r="F15" s="80"/>
      <c r="G15" s="80"/>
      <c r="H15" s="83"/>
      <c r="I15" s="94" t="s">
        <v>548</v>
      </c>
      <c r="J15" s="59"/>
    </row>
    <row r="16" spans="1:10" x14ac:dyDescent="0.2">
      <c r="A16" s="92">
        <v>10</v>
      </c>
      <c r="B16" s="59" t="str">
        <f>'T5'!A1</f>
        <v xml:space="preserve">Table 5. Per Capita National Income Growth PPP 2025  € by  WID core Territories (1980-2025) </v>
      </c>
      <c r="C16" s="59"/>
      <c r="D16" s="80"/>
      <c r="E16" s="80"/>
      <c r="F16" s="80"/>
      <c r="G16" s="80"/>
      <c r="H16" s="83"/>
      <c r="I16" s="94" t="s">
        <v>550</v>
      </c>
      <c r="J16" s="59"/>
    </row>
    <row r="17" spans="1:10" x14ac:dyDescent="0.2">
      <c r="A17" s="91">
        <v>12</v>
      </c>
      <c r="B17" s="59" t="str">
        <f>'T6'!A1</f>
        <v>Table 6. Population by World Regions (1800-2025)</v>
      </c>
      <c r="C17" s="59"/>
      <c r="D17" s="80"/>
      <c r="E17" s="80"/>
      <c r="F17" s="80"/>
      <c r="G17" s="80"/>
      <c r="H17" s="83"/>
      <c r="I17" s="94" t="s">
        <v>549</v>
      </c>
      <c r="J17" s="59"/>
    </row>
    <row r="18" spans="1:10" x14ac:dyDescent="0.2">
      <c r="A18" s="92">
        <v>13</v>
      </c>
      <c r="B18" s="59" t="str">
        <f>T7a!A1</f>
        <v xml:space="preserve">Table 7a. Price index Growth PPP 2025 € by World Regions (1980-2025) </v>
      </c>
      <c r="C18" s="59"/>
      <c r="D18" s="80"/>
      <c r="E18" s="80"/>
      <c r="F18" s="80"/>
      <c r="G18" s="80"/>
      <c r="H18" s="83"/>
      <c r="I18" s="95"/>
      <c r="J18" s="59"/>
    </row>
    <row r="19" spans="1:10" x14ac:dyDescent="0.2">
      <c r="A19" s="92">
        <v>14</v>
      </c>
      <c r="B19" s="59" t="str">
        <f>T7b!A1</f>
        <v xml:space="preserve">Table 7b. Price index Growth PPP 2025 $ by World Regions (1980-2025) </v>
      </c>
      <c r="C19" s="59"/>
      <c r="D19" s="80"/>
      <c r="E19" s="80"/>
      <c r="F19" s="80"/>
      <c r="G19" s="80"/>
      <c r="H19" s="83"/>
      <c r="I19" s="95"/>
      <c r="J19" s="59"/>
    </row>
    <row r="20" spans="1:10" x14ac:dyDescent="0.2">
      <c r="A20" s="92">
        <v>15</v>
      </c>
      <c r="B20" s="59" t="str">
        <f>T7c!A1</f>
        <v xml:space="preserve">Table 7c. Price index Growth  € by World Regions (1980-2025) </v>
      </c>
      <c r="C20" s="59"/>
      <c r="D20" s="80"/>
      <c r="E20" s="80"/>
      <c r="F20" s="80"/>
      <c r="G20" s="80"/>
      <c r="H20" s="83"/>
      <c r="I20" s="95"/>
      <c r="J20" s="59"/>
    </row>
    <row r="21" spans="1:10" x14ac:dyDescent="0.2">
      <c r="A21" s="92">
        <v>16</v>
      </c>
      <c r="B21" s="59" t="str">
        <f>T7d!A1</f>
        <v xml:space="preserve">Table 7d. Price index Growth  $ by World Regions (1980-2025) </v>
      </c>
      <c r="C21" s="59"/>
      <c r="D21" s="80"/>
      <c r="E21" s="80"/>
      <c r="F21" s="80"/>
      <c r="G21" s="80"/>
      <c r="H21" s="83"/>
      <c r="I21" s="95"/>
      <c r="J21" s="59"/>
    </row>
    <row r="22" spans="1:10" x14ac:dyDescent="0.2">
      <c r="A22" s="92">
        <v>17</v>
      </c>
      <c r="B22" s="59" t="str">
        <f>'T8'!A1</f>
        <v xml:space="preserve">Table 8. Price index Growth  €  by Core countries (1980-2025) </v>
      </c>
      <c r="C22" s="59"/>
      <c r="D22" s="80"/>
      <c r="E22" s="80"/>
      <c r="F22" s="80"/>
      <c r="G22" s="80"/>
      <c r="H22" s="83"/>
      <c r="I22" s="95"/>
      <c r="J22" s="59"/>
    </row>
    <row r="23" spans="1:10" x14ac:dyDescent="0.2">
      <c r="A23" s="91">
        <v>18</v>
      </c>
      <c r="B23" s="59" t="str">
        <f>T9a!A1</f>
        <v>Table9a. Top 10 Richest Countries (2024),including countries with population below 10 million</v>
      </c>
      <c r="C23" s="59"/>
      <c r="D23" s="80"/>
      <c r="E23" s="80"/>
      <c r="F23" s="80"/>
      <c r="G23" s="80"/>
      <c r="H23" s="83"/>
      <c r="I23" s="94" t="s">
        <v>551</v>
      </c>
      <c r="J23" s="59"/>
    </row>
    <row r="24" spans="1:10" x14ac:dyDescent="0.2">
      <c r="A24" s="91">
        <v>19</v>
      </c>
      <c r="B24" s="59" t="str">
        <f>T9b!A1</f>
        <v>Table9b. Top 10 Richest Countries (2024), excluding countries with population below 10 million</v>
      </c>
      <c r="C24" s="59"/>
      <c r="D24" s="80"/>
      <c r="E24" s="80"/>
      <c r="F24" s="80"/>
      <c r="G24" s="80"/>
      <c r="H24" s="83"/>
      <c r="I24" s="94" t="s">
        <v>551</v>
      </c>
      <c r="J24" s="59"/>
    </row>
    <row r="25" spans="1:10" x14ac:dyDescent="0.2">
      <c r="A25" s="91">
        <v>20</v>
      </c>
      <c r="B25" s="59" t="str">
        <f>T9b!A1</f>
        <v>Table9b. Top 10 Richest Countries (2024), excluding countries with population below 10 million</v>
      </c>
      <c r="C25" s="59"/>
      <c r="D25" s="80"/>
      <c r="E25" s="80"/>
      <c r="F25" s="80"/>
      <c r="G25" s="80"/>
      <c r="H25" s="83"/>
      <c r="I25" s="94" t="s">
        <v>551</v>
      </c>
      <c r="J25" s="59"/>
    </row>
    <row r="26" spans="1:10" x14ac:dyDescent="0.2">
      <c r="A26" s="91">
        <v>21</v>
      </c>
      <c r="B26" s="59" t="str">
        <f>'T10'!A1</f>
        <v>Table 10. Bottom 10 Poorest Countries (2025)</v>
      </c>
      <c r="C26" s="59"/>
      <c r="D26" s="80"/>
      <c r="E26" s="80"/>
      <c r="F26" s="80"/>
      <c r="G26" s="80"/>
      <c r="H26" s="83"/>
      <c r="I26" s="94" t="s">
        <v>552</v>
      </c>
      <c r="J26" s="59"/>
    </row>
    <row r="27" spans="1:10" x14ac:dyDescent="0.2">
      <c r="A27" s="91">
        <v>22</v>
      </c>
      <c r="B27" s="59" t="str">
        <f>'T11'!A1</f>
        <v>Table 11. Top 10 Largest Economies (2025)</v>
      </c>
      <c r="C27" s="59"/>
      <c r="D27" s="80"/>
      <c r="E27" s="80"/>
      <c r="F27" s="80"/>
      <c r="G27" s="80"/>
      <c r="H27" s="83"/>
      <c r="I27" s="94" t="s">
        <v>553</v>
      </c>
      <c r="J27" s="59"/>
    </row>
    <row r="28" spans="1:10" x14ac:dyDescent="0.2">
      <c r="A28" s="197">
        <v>23</v>
      </c>
      <c r="B28" s="198" t="str">
        <f>T12a!A1</f>
        <v>Table 12a. Current Account by World Region € (2025)</v>
      </c>
      <c r="C28" s="59"/>
      <c r="D28" s="80"/>
      <c r="E28" s="80"/>
      <c r="F28" s="80"/>
      <c r="G28" s="80"/>
      <c r="H28" s="83"/>
      <c r="I28" s="94"/>
      <c r="J28" s="59"/>
    </row>
    <row r="29" spans="1:10" x14ac:dyDescent="0.2">
      <c r="A29" s="197">
        <v>24</v>
      </c>
      <c r="B29" s="198" t="str">
        <f>T12b!A1</f>
        <v>Table 12b. Current Account by World Region $ (2025)</v>
      </c>
      <c r="C29" s="59"/>
      <c r="D29" s="80"/>
      <c r="E29" s="80"/>
      <c r="F29" s="80"/>
      <c r="G29" s="80"/>
      <c r="H29" s="83"/>
      <c r="I29" s="94"/>
      <c r="J29" s="59"/>
    </row>
    <row r="30" spans="1:10" x14ac:dyDescent="0.2">
      <c r="A30" s="197">
        <v>25</v>
      </c>
      <c r="B30" s="198" t="str">
        <f>T13a!A1</f>
        <v xml:space="preserve">Table 13a. Net foreing Assets €  by World Regions (1980-2025) </v>
      </c>
      <c r="C30" s="59"/>
      <c r="D30" s="80"/>
      <c r="E30" s="80"/>
      <c r="F30" s="80"/>
      <c r="G30" s="80"/>
      <c r="H30" s="83"/>
      <c r="I30" s="94"/>
      <c r="J30" s="59"/>
    </row>
    <row r="31" spans="1:10" x14ac:dyDescent="0.2">
      <c r="A31" s="197">
        <v>26</v>
      </c>
      <c r="B31" s="198" t="str">
        <f>T13b!A1</f>
        <v xml:space="preserve">Table 13b. Net foreing Assets $  by World Regions (1980-2025) </v>
      </c>
      <c r="C31" s="59"/>
      <c r="D31" s="80"/>
      <c r="E31" s="80"/>
      <c r="F31" s="80"/>
      <c r="G31" s="80"/>
      <c r="H31" s="83"/>
      <c r="I31" s="94"/>
      <c r="J31" s="59"/>
    </row>
    <row r="32" spans="1:10" ht="16" thickBot="1" x14ac:dyDescent="0.25">
      <c r="A32" s="91">
        <v>27</v>
      </c>
      <c r="B32" s="84" t="s">
        <v>537</v>
      </c>
      <c r="C32" s="84"/>
      <c r="D32" s="81"/>
      <c r="E32" s="81"/>
      <c r="F32" s="81"/>
      <c r="G32" s="81"/>
      <c r="H32" s="82"/>
      <c r="I32" s="94" t="s">
        <v>554</v>
      </c>
      <c r="J32" s="59"/>
    </row>
    <row r="33" spans="1:10" ht="16" thickBot="1" x14ac:dyDescent="0.25">
      <c r="A33" s="105" t="s">
        <v>538</v>
      </c>
      <c r="B33" s="106"/>
      <c r="C33" s="106"/>
      <c r="D33" s="106"/>
      <c r="E33" s="106"/>
      <c r="F33" s="106"/>
      <c r="G33" s="106"/>
      <c r="H33" s="107"/>
      <c r="I33" s="95"/>
      <c r="J33" s="59"/>
    </row>
    <row r="34" spans="1:10" x14ac:dyDescent="0.2">
      <c r="A34" s="90">
        <v>1</v>
      </c>
      <c r="B34" s="87" t="s">
        <v>539</v>
      </c>
      <c r="H34" s="88"/>
      <c r="I34" s="94" t="s">
        <v>544</v>
      </c>
      <c r="J34" s="59"/>
    </row>
    <row r="35" spans="1:10" ht="16" thickBot="1" x14ac:dyDescent="0.25">
      <c r="A35" s="89">
        <v>2</v>
      </c>
      <c r="B35" s="86" t="s">
        <v>540</v>
      </c>
      <c r="C35" s="81"/>
      <c r="D35" s="81"/>
      <c r="E35" s="81"/>
      <c r="F35" s="81"/>
      <c r="G35" s="81"/>
      <c r="H35" s="82"/>
      <c r="I35" s="96" t="s">
        <v>544</v>
      </c>
      <c r="J35" s="59"/>
    </row>
    <row r="36" spans="1:10" x14ac:dyDescent="0.2">
      <c r="I36" s="59"/>
    </row>
  </sheetData>
  <mergeCells count="3">
    <mergeCell ref="A5:H5"/>
    <mergeCell ref="A4:H4"/>
    <mergeCell ref="A33:H33"/>
  </mergeCells>
  <phoneticPr fontId="15"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68798-27D0-814C-8999-E758B02985C3}">
  <sheetPr>
    <tabColor rgb="FFFF0000"/>
  </sheetPr>
  <dimension ref="A1"/>
  <sheetViews>
    <sheetView topLeftCell="B6" workbookViewId="0">
      <selection activeCell="P24" sqref="P24"/>
    </sheetView>
  </sheetViews>
  <sheetFormatPr baseColWidth="10" defaultRowHeight="15" x14ac:dyDescent="0.2"/>
  <cols>
    <col min="1" max="16384" width="10.83203125" style="85"/>
  </cols>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C58FC0-0F78-344B-96F5-307E7F8E5AAF}">
  <sheetPr>
    <tabColor rgb="FFFF0000"/>
  </sheetPr>
  <dimension ref="A1"/>
  <sheetViews>
    <sheetView topLeftCell="B1" workbookViewId="0">
      <selection activeCell="I35" sqref="I35"/>
    </sheetView>
  </sheetViews>
  <sheetFormatPr baseColWidth="10" defaultRowHeight="15" x14ac:dyDescent="0.2"/>
  <cols>
    <col min="1" max="16384" width="10.83203125" style="85"/>
  </cols>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37756C-ECE6-D346-AFDF-AB44D132DEF5}">
  <sheetPr>
    <tabColor rgb="FFFF0000"/>
  </sheetPr>
  <dimension ref="A1:G13"/>
  <sheetViews>
    <sheetView workbookViewId="0">
      <selection activeCell="I11" sqref="I11"/>
    </sheetView>
  </sheetViews>
  <sheetFormatPr baseColWidth="10" defaultColWidth="17.5" defaultRowHeight="45" customHeight="1" x14ac:dyDescent="0.2"/>
  <sheetData>
    <row r="1" spans="1:7" ht="17" thickBot="1" x14ac:dyDescent="0.25">
      <c r="A1" s="111" t="str">
        <f>DataT1!B3</f>
        <v>Table 1. National Income by World Region (2025)</v>
      </c>
      <c r="B1" s="112"/>
      <c r="C1" s="112"/>
      <c r="D1" s="112"/>
      <c r="E1" s="112"/>
      <c r="F1" s="112"/>
      <c r="G1" s="113"/>
    </row>
    <row r="2" spans="1:7" ht="55" customHeight="1" thickBot="1" x14ac:dyDescent="0.25">
      <c r="A2" s="21"/>
      <c r="B2" s="1" t="str">
        <f>DataT1!C4</f>
        <v>Population (millions)</v>
      </c>
      <c r="C2" s="1" t="str">
        <f>DataT1!D4</f>
        <v>Population (% world total)</v>
      </c>
      <c r="D2" s="15" t="str">
        <f>DataT1!E4</f>
        <v>National income        (PPP 2025 billions €)</v>
      </c>
      <c r="E2" s="1" t="str">
        <f>DataT1!F4</f>
        <v>National income      (% world total)</v>
      </c>
      <c r="F2" s="1" t="str">
        <f>DataT1!G4</f>
        <v>Per capita national income   (PPP 2025 €)</v>
      </c>
      <c r="G2" s="1" t="str">
        <f>DataT1!H4</f>
        <v>Per capita national income      (% world average)</v>
      </c>
    </row>
    <row r="3" spans="1:7" ht="45" customHeight="1" thickBot="1" x14ac:dyDescent="0.25">
      <c r="A3" s="69" t="str">
        <f>DataT1!B5</f>
        <v>East Asia</v>
      </c>
      <c r="B3" s="70">
        <f>DataT1!C5</f>
        <v>1652.185614</v>
      </c>
      <c r="C3" s="62">
        <f>DataT1!D5/100</f>
        <v>0.2007385812857419</v>
      </c>
      <c r="D3" s="70">
        <f>DataT1!E5</f>
        <v>30310.745591808001</v>
      </c>
      <c r="E3" s="62">
        <f>DataT1!F5/100</f>
        <v>0.2524466519292739</v>
      </c>
      <c r="F3" s="70">
        <f>DataT1!G5</f>
        <v>18345.847666851794</v>
      </c>
      <c r="G3" s="62">
        <f>DataT1!H5/100</f>
        <v>1.2575891007714559</v>
      </c>
    </row>
    <row r="4" spans="1:7" ht="45" customHeight="1" thickBot="1" x14ac:dyDescent="0.25">
      <c r="A4" s="69" t="str">
        <f>DataT1!B6</f>
        <v>Europe</v>
      </c>
      <c r="B4" s="52">
        <f>DataT1!C6</f>
        <v>555.98502099999996</v>
      </c>
      <c r="C4" s="62">
        <f>DataT1!D6/100</f>
        <v>6.7551516842866907E-2</v>
      </c>
      <c r="D4" s="52">
        <f>DataT1!E6</f>
        <v>20201.048096896</v>
      </c>
      <c r="E4" s="62">
        <f>DataT1!F6/100</f>
        <v>0.16824683319244721</v>
      </c>
      <c r="F4" s="52">
        <f>DataT1!G6</f>
        <v>36333.799174233507</v>
      </c>
      <c r="G4" s="62">
        <f>DataT1!H6/100</f>
        <v>2.4906447857242044</v>
      </c>
    </row>
    <row r="5" spans="1:7" ht="45" customHeight="1" thickBot="1" x14ac:dyDescent="0.25">
      <c r="A5" s="69" t="str">
        <f>DataT1!B7</f>
        <v>Latin America</v>
      </c>
      <c r="B5" s="70">
        <f>DataT1!C7</f>
        <v>666.73669299999995</v>
      </c>
      <c r="C5" s="62">
        <f>DataT1!D7/100</f>
        <v>8.1007712880356339E-2</v>
      </c>
      <c r="D5" s="70">
        <f>DataT1!E7</f>
        <v>8669.1391562240005</v>
      </c>
      <c r="E5" s="62">
        <f>DataT1!F7/100</f>
        <v>7.2201957172877931E-2</v>
      </c>
      <c r="F5" s="70">
        <f>DataT1!G7</f>
        <v>13002.342974731106</v>
      </c>
      <c r="G5" s="62">
        <f>DataT1!H7/100</f>
        <v>0.89129731732478379</v>
      </c>
    </row>
    <row r="6" spans="1:7" ht="45" customHeight="1" thickBot="1" x14ac:dyDescent="0.25">
      <c r="A6" s="22" t="str">
        <f>DataT1!B8</f>
        <v>MENA</v>
      </c>
      <c r="B6" s="70">
        <f>DataT1!C8</f>
        <v>612.22661800000003</v>
      </c>
      <c r="C6" s="62">
        <f>DataT1!D8/100</f>
        <v>7.4384803790385659E-2</v>
      </c>
      <c r="D6" s="70">
        <f>DataT1!E8</f>
        <v>9423.3042083839991</v>
      </c>
      <c r="E6" s="62">
        <f>DataT1!F8/100</f>
        <v>7.8483110562628702E-2</v>
      </c>
      <c r="F6" s="70">
        <f>DataT1!G8</f>
        <v>15391.856432455865</v>
      </c>
      <c r="G6" s="62">
        <f>DataT1!H8/100</f>
        <v>1.0550960218137022</v>
      </c>
    </row>
    <row r="7" spans="1:7" ht="45" customHeight="1" thickBot="1" x14ac:dyDescent="0.25">
      <c r="A7" s="22" t="str">
        <f>DataT1!B9</f>
        <v>North America &amp; Oceania</v>
      </c>
      <c r="B7" s="70">
        <f>DataT1!C9</f>
        <v>433.84501899999998</v>
      </c>
      <c r="C7" s="62">
        <f>DataT1!D9/100</f>
        <v>5.271165229498586E-2</v>
      </c>
      <c r="D7" s="70">
        <f>DataT1!E9</f>
        <v>20396.524346400001</v>
      </c>
      <c r="E7" s="62">
        <f>DataT1!F9/100</f>
        <v>0.16987488039997989</v>
      </c>
      <c r="F7" s="70">
        <f>DataT1!G9</f>
        <v>47013.388314134361</v>
      </c>
      <c r="G7" s="62">
        <f>DataT1!H9/100</f>
        <v>3.2227197024544627</v>
      </c>
    </row>
    <row r="8" spans="1:7" ht="45" customHeight="1" thickBot="1" x14ac:dyDescent="0.25">
      <c r="A8" s="22" t="str">
        <f>DataT1!B10</f>
        <v>Russia &amp; Central Asia</v>
      </c>
      <c r="B8" s="70">
        <f>DataT1!C10</f>
        <v>292.729918</v>
      </c>
      <c r="C8" s="62">
        <f>DataT1!D10/100</f>
        <v>3.5566335853116533E-2</v>
      </c>
      <c r="D8" s="70">
        <f>DataT1!E10</f>
        <v>5964.8444989440004</v>
      </c>
      <c r="E8" s="62">
        <f>DataT1!F10/100</f>
        <v>4.9678917282857255E-2</v>
      </c>
      <c r="F8" s="70">
        <f>DataT1!G10</f>
        <v>20376.613841513801</v>
      </c>
      <c r="G8" s="62">
        <f>DataT1!H10/100</f>
        <v>1.3967960457895778</v>
      </c>
    </row>
    <row r="9" spans="1:7" ht="45" customHeight="1" thickBot="1" x14ac:dyDescent="0.25">
      <c r="A9" s="22" t="str">
        <f>DataT1!B11</f>
        <v>South &amp; South-East Asia</v>
      </c>
      <c r="B9" s="52">
        <f>DataT1!C11</f>
        <v>2692.8217340000001</v>
      </c>
      <c r="C9" s="62">
        <f>DataT1!D11/100</f>
        <v>0.3271746285393885</v>
      </c>
      <c r="D9" s="52">
        <f>DataT1!E11</f>
        <v>20456.390714879999</v>
      </c>
      <c r="E9" s="62">
        <f>DataT1!F11/100</f>
        <v>0.17037348457453458</v>
      </c>
      <c r="F9" s="52">
        <f>DataT1!G11</f>
        <v>7596.6375555404666</v>
      </c>
      <c r="G9" s="62">
        <f>DataT1!H11/100</f>
        <v>0.52074173763147835</v>
      </c>
    </row>
    <row r="10" spans="1:7" ht="45" customHeight="1" thickBot="1" x14ac:dyDescent="0.25">
      <c r="A10" s="22" t="str">
        <f>DataT1!B12</f>
        <v>Sub-Saharan Africa</v>
      </c>
      <c r="B10" s="52">
        <f>DataT1!C12</f>
        <v>1324.0028629999999</v>
      </c>
      <c r="C10" s="62">
        <f>DataT1!D12/100</f>
        <v>0.1608647685131584</v>
      </c>
      <c r="D10" s="52">
        <f>DataT1!E12</f>
        <v>4645.926494976</v>
      </c>
      <c r="E10" s="62">
        <f>DataT1!F12/100</f>
        <v>3.8694151722984356E-2</v>
      </c>
      <c r="F10" s="52">
        <f>DataT1!G12</f>
        <v>3509.0003389033459</v>
      </c>
      <c r="G10" s="62">
        <f>DataT1!H12/100</f>
        <v>0.24053838563053201</v>
      </c>
    </row>
    <row r="11" spans="1:7" ht="45" customHeight="1" thickBot="1" x14ac:dyDescent="0.25">
      <c r="A11" s="23" t="str">
        <f>DataT1!B13</f>
        <v>World</v>
      </c>
      <c r="B11" s="71">
        <f>DataT1!C13</f>
        <v>8230.5334800000001</v>
      </c>
      <c r="C11" s="79">
        <f>DataT1!D13/100</f>
        <v>1</v>
      </c>
      <c r="D11" s="71">
        <f>DataT1!E13</f>
        <v>120067.924688896</v>
      </c>
      <c r="E11" s="79">
        <f>DataT1!F13/100</f>
        <v>1</v>
      </c>
      <c r="F11" s="71">
        <f>DataT1!G13</f>
        <v>14588.109626266412</v>
      </c>
      <c r="G11" s="79">
        <f>DataT1!H13/100</f>
        <v>1.0000000000000002</v>
      </c>
    </row>
    <row r="12" spans="1:7" ht="45" customHeight="1" x14ac:dyDescent="0.2">
      <c r="A12" s="114" t="s">
        <v>668</v>
      </c>
      <c r="B12" s="115"/>
      <c r="C12" s="115"/>
      <c r="D12" s="115"/>
      <c r="E12" s="115"/>
      <c r="F12" s="115"/>
      <c r="G12" s="116"/>
    </row>
    <row r="13" spans="1:7" ht="45" customHeight="1" thickBot="1" x14ac:dyDescent="0.25">
      <c r="A13" s="117"/>
      <c r="B13" s="118"/>
      <c r="C13" s="118"/>
      <c r="D13" s="118"/>
      <c r="E13" s="118"/>
      <c r="F13" s="118"/>
      <c r="G13" s="119"/>
    </row>
  </sheetData>
  <mergeCells count="2">
    <mergeCell ref="A1:G1"/>
    <mergeCell ref="A12:G1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ECF94-6E9C-E94B-812B-DD1EA60463A0}">
  <sheetPr>
    <tabColor theme="8"/>
  </sheetPr>
  <dimension ref="A1:I14"/>
  <sheetViews>
    <sheetView workbookViewId="0">
      <selection activeCell="L11" sqref="L11"/>
    </sheetView>
  </sheetViews>
  <sheetFormatPr baseColWidth="10" defaultRowHeight="38" customHeight="1" x14ac:dyDescent="0.2"/>
  <cols>
    <col min="1" max="1" width="22.1640625" customWidth="1"/>
  </cols>
  <sheetData>
    <row r="1" spans="1:9" ht="17" thickBot="1" x14ac:dyDescent="0.25">
      <c r="A1" s="111" t="str">
        <f>DataT2!B2</f>
        <v>Table 2. National Income by World Region USD-EUR (2025)</v>
      </c>
      <c r="B1" s="112"/>
      <c r="C1" s="112"/>
      <c r="D1" s="112"/>
      <c r="E1" s="112"/>
      <c r="F1" s="112"/>
      <c r="G1" s="112"/>
      <c r="H1" s="112"/>
      <c r="I1" s="112"/>
    </row>
    <row r="2" spans="1:9" ht="17" thickBot="1" x14ac:dyDescent="0.25">
      <c r="B2" s="120" t="str">
        <f>DataT2!C3</f>
        <v>PPP 2025  billions €</v>
      </c>
      <c r="C2" s="121"/>
      <c r="D2" s="122" t="str">
        <f>DataT2!E3</f>
        <v xml:space="preserve"> 2025 MER billions €</v>
      </c>
      <c r="E2" s="123"/>
      <c r="F2" s="120" t="str">
        <f>DataT2!G3</f>
        <v>PPP 2025  billions $</v>
      </c>
      <c r="G2" s="121"/>
      <c r="H2" s="120" t="str">
        <f>DataT2!I3</f>
        <v xml:space="preserve"> 2025 MER billions $</v>
      </c>
      <c r="I2" s="121"/>
    </row>
    <row r="3" spans="1:9" ht="69" thickBot="1" x14ac:dyDescent="0.25">
      <c r="B3" s="1" t="str">
        <f>DataT2!C4</f>
        <v>National income</v>
      </c>
      <c r="C3" s="1" t="str">
        <f>DataT2!D4</f>
        <v>National income      (% world total)</v>
      </c>
      <c r="D3" s="15" t="str">
        <f>DataT2!E4</f>
        <v>National income</v>
      </c>
      <c r="E3" s="1" t="str">
        <f>DataT2!F4</f>
        <v>National income      (% world total)</v>
      </c>
      <c r="F3" s="1" t="str">
        <f>DataT2!G4</f>
        <v>National income</v>
      </c>
      <c r="G3" s="1" t="str">
        <f>DataT2!H4</f>
        <v>National income      (% world total)</v>
      </c>
      <c r="H3" s="1" t="str">
        <f>DataT2!I4</f>
        <v>National income</v>
      </c>
      <c r="I3" s="1" t="str">
        <f>DataT2!J4</f>
        <v>National income      (% world total)</v>
      </c>
    </row>
    <row r="4" spans="1:9" ht="38" customHeight="1" thickBot="1" x14ac:dyDescent="0.25">
      <c r="A4" s="69" t="str">
        <f>DataT2!B5</f>
        <v>East Asia</v>
      </c>
      <c r="B4" s="70">
        <f>DataT2!C5</f>
        <v>30310.745591808001</v>
      </c>
      <c r="C4" s="62">
        <f>DataT2!D5/100</f>
        <v>0.2524466519292739</v>
      </c>
      <c r="D4" s="70">
        <f>DataT2!E5</f>
        <v>18893.621907455999</v>
      </c>
      <c r="E4" s="62">
        <f>DataT2!F5/100</f>
        <v>0.21966724235238883</v>
      </c>
      <c r="F4" s="70">
        <f>DataT2!G5</f>
        <v>44705.815773183996</v>
      </c>
      <c r="G4" s="62">
        <f>DataT2!H5/100</f>
        <v>0.25244664137230738</v>
      </c>
      <c r="H4" s="70">
        <f>DataT2!I5</f>
        <v>22268.711763968</v>
      </c>
      <c r="I4" s="62">
        <f>DataT2!J5/100</f>
        <v>0.21966724088001954</v>
      </c>
    </row>
    <row r="5" spans="1:9" ht="38" customHeight="1" thickBot="1" x14ac:dyDescent="0.25">
      <c r="A5" s="69" t="str">
        <f>DataT2!B6</f>
        <v>Europe</v>
      </c>
      <c r="B5" s="52">
        <f>DataT2!C6</f>
        <v>20201.048096896</v>
      </c>
      <c r="C5" s="62">
        <f>DataT2!D6/100</f>
        <v>0.16824683319244726</v>
      </c>
      <c r="D5" s="52">
        <f>DataT2!E6</f>
        <v>19982.897585408002</v>
      </c>
      <c r="E5" s="62">
        <f>DataT2!F6/100</f>
        <v>0.23233173757248313</v>
      </c>
      <c r="F5" s="52">
        <f>DataT2!G6</f>
        <v>29794.857556608</v>
      </c>
      <c r="G5" s="62">
        <f>DataT2!H6/100</f>
        <v>0.16824682852211165</v>
      </c>
      <c r="H5" s="52">
        <f>DataT2!I6</f>
        <v>23552.572467456001</v>
      </c>
      <c r="I5" s="62">
        <f>DataT2!J6/100</f>
        <v>0.23233174259878603</v>
      </c>
    </row>
    <row r="6" spans="1:9" ht="38" customHeight="1" thickBot="1" x14ac:dyDescent="0.25">
      <c r="A6" s="69" t="str">
        <f>DataT2!B7</f>
        <v>Latin America</v>
      </c>
      <c r="B6" s="70">
        <f>DataT2!C7</f>
        <v>8669.1391562240005</v>
      </c>
      <c r="C6" s="62">
        <f>DataT2!D7/100</f>
        <v>7.2201957172877904E-2</v>
      </c>
      <c r="D6" s="70">
        <f>DataT2!E7</f>
        <v>5460.5558694560004</v>
      </c>
      <c r="E6" s="62">
        <f>DataT2!F7/100</f>
        <v>6.3487310978801267E-2</v>
      </c>
      <c r="F6" s="70">
        <f>DataT2!G7</f>
        <v>12786.256091264</v>
      </c>
      <c r="G6" s="62">
        <f>DataT2!H7/100</f>
        <v>7.2201957399510644E-2</v>
      </c>
      <c r="H6" s="70">
        <f>DataT2!I7</f>
        <v>6436.0103133359999</v>
      </c>
      <c r="I6" s="62">
        <f>DataT2!J7/100</f>
        <v>6.3487310931629362E-2</v>
      </c>
    </row>
    <row r="7" spans="1:9" ht="38" customHeight="1" thickBot="1" x14ac:dyDescent="0.25">
      <c r="A7" s="22" t="str">
        <f>DataT2!B8</f>
        <v>MENA</v>
      </c>
      <c r="B7" s="70">
        <f>DataT2!C8</f>
        <v>9423.3042083839991</v>
      </c>
      <c r="C7" s="62">
        <f>DataT2!D8/100</f>
        <v>7.8483110562628688E-2</v>
      </c>
      <c r="D7" s="70">
        <f>DataT2!E8</f>
        <v>4949.7013893120002</v>
      </c>
      <c r="E7" s="62">
        <f>DataT2!F8/100</f>
        <v>5.7547846568734295E-2</v>
      </c>
      <c r="F7" s="70">
        <f>DataT2!G8</f>
        <v>13898.586200064001</v>
      </c>
      <c r="G7" s="62">
        <f>DataT2!H8/100</f>
        <v>7.8483108860620765E-2</v>
      </c>
      <c r="H7" s="70">
        <f>DataT2!I8</f>
        <v>5833.8985615359998</v>
      </c>
      <c r="I7" s="62">
        <f>DataT2!J8/100</f>
        <v>5.7547846241383913E-2</v>
      </c>
    </row>
    <row r="8" spans="1:9" ht="38" customHeight="1" thickBot="1" x14ac:dyDescent="0.25">
      <c r="A8" s="22" t="str">
        <f>DataT2!B9</f>
        <v>North America &amp; Oceania</v>
      </c>
      <c r="B8" s="70">
        <f>DataT2!C9</f>
        <v>20396.524346400001</v>
      </c>
      <c r="C8" s="62">
        <f>DataT2!D9/100</f>
        <v>0.16987488039997989</v>
      </c>
      <c r="D8" s="70">
        <f>DataT2!E9</f>
        <v>25039.376745612</v>
      </c>
      <c r="E8" s="62">
        <f>DataT2!F9/100</f>
        <v>0.29112103898726388</v>
      </c>
      <c r="F8" s="70">
        <f>DataT2!G9</f>
        <v>30083.170254592002</v>
      </c>
      <c r="G8" s="62">
        <f>DataT2!H9/100</f>
        <v>0.16987488453702293</v>
      </c>
      <c r="H8" s="70">
        <f>DataT2!I9</f>
        <v>29512.321424927999</v>
      </c>
      <c r="I8" s="62">
        <f>DataT2!J9/100</f>
        <v>0.29112102613263385</v>
      </c>
    </row>
    <row r="9" spans="1:9" ht="38" customHeight="1" thickBot="1" x14ac:dyDescent="0.25">
      <c r="A9" s="22" t="str">
        <f>DataT2!B10</f>
        <v>Russia &amp; Central Asia</v>
      </c>
      <c r="B9" s="70">
        <f>DataT2!C10</f>
        <v>5964.8444989440004</v>
      </c>
      <c r="C9" s="62">
        <f>DataT2!D10/100</f>
        <v>4.9678917282857255E-2</v>
      </c>
      <c r="D9" s="70">
        <f>DataT2!E10</f>
        <v>2684.9699901439999</v>
      </c>
      <c r="E9" s="62">
        <f>DataT2!F10/100</f>
        <v>3.1216881359370285E-2</v>
      </c>
      <c r="F9" s="70">
        <f>DataT2!G10</f>
        <v>8797.6470814719996</v>
      </c>
      <c r="G9" s="62">
        <f>DataT2!H10/100</f>
        <v>4.9678915802911672E-2</v>
      </c>
      <c r="H9" s="70">
        <f>DataT2!I10</f>
        <v>3164.6034165760002</v>
      </c>
      <c r="I9" s="62">
        <f>DataT2!J10/100</f>
        <v>3.1216879915053709E-2</v>
      </c>
    </row>
    <row r="10" spans="1:9" ht="38" customHeight="1" thickBot="1" x14ac:dyDescent="0.25">
      <c r="A10" s="22" t="str">
        <f>DataT2!B11</f>
        <v>South &amp; South-East Asia</v>
      </c>
      <c r="B10" s="52">
        <f>DataT2!C11</f>
        <v>20456.390714879999</v>
      </c>
      <c r="C10" s="62">
        <f>DataT2!D11/100</f>
        <v>0.17037348457453455</v>
      </c>
      <c r="D10" s="52">
        <f>DataT2!E11</f>
        <v>6950.2577022719997</v>
      </c>
      <c r="E10" s="62">
        <f>DataT2!F11/100</f>
        <v>8.0807372486587162E-2</v>
      </c>
      <c r="F10" s="52">
        <f>DataT2!G11</f>
        <v>30171.468353024</v>
      </c>
      <c r="G10" s="62">
        <f>DataT2!H11/100</f>
        <v>0.17037348987512513</v>
      </c>
      <c r="H10" s="52">
        <f>DataT2!I11</f>
        <v>8191.8270330879996</v>
      </c>
      <c r="I10" s="62">
        <f>DataT2!J11/100</f>
        <v>8.0807370502520418E-2</v>
      </c>
    </row>
    <row r="11" spans="1:9" ht="38" customHeight="1" thickBot="1" x14ac:dyDescent="0.25">
      <c r="A11" s="22" t="str">
        <f>DataT2!B12</f>
        <v>Sub-Saharan Africa</v>
      </c>
      <c r="B11" s="52">
        <f>DataT2!C12</f>
        <v>4645.926494976</v>
      </c>
      <c r="C11" s="62">
        <f>DataT2!D12/100</f>
        <v>3.8694151722984342E-2</v>
      </c>
      <c r="D11" s="52">
        <f>DataT2!E12</f>
        <v>2048.8168535680002</v>
      </c>
      <c r="E11" s="62">
        <f>DataT2!F12/100</f>
        <v>2.382062849107688E-2</v>
      </c>
      <c r="F11" s="52">
        <f>DataT2!G12</f>
        <v>6852.3532578559998</v>
      </c>
      <c r="G11" s="62">
        <f>DataT2!H12/100</f>
        <v>3.8694150537791058E-2</v>
      </c>
      <c r="H11" s="52">
        <f>DataT2!I12</f>
        <v>2414.8102761599998</v>
      </c>
      <c r="I11" s="62">
        <f>DataT2!J12/100</f>
        <v>2.3820628522889683E-2</v>
      </c>
    </row>
    <row r="12" spans="1:9" ht="38" customHeight="1" thickBot="1" x14ac:dyDescent="0.25">
      <c r="A12" s="23" t="str">
        <f>DataT2!B13</f>
        <v>World</v>
      </c>
      <c r="B12" s="71">
        <f>DataT2!C13</f>
        <v>120067.924688896</v>
      </c>
      <c r="C12" s="62">
        <f>DataT2!D13/100</f>
        <v>1</v>
      </c>
      <c r="D12" s="71">
        <f>DataT2!E13</f>
        <v>86010.192986112001</v>
      </c>
      <c r="E12" s="62">
        <f>DataT2!F13/100</f>
        <v>1</v>
      </c>
      <c r="F12" s="71">
        <f>DataT2!G13</f>
        <v>177090.158657536</v>
      </c>
      <c r="G12" s="62">
        <f>DataT2!H13/100</f>
        <v>1</v>
      </c>
      <c r="H12" s="71">
        <f>DataT2!I13</f>
        <v>101374.750621696</v>
      </c>
      <c r="I12" s="62">
        <f>DataT2!J13/100</f>
        <v>1</v>
      </c>
    </row>
    <row r="13" spans="1:9" ht="19" customHeight="1" x14ac:dyDescent="0.2">
      <c r="A13" s="124" t="s">
        <v>670</v>
      </c>
      <c r="B13" s="125"/>
      <c r="C13" s="125"/>
      <c r="D13" s="125"/>
      <c r="E13" s="125"/>
      <c r="F13" s="125"/>
      <c r="G13" s="125"/>
      <c r="H13" s="125"/>
      <c r="I13" s="126"/>
    </row>
    <row r="14" spans="1:9" ht="28" customHeight="1" thickBot="1" x14ac:dyDescent="0.25">
      <c r="A14" s="127"/>
      <c r="B14" s="128"/>
      <c r="C14" s="128"/>
      <c r="D14" s="128"/>
      <c r="E14" s="128"/>
      <c r="F14" s="128"/>
      <c r="G14" s="128"/>
      <c r="H14" s="128"/>
      <c r="I14" s="129"/>
    </row>
  </sheetData>
  <mergeCells count="6">
    <mergeCell ref="A13:I14"/>
    <mergeCell ref="A1:I1"/>
    <mergeCell ref="H2:I2"/>
    <mergeCell ref="F2:G2"/>
    <mergeCell ref="D2:E2"/>
    <mergeCell ref="B2:C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4323C4-1977-9645-8012-C903BBF5F241}">
  <sheetPr>
    <tabColor theme="8"/>
  </sheetPr>
  <dimension ref="A1:I14"/>
  <sheetViews>
    <sheetView workbookViewId="0">
      <selection activeCell="K8" sqref="K8:M12"/>
    </sheetView>
  </sheetViews>
  <sheetFormatPr baseColWidth="10" defaultRowHeight="43" customHeight="1" x14ac:dyDescent="0.2"/>
  <cols>
    <col min="1" max="1" width="15.33203125" customWidth="1"/>
    <col min="2" max="2" width="16.5" customWidth="1"/>
    <col min="3" max="3" width="20.83203125" customWidth="1"/>
    <col min="4" max="4" width="15.6640625" customWidth="1"/>
    <col min="5" max="5" width="16.5" customWidth="1"/>
    <col min="6" max="6" width="15.1640625" customWidth="1"/>
    <col min="7" max="7" width="20.6640625" customWidth="1"/>
    <col min="8" max="9" width="17.5" customWidth="1"/>
  </cols>
  <sheetData>
    <row r="1" spans="1:9" ht="17" thickBot="1" x14ac:dyDescent="0.25">
      <c r="A1" s="111" t="str">
        <f>DataT2a!B2</f>
        <v>Table 2a. Per capita national Income by World Region USD-EUR (2025)</v>
      </c>
      <c r="B1" s="112"/>
      <c r="C1" s="112"/>
      <c r="D1" s="112"/>
      <c r="E1" s="112"/>
      <c r="F1" s="112"/>
      <c r="G1" s="112"/>
      <c r="H1" s="112"/>
      <c r="I1" s="112"/>
    </row>
    <row r="2" spans="1:9" ht="17" thickBot="1" x14ac:dyDescent="0.25">
      <c r="B2" s="120" t="str">
        <f>DataT2a!C3</f>
        <v>PPP 2025   €</v>
      </c>
      <c r="C2" s="121"/>
      <c r="D2" s="122" t="str">
        <f>DataT2a!E3</f>
        <v>2025 MER €</v>
      </c>
      <c r="E2" s="123"/>
      <c r="F2" s="120" t="str">
        <f>DataT2a!G3</f>
        <v>PPP 2025  $</v>
      </c>
      <c r="G2" s="121"/>
      <c r="H2" s="120" t="str">
        <f>DataT2a!I3</f>
        <v>2025 MER $</v>
      </c>
      <c r="I2" s="121"/>
    </row>
    <row r="3" spans="1:9" ht="52" thickBot="1" x14ac:dyDescent="0.25">
      <c r="B3" s="1" t="str">
        <f>DataT2a!C4</f>
        <v>Per capita national income</v>
      </c>
      <c r="C3" s="1" t="str">
        <f>DataT2a!D4</f>
        <v>Per capita national income      (% world total)</v>
      </c>
      <c r="D3" s="15" t="str">
        <f>DataT2a!E4</f>
        <v>Per capita national income</v>
      </c>
      <c r="E3" s="1" t="str">
        <f>DataT2a!F4</f>
        <v>Per capita national income      (% world total)</v>
      </c>
      <c r="F3" s="1" t="str">
        <f>DataT2a!G4</f>
        <v>Per capita national income</v>
      </c>
      <c r="G3" s="1" t="str">
        <f>DataT2a!H4</f>
        <v>Per capita national income      (% world total)</v>
      </c>
      <c r="H3" s="1" t="str">
        <f>DataT2a!I4</f>
        <v>Per capita national income</v>
      </c>
      <c r="I3" s="1" t="str">
        <f>DataT2a!J4</f>
        <v>Per capita national income      (% world total)</v>
      </c>
    </row>
    <row r="4" spans="1:9" ht="43" customHeight="1" thickBot="1" x14ac:dyDescent="0.25">
      <c r="A4" s="69" t="str">
        <f>DataT2a!B5</f>
        <v>East Asia</v>
      </c>
      <c r="B4" s="70">
        <f>DataT2a!C5</f>
        <v>18345.847666851794</v>
      </c>
      <c r="C4" s="62">
        <f>DataT2a!D5/100</f>
        <v>1.2575891007714557</v>
      </c>
      <c r="D4" s="70">
        <f>DataT2a!E5</f>
        <v>11435.532271530843</v>
      </c>
      <c r="E4" s="62">
        <f>DataT2a!F5/100</f>
        <v>1.0942950824171809</v>
      </c>
      <c r="F4" s="70">
        <f>DataT2a!G5</f>
        <v>27058.591597919578</v>
      </c>
      <c r="G4" s="62">
        <f>DataT2a!H5/100</f>
        <v>1.2575890481808352</v>
      </c>
      <c r="H4" s="70">
        <f>DataT2a!I5</f>
        <v>13478.335348807848</v>
      </c>
      <c r="I4" s="62">
        <f>DataT2a!J5/100</f>
        <v>1.0942950750824205</v>
      </c>
    </row>
    <row r="5" spans="1:9" ht="43" customHeight="1" thickBot="1" x14ac:dyDescent="0.25">
      <c r="A5" s="69" t="str">
        <f>DataT2a!B6</f>
        <v>Europe</v>
      </c>
      <c r="B5" s="52">
        <f>DataT2a!C6</f>
        <v>36333.799174233507</v>
      </c>
      <c r="C5" s="62">
        <f>DataT2a!D6/100</f>
        <v>2.490644785724204</v>
      </c>
      <c r="D5" s="52">
        <f>DataT2a!E6</f>
        <v>35941.431568545799</v>
      </c>
      <c r="E5" s="62">
        <f>DataT2a!F6/100</f>
        <v>3.4393267306330828</v>
      </c>
      <c r="F5" s="52">
        <f>DataT2a!G6</f>
        <v>53589.317034150816</v>
      </c>
      <c r="G5" s="62">
        <f>DataT2a!H6/100</f>
        <v>2.4906447165868135</v>
      </c>
      <c r="H5" s="52">
        <f>DataT2a!I6</f>
        <v>42361.883104501838</v>
      </c>
      <c r="I5" s="62">
        <f>DataT2a!J6/100</f>
        <v>3.4393268050400421</v>
      </c>
    </row>
    <row r="6" spans="1:9" ht="43" customHeight="1" thickBot="1" x14ac:dyDescent="0.25">
      <c r="A6" s="69" t="str">
        <f>DataT2a!B7</f>
        <v>Latin America</v>
      </c>
      <c r="B6" s="70">
        <f>DataT2a!C7</f>
        <v>13002.342974731106</v>
      </c>
      <c r="C6" s="62">
        <f>DataT2a!D7/100</f>
        <v>0.89129731732478357</v>
      </c>
      <c r="D6" s="70">
        <f>DataT2a!E7</f>
        <v>8189.9735334590323</v>
      </c>
      <c r="E6" s="62">
        <f>DataT2a!F7/100</f>
        <v>0.7837193363620607</v>
      </c>
      <c r="F6" s="70">
        <f>DataT2a!G7</f>
        <v>19177.36975556556</v>
      </c>
      <c r="G6" s="62">
        <f>DataT2a!H7/100</f>
        <v>0.89129732012245244</v>
      </c>
      <c r="H6" s="70">
        <f>DataT2a!I7</f>
        <v>9653.001523550467</v>
      </c>
      <c r="I6" s="62">
        <f>DataT2a!J7/100</f>
        <v>0.78371933577974739</v>
      </c>
    </row>
    <row r="7" spans="1:9" ht="43" customHeight="1" thickBot="1" x14ac:dyDescent="0.25">
      <c r="A7" s="22" t="str">
        <f>DataT2a!B8</f>
        <v>MENA</v>
      </c>
      <c r="B7" s="70">
        <f>DataT2a!C8</f>
        <v>15391.856432455865</v>
      </c>
      <c r="C7" s="62">
        <f>DataT2a!D8/100</f>
        <v>1.0550960218137022</v>
      </c>
      <c r="D7" s="70">
        <f>DataT2a!E8</f>
        <v>8084.7536578554973</v>
      </c>
      <c r="E7" s="62">
        <f>DataT2a!F8/100</f>
        <v>0.77365057963858552</v>
      </c>
      <c r="F7" s="70">
        <f>DataT2a!G8</f>
        <v>22701.701937539736</v>
      </c>
      <c r="G7" s="62">
        <f>DataT2a!H8/100</f>
        <v>1.0550959989325779</v>
      </c>
      <c r="H7" s="70">
        <f>DataT2a!I8</f>
        <v>9528.9854933030692</v>
      </c>
      <c r="I7" s="62">
        <f>DataT2a!J8/100</f>
        <v>0.77365057523781577</v>
      </c>
    </row>
    <row r="8" spans="1:9" ht="43" customHeight="1" thickBot="1" x14ac:dyDescent="0.25">
      <c r="A8" s="22" t="str">
        <f>DataT2a!B9</f>
        <v>North America &amp; Oceania</v>
      </c>
      <c r="B8" s="70">
        <f>DataT2a!C9</f>
        <v>47013.388314134361</v>
      </c>
      <c r="C8" s="62">
        <f>DataT2a!D9/100</f>
        <v>3.2227197024544618</v>
      </c>
      <c r="D8" s="70">
        <f>DataT2a!E9</f>
        <v>57715.026447294535</v>
      </c>
      <c r="E8" s="62">
        <f>DataT2a!F9/100</f>
        <v>5.5228972402171586</v>
      </c>
      <c r="F8" s="70">
        <f>DataT2a!G9</f>
        <v>69340.822038092825</v>
      </c>
      <c r="G8" s="62">
        <f>DataT2a!H9/100</f>
        <v>3.2227197809388737</v>
      </c>
      <c r="H8" s="70">
        <f>DataT2a!I9</f>
        <v>68025.032286766902</v>
      </c>
      <c r="I8" s="62">
        <f>DataT2a!J9/100</f>
        <v>5.5228969963502053</v>
      </c>
    </row>
    <row r="9" spans="1:9" ht="43" customHeight="1" thickBot="1" x14ac:dyDescent="0.25">
      <c r="A9" s="22" t="str">
        <f>DataT2a!B10</f>
        <v>Russia &amp; Central Asia</v>
      </c>
      <c r="B9" s="70">
        <f>DataT2a!C10</f>
        <v>20376.613841513801</v>
      </c>
      <c r="C9" s="62">
        <f>DataT2a!D10/100</f>
        <v>1.3967960457895778</v>
      </c>
      <c r="D9" s="70">
        <f>DataT2a!E10</f>
        <v>9172.1748446088113</v>
      </c>
      <c r="E9" s="62">
        <f>DataT2a!F10/100</f>
        <v>0.87770867058926649</v>
      </c>
      <c r="F9" s="70">
        <f>DataT2a!G10</f>
        <v>30053.802295233792</v>
      </c>
      <c r="G9" s="62">
        <f>DataT2a!H10/100</f>
        <v>1.3967960041787242</v>
      </c>
      <c r="H9" s="70">
        <f>DataT2a!I10</f>
        <v>10810.659321046918</v>
      </c>
      <c r="I9" s="62">
        <f>DataT2a!J10/100</f>
        <v>0.87770862998017529</v>
      </c>
    </row>
    <row r="10" spans="1:9" ht="43" customHeight="1" thickBot="1" x14ac:dyDescent="0.25">
      <c r="A10" s="22" t="str">
        <f>DataT2a!B11</f>
        <v>South &amp; South-East Asia</v>
      </c>
      <c r="B10" s="52">
        <f>DataT2a!C11</f>
        <v>7596.6375555404666</v>
      </c>
      <c r="C10" s="62">
        <f>DataT2a!D11/100</f>
        <v>0.52074173763147824</v>
      </c>
      <c r="D10" s="52">
        <f>DataT2a!E11</f>
        <v>2581.0314936621794</v>
      </c>
      <c r="E10" s="62">
        <f>DataT2a!F11/100</f>
        <v>0.24698544886361445</v>
      </c>
      <c r="F10" s="52">
        <f>DataT2a!G11</f>
        <v>11204.406133563984</v>
      </c>
      <c r="G10" s="62">
        <f>DataT2a!H11/100</f>
        <v>0.52074175383258325</v>
      </c>
      <c r="H10" s="52">
        <f>DataT2a!I11</f>
        <v>3042.0977852550263</v>
      </c>
      <c r="I10" s="62">
        <f>DataT2a!J11/100</f>
        <v>0.24698544279937049</v>
      </c>
    </row>
    <row r="11" spans="1:9" ht="43" customHeight="1" thickBot="1" x14ac:dyDescent="0.25">
      <c r="A11" s="22" t="str">
        <f>DataT2a!B12</f>
        <v>Sub-Saharan Africa</v>
      </c>
      <c r="B11" s="52">
        <f>DataT2a!C12</f>
        <v>3509.0003389033459</v>
      </c>
      <c r="C11" s="62">
        <f>DataT2a!D12/100</f>
        <v>0.24053838563053198</v>
      </c>
      <c r="D11" s="52">
        <f>DataT2a!E12</f>
        <v>1547.4414072834222</v>
      </c>
      <c r="E11" s="62">
        <f>DataT2a!F12/100</f>
        <v>0.14807859241800606</v>
      </c>
      <c r="F11" s="52">
        <f>DataT2a!G12</f>
        <v>5175.4822057782812</v>
      </c>
      <c r="G11" s="62">
        <f>DataT2a!H12/100</f>
        <v>0.24053837826289448</v>
      </c>
      <c r="H11" s="52">
        <f>DataT2a!I12</f>
        <v>1823.8708870223945</v>
      </c>
      <c r="I11" s="62">
        <f>DataT2a!J12/100</f>
        <v>0.1480785926157672</v>
      </c>
    </row>
    <row r="12" spans="1:9" s="80" customFormat="1" ht="43" customHeight="1" thickBot="1" x14ac:dyDescent="0.25">
      <c r="A12" s="23" t="str">
        <f>DataT2a!B13</f>
        <v>World</v>
      </c>
      <c r="B12" s="71">
        <f>DataT2a!C13</f>
        <v>14588.109626266412</v>
      </c>
      <c r="C12" s="79">
        <f>DataT2a!D13/100</f>
        <v>1</v>
      </c>
      <c r="D12" s="71">
        <f>DataT2a!E13</f>
        <v>10450.135850259854</v>
      </c>
      <c r="E12" s="79">
        <f>DataT2a!F13/100</f>
        <v>1</v>
      </c>
      <c r="F12" s="71">
        <f>DataT2a!G13</f>
        <v>21516.243034289437</v>
      </c>
      <c r="G12" s="79">
        <f>DataT2a!H13/100</f>
        <v>1</v>
      </c>
      <c r="H12" s="71">
        <f>DataT2a!I13</f>
        <v>12316.911275318207</v>
      </c>
      <c r="I12" s="79">
        <f>DataT2a!J13/100</f>
        <v>1</v>
      </c>
    </row>
    <row r="13" spans="1:9" ht="18" customHeight="1" x14ac:dyDescent="0.2">
      <c r="A13" s="130" t="s">
        <v>669</v>
      </c>
      <c r="B13" s="131"/>
      <c r="C13" s="131"/>
      <c r="D13" s="131"/>
      <c r="E13" s="131"/>
      <c r="F13" s="131"/>
      <c r="G13" s="131"/>
      <c r="H13" s="131"/>
      <c r="I13" s="132"/>
    </row>
    <row r="14" spans="1:9" ht="29" customHeight="1" thickBot="1" x14ac:dyDescent="0.25">
      <c r="A14" s="133"/>
      <c r="B14" s="134"/>
      <c r="C14" s="134"/>
      <c r="D14" s="134"/>
      <c r="E14" s="134"/>
      <c r="F14" s="134"/>
      <c r="G14" s="134"/>
      <c r="H14" s="134"/>
      <c r="I14" s="135"/>
    </row>
  </sheetData>
  <mergeCells count="6">
    <mergeCell ref="A13:I14"/>
    <mergeCell ref="A1:I1"/>
    <mergeCell ref="B2:C2"/>
    <mergeCell ref="D2:E2"/>
    <mergeCell ref="F2:G2"/>
    <mergeCell ref="H2:I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67A493-0B8D-8B4D-8C83-D1F63D5936E7}">
  <sheetPr>
    <tabColor theme="8"/>
  </sheetPr>
  <dimension ref="A1:I13"/>
  <sheetViews>
    <sheetView workbookViewId="0">
      <selection sqref="A1:I1"/>
    </sheetView>
  </sheetViews>
  <sheetFormatPr baseColWidth="10" defaultColWidth="14" defaultRowHeight="35" customHeight="1" x14ac:dyDescent="0.2"/>
  <cols>
    <col min="1" max="1" width="22.83203125" customWidth="1"/>
  </cols>
  <sheetData>
    <row r="1" spans="1:9" ht="17" thickBot="1" x14ac:dyDescent="0.25">
      <c r="A1" s="111" t="str">
        <f>DataT3!B2</f>
        <v>Table 3. Gross domestic product by World Region USD-EUR (2025)</v>
      </c>
      <c r="B1" s="112"/>
      <c r="C1" s="112"/>
      <c r="D1" s="112"/>
      <c r="E1" s="112"/>
      <c r="F1" s="112"/>
      <c r="G1" s="112"/>
      <c r="H1" s="112"/>
      <c r="I1" s="112"/>
    </row>
    <row r="2" spans="1:9" ht="17" thickBot="1" x14ac:dyDescent="0.25">
      <c r="B2" s="120" t="str">
        <f>DataT3!C3</f>
        <v>PPP 2025  billions €</v>
      </c>
      <c r="C2" s="121"/>
      <c r="D2" s="122" t="str">
        <f>DataT3!E3</f>
        <v xml:space="preserve"> 2025 MER billions €</v>
      </c>
      <c r="E2" s="123"/>
      <c r="F2" s="120" t="str">
        <f>DataT3!G3</f>
        <v>PPP 2025  billions $</v>
      </c>
      <c r="G2" s="121"/>
      <c r="H2" s="120" t="str">
        <f>DataT3!I3</f>
        <v xml:space="preserve"> 2025 MER billions $</v>
      </c>
      <c r="I2" s="121"/>
    </row>
    <row r="3" spans="1:9" ht="69" thickBot="1" x14ac:dyDescent="0.25">
      <c r="B3" s="1" t="str">
        <f>DataT3!C4</f>
        <v xml:space="preserve"> Gross domestic product</v>
      </c>
      <c r="C3" s="1" t="str">
        <f>DataT3!D4</f>
        <v xml:space="preserve"> Gross domestic product (% world total)</v>
      </c>
      <c r="D3" s="15" t="str">
        <f>DataT3!E4</f>
        <v xml:space="preserve"> Gross domestic product</v>
      </c>
      <c r="E3" s="1" t="str">
        <f>DataT3!F4</f>
        <v xml:space="preserve"> Gross domestic product (% world total)</v>
      </c>
      <c r="F3" s="1" t="str">
        <f>DataT3!G4</f>
        <v xml:space="preserve"> Gross domestic product</v>
      </c>
      <c r="G3" s="1" t="str">
        <f>DataT3!H4</f>
        <v xml:space="preserve"> Gross domestic product (% world total)</v>
      </c>
      <c r="H3" s="1" t="str">
        <f>DataT3!I4</f>
        <v xml:space="preserve"> Gross domestic product</v>
      </c>
      <c r="I3" s="1" t="str">
        <f>DataT3!J4</f>
        <v xml:space="preserve"> Gross domestic product  (% world total)</v>
      </c>
    </row>
    <row r="4" spans="1:9" ht="35" customHeight="1" thickBot="1" x14ac:dyDescent="0.25">
      <c r="A4" s="69" t="str">
        <f>DataT3!B5</f>
        <v>East Asia</v>
      </c>
      <c r="B4" s="70">
        <f>DataT3!C5</f>
        <v>37298.111905792</v>
      </c>
      <c r="C4" s="62">
        <f>DataT3!D5/100</f>
        <v>0.26015709438921247</v>
      </c>
      <c r="D4" s="70">
        <f>DataT3!E5</f>
        <v>23215.606549503998</v>
      </c>
      <c r="E4" s="62">
        <f>DataT3!F5/100</f>
        <v>0.22605072453081257</v>
      </c>
      <c r="F4" s="70">
        <f>DataT3!G5</f>
        <v>55011.596443647999</v>
      </c>
      <c r="G4" s="62">
        <f>DataT3!H5/100</f>
        <v>0.26015707463414417</v>
      </c>
      <c r="H4" s="70">
        <f>DataT3!I5</f>
        <v>27362.760548351998</v>
      </c>
      <c r="I4" s="62">
        <f>DataT3!J5/100</f>
        <v>0.22605072577067875</v>
      </c>
    </row>
    <row r="5" spans="1:9" ht="35" customHeight="1" thickBot="1" x14ac:dyDescent="0.25">
      <c r="A5" s="69" t="str">
        <f>DataT3!B6</f>
        <v>Europe</v>
      </c>
      <c r="B5" s="52">
        <f>DataT3!C6</f>
        <v>24116.720456192001</v>
      </c>
      <c r="C5" s="62">
        <f>DataT3!D6/100</f>
        <v>0.1682159122672772</v>
      </c>
      <c r="D5" s="52">
        <f>DataT3!E6</f>
        <v>23800.622032512001</v>
      </c>
      <c r="E5" s="62">
        <f>DataT3!F6/100</f>
        <v>0.23174702945025163</v>
      </c>
      <c r="F5" s="52">
        <f>DataT3!G6</f>
        <v>35570.147095808003</v>
      </c>
      <c r="G5" s="62">
        <f>DataT3!H6/100</f>
        <v>0.16821590375460041</v>
      </c>
      <c r="H5" s="52">
        <f>DataT3!I6</f>
        <v>28052.281453055999</v>
      </c>
      <c r="I5" s="62">
        <f>DataT3!J6/100</f>
        <v>0.23174703337337724</v>
      </c>
    </row>
    <row r="6" spans="1:9" ht="35" customHeight="1" thickBot="1" x14ac:dyDescent="0.25">
      <c r="A6" s="69" t="str">
        <f>DataT3!B7</f>
        <v>Latin America</v>
      </c>
      <c r="B6" s="70">
        <f>DataT3!C7</f>
        <v>10322.061010432</v>
      </c>
      <c r="C6" s="62">
        <f>DataT3!D7/100</f>
        <v>7.1997140428042963E-2</v>
      </c>
      <c r="D6" s="70">
        <f>DataT3!E7</f>
        <v>6496.2751414080003</v>
      </c>
      <c r="E6" s="62">
        <f>DataT3!F7/100</f>
        <v>6.3254332784088263E-2</v>
      </c>
      <c r="F6" s="70">
        <f>DataT3!G7</f>
        <v>15224.177616831999</v>
      </c>
      <c r="G6" s="62">
        <f>DataT3!H7/100</f>
        <v>7.1997138213627618E-2</v>
      </c>
      <c r="H6" s="70">
        <f>DataT3!I7</f>
        <v>7656.7467999680002</v>
      </c>
      <c r="I6" s="62">
        <f>DataT3!J7/100</f>
        <v>6.3254333133406448E-2</v>
      </c>
    </row>
    <row r="7" spans="1:9" ht="35" customHeight="1" thickBot="1" x14ac:dyDescent="0.25">
      <c r="A7" s="22" t="str">
        <f>DataT3!B8</f>
        <v>MENA</v>
      </c>
      <c r="B7" s="70">
        <f>DataT3!C8</f>
        <v>10670.036061184001</v>
      </c>
      <c r="C7" s="62">
        <f>DataT3!D8/100</f>
        <v>7.4424292192513952E-2</v>
      </c>
      <c r="D7" s="70">
        <f>DataT3!E8</f>
        <v>5608.5067007999996</v>
      </c>
      <c r="E7" s="62">
        <f>DataT3!F8/100</f>
        <v>5.461011757536198E-2</v>
      </c>
      <c r="F7" s="70">
        <f>DataT3!G8</f>
        <v>15737.411805184</v>
      </c>
      <c r="G7" s="62">
        <f>DataT3!H8/100</f>
        <v>7.4424290190223313E-2</v>
      </c>
      <c r="H7" s="70">
        <f>DataT3!I8</f>
        <v>6610.3905802239997</v>
      </c>
      <c r="I7" s="62">
        <f>DataT3!J8/100</f>
        <v>5.4610118216938855E-2</v>
      </c>
    </row>
    <row r="8" spans="1:9" ht="35" customHeight="1" thickBot="1" x14ac:dyDescent="0.25">
      <c r="A8" s="22" t="str">
        <f>DataT3!B9</f>
        <v>North America &amp; Oceania</v>
      </c>
      <c r="B8" s="70">
        <f>DataT3!C9</f>
        <v>24436.477086264</v>
      </c>
      <c r="C8" s="62">
        <f>DataT3!D9/100</f>
        <v>0.17044623845647766</v>
      </c>
      <c r="D8" s="70">
        <f>DataT3!E9</f>
        <v>30016.639396652001</v>
      </c>
      <c r="E8" s="62">
        <f>DataT3!F9/100</f>
        <v>0.29227248786822174</v>
      </c>
      <c r="F8" s="70">
        <f>DataT3!G9</f>
        <v>36041.763814951999</v>
      </c>
      <c r="G8" s="62">
        <f>DataT3!H9/100</f>
        <v>0.17044624124583713</v>
      </c>
      <c r="H8" s="70">
        <f>DataT3!I9</f>
        <v>35378.706292116003</v>
      </c>
      <c r="I8" s="62">
        <f>DataT3!J9/100</f>
        <v>0.29227249275629713</v>
      </c>
    </row>
    <row r="9" spans="1:9" ht="35" customHeight="1" thickBot="1" x14ac:dyDescent="0.25">
      <c r="A9" s="22" t="str">
        <f>DataT3!B10</f>
        <v>Russia &amp; Central Asia</v>
      </c>
      <c r="B9" s="70">
        <f>DataT3!C10</f>
        <v>7011.3183825919996</v>
      </c>
      <c r="C9" s="62">
        <f>DataT3!D10/100</f>
        <v>4.8904465267839814E-2</v>
      </c>
      <c r="D9" s="70">
        <f>DataT3!E10</f>
        <v>3149.6031139840002</v>
      </c>
      <c r="E9" s="62">
        <f>DataT3!F10/100</f>
        <v>3.0667734843903869E-2</v>
      </c>
      <c r="F9" s="70">
        <f>DataT3!G10</f>
        <v>10341.109071872001</v>
      </c>
      <c r="G9" s="62">
        <f>DataT3!H10/100</f>
        <v>4.8904464849819335E-2</v>
      </c>
      <c r="H9" s="70">
        <f>DataT3!I10</f>
        <v>3712.2372392960001</v>
      </c>
      <c r="I9" s="62">
        <f>DataT3!J10/100</f>
        <v>3.0667736199092754E-2</v>
      </c>
    </row>
    <row r="10" spans="1:9" ht="35" customHeight="1" thickBot="1" x14ac:dyDescent="0.25">
      <c r="A10" s="22" t="str">
        <f>DataT3!B11</f>
        <v>South &amp; South-East Asia</v>
      </c>
      <c r="B10" s="52">
        <f>DataT3!C11</f>
        <v>23742.547959296</v>
      </c>
      <c r="C10" s="62">
        <f>DataT3!D11/100</f>
        <v>0.16560603137468155</v>
      </c>
      <c r="D10" s="52">
        <f>DataT3!E11</f>
        <v>8057.2838160640003</v>
      </c>
      <c r="E10" s="62">
        <f>DataT3!F11/100</f>
        <v>7.8453898694736901E-2</v>
      </c>
      <c r="F10" s="52">
        <f>DataT3!G11</f>
        <v>35018.274633727997</v>
      </c>
      <c r="G10" s="62">
        <f>DataT3!H11/100</f>
        <v>0.16560602629989052</v>
      </c>
      <c r="H10" s="52">
        <f>DataT3!I11</f>
        <v>9496.6087681280005</v>
      </c>
      <c r="I10" s="62">
        <f>DataT3!J11/100</f>
        <v>7.8453900899440432E-2</v>
      </c>
    </row>
    <row r="11" spans="1:9" ht="35" customHeight="1" thickBot="1" x14ac:dyDescent="0.25">
      <c r="A11" s="22" t="str">
        <f>DataT3!B12</f>
        <v>Sub-Saharan Africa</v>
      </c>
      <c r="B11" s="52">
        <f>DataT3!C12</f>
        <v>5298.7378963199999</v>
      </c>
      <c r="C11" s="62">
        <f>DataT3!D12/100</f>
        <v>3.6959089471297134E-2</v>
      </c>
      <c r="D11" s="52">
        <f>DataT3!E12</f>
        <v>2356.3307279999999</v>
      </c>
      <c r="E11" s="62">
        <f>DataT3!F12/100</f>
        <v>2.2943629198867374E-2</v>
      </c>
      <c r="F11" s="52">
        <f>DataT3!G12</f>
        <v>7815.1956748800003</v>
      </c>
      <c r="G11" s="62">
        <f>DataT3!H12/100</f>
        <v>3.6959088190667504E-2</v>
      </c>
      <c r="H11" s="52">
        <f>DataT3!I12</f>
        <v>2777.2573352320001</v>
      </c>
      <c r="I11" s="62">
        <f>DataT3!J12/100</f>
        <v>2.2943629359755736E-2</v>
      </c>
    </row>
    <row r="12" spans="1:9" ht="35" customHeight="1" thickBot="1" x14ac:dyDescent="0.25">
      <c r="A12" s="23" t="str">
        <f>DataT3!B13</f>
        <v>World</v>
      </c>
      <c r="B12" s="71">
        <f>DataT3!C13</f>
        <v>143367.65250764799</v>
      </c>
      <c r="C12" s="79">
        <f>DataT3!D13/100</f>
        <v>1</v>
      </c>
      <c r="D12" s="71">
        <f>DataT3!E13</f>
        <v>102700.872105984</v>
      </c>
      <c r="E12" s="79">
        <f>DataT3!F13/100</f>
        <v>1</v>
      </c>
      <c r="F12" s="71">
        <f>DataT3!G13</f>
        <v>211455.31606630399</v>
      </c>
      <c r="G12" s="79">
        <f>DataT3!H13/100</f>
        <v>1</v>
      </c>
      <c r="H12" s="71">
        <f>DataT3!I13</f>
        <v>121046.99268300799</v>
      </c>
      <c r="I12" s="79">
        <f>DataT3!J13/100</f>
        <v>1</v>
      </c>
    </row>
    <row r="13" spans="1:9" ht="35" customHeight="1" thickBot="1" x14ac:dyDescent="0.25">
      <c r="A13" s="136" t="s">
        <v>671</v>
      </c>
      <c r="B13" s="137"/>
      <c r="C13" s="137"/>
      <c r="D13" s="137"/>
      <c r="E13" s="137"/>
      <c r="F13" s="137"/>
      <c r="G13" s="137"/>
      <c r="H13" s="137"/>
      <c r="I13" s="138"/>
    </row>
  </sheetData>
  <mergeCells count="6">
    <mergeCell ref="A1:I1"/>
    <mergeCell ref="A13:I13"/>
    <mergeCell ref="B2:C2"/>
    <mergeCell ref="D2:E2"/>
    <mergeCell ref="F2:G2"/>
    <mergeCell ref="H2:I2"/>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961A76-8A31-7E4A-827C-0276FE6B9D5A}">
  <sheetPr>
    <tabColor theme="8"/>
  </sheetPr>
  <dimension ref="A1:I13"/>
  <sheetViews>
    <sheetView workbookViewId="0">
      <selection activeCell="C14" sqref="C14"/>
    </sheetView>
  </sheetViews>
  <sheetFormatPr baseColWidth="10" defaultRowHeight="44" customHeight="1" x14ac:dyDescent="0.2"/>
  <cols>
    <col min="1" max="1" width="24.83203125" customWidth="1"/>
    <col min="2" max="2" width="15.5" customWidth="1"/>
    <col min="3" max="3" width="17.6640625" customWidth="1"/>
    <col min="4" max="4" width="15.33203125" customWidth="1"/>
    <col min="5" max="5" width="16.6640625" customWidth="1"/>
    <col min="6" max="6" width="16" customWidth="1"/>
    <col min="7" max="7" width="15.6640625" customWidth="1"/>
    <col min="8" max="8" width="16" customWidth="1"/>
    <col min="9" max="9" width="18.1640625" customWidth="1"/>
  </cols>
  <sheetData>
    <row r="1" spans="1:9" ht="17" thickBot="1" x14ac:dyDescent="0.25">
      <c r="A1" s="111" t="str">
        <f>DataT3a!B2</f>
        <v>Table 3a. Per capita gross domestic product by World Region USD-EUR (2025)</v>
      </c>
      <c r="B1" s="112"/>
      <c r="C1" s="112"/>
      <c r="D1" s="112"/>
      <c r="E1" s="112"/>
      <c r="F1" s="112"/>
      <c r="G1" s="112"/>
      <c r="H1" s="112"/>
      <c r="I1" s="112"/>
    </row>
    <row r="2" spans="1:9" ht="17" thickBot="1" x14ac:dyDescent="0.25">
      <c r="B2" s="120" t="str">
        <f>DataT3a!C3</f>
        <v>PPP 2025 €</v>
      </c>
      <c r="C2" s="121"/>
      <c r="D2" s="122" t="str">
        <f>DataT3a!E3</f>
        <v xml:space="preserve"> 2025 MER €</v>
      </c>
      <c r="E2" s="123"/>
      <c r="F2" s="120" t="str">
        <f>DataT3a!G3</f>
        <v>PPP 2025 $</v>
      </c>
      <c r="G2" s="121"/>
      <c r="H2" s="120" t="str">
        <f>DataT3a!I3</f>
        <v xml:space="preserve"> 2025 MER $</v>
      </c>
      <c r="I2" s="121"/>
    </row>
    <row r="3" spans="1:9" ht="69" thickBot="1" x14ac:dyDescent="0.25">
      <c r="B3" s="1" t="str">
        <f>DataT3a!C4</f>
        <v xml:space="preserve"> Per capita gross domestic product</v>
      </c>
      <c r="C3" s="1" t="str">
        <f>DataT3a!D4</f>
        <v xml:space="preserve"> Per capita gross domestic product (% world total)</v>
      </c>
      <c r="D3" s="15" t="str">
        <f>DataT3a!E4</f>
        <v xml:space="preserve"> Per capita gross domestic product</v>
      </c>
      <c r="E3" s="1" t="str">
        <f>DataT3a!F4</f>
        <v xml:space="preserve"> Per capita gross domestic product (% world total)</v>
      </c>
      <c r="F3" s="1" t="str">
        <f>DataT3a!G4</f>
        <v xml:space="preserve"> Per capita gross domestic product</v>
      </c>
      <c r="G3" s="1" t="str">
        <f>DataT3a!H4</f>
        <v xml:space="preserve"> Per capita gross domestic product (% world total)</v>
      </c>
      <c r="H3" s="1" t="str">
        <f>DataT3a!I4</f>
        <v xml:space="preserve"> Per capita gross domestic product</v>
      </c>
      <c r="I3" s="1" t="str">
        <f>DataT3a!J4</f>
        <v xml:space="preserve"> Per capita gross domestic product  (% world total)</v>
      </c>
    </row>
    <row r="4" spans="1:9" ht="44" customHeight="1" thickBot="1" x14ac:dyDescent="0.25">
      <c r="A4" s="69" t="str">
        <f>DataT3a!B5</f>
        <v>East Asia</v>
      </c>
      <c r="B4" s="70">
        <f>DataT3a!C5</f>
        <v>22575.013115803584</v>
      </c>
      <c r="C4" s="62">
        <f>DataT3a!D5/100</f>
        <v>1.2959994671821016</v>
      </c>
      <c r="D4" s="70">
        <f>DataT3a!E5</f>
        <v>14051.451817994101</v>
      </c>
      <c r="E4" s="62">
        <f>DataT3a!F5/100</f>
        <v>1.1260950589714491</v>
      </c>
      <c r="F4" s="70">
        <f>DataT3a!G5</f>
        <v>33296.256774965477</v>
      </c>
      <c r="G4" s="62">
        <f>DataT3a!H5/100</f>
        <v>1.2959993687701863</v>
      </c>
      <c r="H4" s="70">
        <f>DataT3a!I5</f>
        <v>16561.55356667571</v>
      </c>
      <c r="I4" s="62">
        <f>DataT3a!J5/100</f>
        <v>1.1260950651479709</v>
      </c>
    </row>
    <row r="5" spans="1:9" ht="44" customHeight="1" thickBot="1" x14ac:dyDescent="0.25">
      <c r="A5" s="69" t="str">
        <f>DataT3a!B6</f>
        <v>Europe</v>
      </c>
      <c r="B5" s="52">
        <f>DataT3a!C6</f>
        <v>43376.565096691695</v>
      </c>
      <c r="C5" s="62">
        <f>DataT3a!D6/100</f>
        <v>2.4901870472955916</v>
      </c>
      <c r="D5" s="52">
        <f>DataT3a!E6</f>
        <v>42808.027435170778</v>
      </c>
      <c r="E5" s="62">
        <f>DataT3a!F6/100</f>
        <v>3.4306709942475986</v>
      </c>
      <c r="F5" s="52">
        <f>DataT3a!G6</f>
        <v>63976.808281329577</v>
      </c>
      <c r="G5" s="62">
        <f>DataT3a!H6/100</f>
        <v>2.4901869212780396</v>
      </c>
      <c r="H5" s="52">
        <f>DataT3a!I6</f>
        <v>50455.102913745584</v>
      </c>
      <c r="I5" s="62">
        <f>DataT3a!J6/100</f>
        <v>3.4306710523236528</v>
      </c>
    </row>
    <row r="6" spans="1:9" ht="44" customHeight="1" thickBot="1" x14ac:dyDescent="0.25">
      <c r="A6" s="69" t="str">
        <f>DataT3a!B7</f>
        <v>Latin America</v>
      </c>
      <c r="B6" s="70">
        <f>DataT3a!C7</f>
        <v>15481.465350268341</v>
      </c>
      <c r="C6" s="62">
        <f>DataT3a!D7/100</f>
        <v>0.88876895628911967</v>
      </c>
      <c r="D6" s="70">
        <f>DataT3a!E7</f>
        <v>9743.38927137463</v>
      </c>
      <c r="E6" s="62">
        <f>DataT3a!F7/100</f>
        <v>0.78084333620813651</v>
      </c>
      <c r="F6" s="70">
        <f>DataT3a!G7</f>
        <v>22833.867967173661</v>
      </c>
      <c r="G6" s="62">
        <f>DataT3a!H7/100</f>
        <v>0.88876892895326132</v>
      </c>
      <c r="H6" s="70">
        <f>DataT3a!I7</f>
        <v>11483.913935374185</v>
      </c>
      <c r="I6" s="62">
        <f>DataT3a!J7/100</f>
        <v>0.78084334052029591</v>
      </c>
    </row>
    <row r="7" spans="1:9" ht="44" customHeight="1" thickBot="1" x14ac:dyDescent="0.25">
      <c r="A7" s="22" t="str">
        <f>DataT3a!B8</f>
        <v>MENA</v>
      </c>
      <c r="B7" s="70">
        <f>DataT3a!C8</f>
        <v>17428.245926386691</v>
      </c>
      <c r="C7" s="62">
        <f>DataT3a!D8/100</f>
        <v>1.0005308665226782</v>
      </c>
      <c r="D7" s="70">
        <f>DataT3a!E8</f>
        <v>9160.8344621174238</v>
      </c>
      <c r="E7" s="62">
        <f>DataT3a!F8/100</f>
        <v>0.73415690830148317</v>
      </c>
      <c r="F7" s="70">
        <f>DataT3a!G8</f>
        <v>25705.206769013759</v>
      </c>
      <c r="G7" s="62">
        <f>DataT3a!H8/100</f>
        <v>1.0005308396046717</v>
      </c>
      <c r="H7" s="70">
        <f>DataT3a!I8</f>
        <v>10797.293658708581</v>
      </c>
      <c r="I7" s="62">
        <f>DataT3a!J8/100</f>
        <v>0.73415691692659013</v>
      </c>
    </row>
    <row r="8" spans="1:9" ht="44" customHeight="1" thickBot="1" x14ac:dyDescent="0.25">
      <c r="A8" s="22" t="str">
        <f>DataT3a!B9</f>
        <v>North America &amp; Oceania</v>
      </c>
      <c r="B8" s="70">
        <f>DataT3a!C9</f>
        <v>56325.360476857291</v>
      </c>
      <c r="C8" s="62">
        <f>DataT3a!D9/100</f>
        <v>3.2335590146676392</v>
      </c>
      <c r="D8" s="70">
        <f>DataT3a!E9</f>
        <v>69187.470368657159</v>
      </c>
      <c r="E8" s="62">
        <f>DataT3a!F9/100</f>
        <v>5.544741535184694</v>
      </c>
      <c r="F8" s="70">
        <f>DataT3a!G9</f>
        <v>83075.204823204389</v>
      </c>
      <c r="G8" s="62">
        <f>DataT3a!H9/100</f>
        <v>3.2335590675849613</v>
      </c>
      <c r="H8" s="70">
        <f>DataT3a!I9</f>
        <v>81546.876747975301</v>
      </c>
      <c r="I8" s="62">
        <f>DataT3a!J9/100</f>
        <v>5.5447416279170429</v>
      </c>
    </row>
    <row r="9" spans="1:9" ht="44" customHeight="1" thickBot="1" x14ac:dyDescent="0.25">
      <c r="A9" s="22" t="str">
        <f>DataT3a!B10</f>
        <v>Russia &amp; Central Asia</v>
      </c>
      <c r="B9" s="70">
        <f>DataT3a!C10</f>
        <v>23951.492319251087</v>
      </c>
      <c r="C9" s="62">
        <f>DataT3a!D10/100</f>
        <v>1.3750211849150751</v>
      </c>
      <c r="D9" s="70">
        <f>DataT3a!E10</f>
        <v>10759.416514385797</v>
      </c>
      <c r="E9" s="62">
        <f>DataT3a!F10/100</f>
        <v>0.86226860620551038</v>
      </c>
      <c r="F9" s="70">
        <f>DataT3a!G10</f>
        <v>35326.450888672065</v>
      </c>
      <c r="G9" s="62">
        <f>DataT3a!H10/100</f>
        <v>1.3750211731618125</v>
      </c>
      <c r="H9" s="70">
        <f>DataT3a!I10</f>
        <v>12681.441188720588</v>
      </c>
      <c r="I9" s="62">
        <f>DataT3a!J10/100</f>
        <v>0.86226864430864514</v>
      </c>
    </row>
    <row r="10" spans="1:9" ht="44" customHeight="1" thickBot="1" x14ac:dyDescent="0.25">
      <c r="A10" s="22" t="str">
        <f>DataT3a!B11</f>
        <v>South &amp; South-East Asia</v>
      </c>
      <c r="B10" s="52">
        <f>DataT3a!C11</f>
        <v>8816.9772471451688</v>
      </c>
      <c r="C10" s="62">
        <f>DataT3a!D11/100</f>
        <v>0.50617015174434377</v>
      </c>
      <c r="D10" s="52">
        <f>DataT3a!E11</f>
        <v>2992.1341299096925</v>
      </c>
      <c r="E10" s="62">
        <f>DataT3a!F11/100</f>
        <v>0.23979212277241682</v>
      </c>
      <c r="F10" s="52">
        <f>DataT3a!G11</f>
        <v>13004.304812153599</v>
      </c>
      <c r="G10" s="62">
        <f>DataT3a!H11/100</f>
        <v>0.50617013623338847</v>
      </c>
      <c r="H10" s="52">
        <f>DataT3a!I11</f>
        <v>3526.638487881426</v>
      </c>
      <c r="I10" s="62">
        <f>DataT3a!J11/100</f>
        <v>0.23979212951103079</v>
      </c>
    </row>
    <row r="11" spans="1:9" ht="44" customHeight="1" thickBot="1" x14ac:dyDescent="0.25">
      <c r="A11" s="22" t="str">
        <f>DataT3a!B12</f>
        <v>Sub-Saharan Africa</v>
      </c>
      <c r="B11" s="52">
        <f>DataT3a!C12</f>
        <v>4002.0592435229501</v>
      </c>
      <c r="C11" s="62">
        <f>DataT3a!D12/100</f>
        <v>0.22975254192016548</v>
      </c>
      <c r="D11" s="52">
        <f>DataT3a!E12</f>
        <v>1779.702139511159</v>
      </c>
      <c r="E11" s="62">
        <f>DataT3a!F12/100</f>
        <v>0.14262681263853402</v>
      </c>
      <c r="F11" s="52">
        <f>DataT3a!G12</f>
        <v>5902.7030025991717</v>
      </c>
      <c r="G11" s="62">
        <f>DataT3a!H12/100</f>
        <v>0.22975253395925738</v>
      </c>
      <c r="H11" s="52">
        <f>DataT3a!I12</f>
        <v>2097.6218502572829</v>
      </c>
      <c r="I11" s="62">
        <f>DataT3a!J12/100</f>
        <v>0.14262681363868057</v>
      </c>
    </row>
    <row r="12" spans="1:9" ht="44" customHeight="1" thickBot="1" x14ac:dyDescent="0.25">
      <c r="A12" s="23" t="str">
        <f>DataT3a!B13</f>
        <v>World</v>
      </c>
      <c r="B12" s="71">
        <f>DataT3a!C13</f>
        <v>17418.998763084797</v>
      </c>
      <c r="C12" s="79">
        <f>DataT3a!D13/100</f>
        <v>1</v>
      </c>
      <c r="D12" s="71">
        <f>DataT3a!E13</f>
        <v>12478.033453790653</v>
      </c>
      <c r="E12" s="79">
        <f>DataT3a!F13/100</f>
        <v>1</v>
      </c>
      <c r="F12" s="71">
        <f>DataT3a!G13</f>
        <v>25691.568666859246</v>
      </c>
      <c r="G12" s="79">
        <f>DataT3a!H13/100</f>
        <v>1</v>
      </c>
      <c r="H12" s="71">
        <f>DataT3a!I13</f>
        <v>14707.065219666418</v>
      </c>
      <c r="I12" s="79">
        <f>DataT3a!J13/100</f>
        <v>1</v>
      </c>
    </row>
    <row r="13" spans="1:9" ht="44" customHeight="1" thickBot="1" x14ac:dyDescent="0.25">
      <c r="A13" s="136" t="s">
        <v>672</v>
      </c>
      <c r="B13" s="137"/>
      <c r="C13" s="137"/>
      <c r="D13" s="137"/>
      <c r="E13" s="137"/>
      <c r="F13" s="137"/>
      <c r="G13" s="137"/>
      <c r="H13" s="137"/>
      <c r="I13" s="138"/>
    </row>
  </sheetData>
  <mergeCells count="6">
    <mergeCell ref="A13:I13"/>
    <mergeCell ref="A1:I1"/>
    <mergeCell ref="B2:C2"/>
    <mergeCell ref="D2:E2"/>
    <mergeCell ref="F2:G2"/>
    <mergeCell ref="H2:I2"/>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CF5B5-C018-A649-800A-4F4778CD04D2}">
  <sheetPr>
    <tabColor theme="8"/>
  </sheetPr>
  <dimension ref="A1:L13"/>
  <sheetViews>
    <sheetView workbookViewId="0">
      <selection activeCell="C20" sqref="C20"/>
    </sheetView>
  </sheetViews>
  <sheetFormatPr baseColWidth="10" defaultRowHeight="26" customHeight="1" x14ac:dyDescent="0.2"/>
  <cols>
    <col min="1" max="1" width="22.6640625" customWidth="1"/>
    <col min="2" max="2" width="16.83203125" customWidth="1"/>
    <col min="3" max="3" width="17" customWidth="1"/>
    <col min="4" max="4" width="16.33203125" customWidth="1"/>
    <col min="5" max="5" width="15.5" customWidth="1"/>
    <col min="6" max="6" width="17" customWidth="1"/>
    <col min="7" max="7" width="15.83203125" customWidth="1"/>
    <col min="8" max="8" width="17.6640625" customWidth="1"/>
    <col min="9" max="10" width="16.83203125" customWidth="1"/>
  </cols>
  <sheetData>
    <row r="1" spans="1:12" ht="26" customHeight="1" thickBot="1" x14ac:dyDescent="0.25">
      <c r="A1" s="111" t="str">
        <f>DataT4a!B3</f>
        <v xml:space="preserve">Table 4a. Per Capita National Income Growth PPP 2025  € by World Regions (1980-2025) </v>
      </c>
      <c r="B1" s="112"/>
      <c r="C1" s="112"/>
      <c r="D1" s="112"/>
      <c r="E1" s="112"/>
      <c r="F1" s="112"/>
      <c r="G1" s="112"/>
      <c r="H1" s="112"/>
      <c r="I1" s="112"/>
      <c r="J1" s="113"/>
    </row>
    <row r="2" spans="1:12" ht="69" thickBot="1" x14ac:dyDescent="0.25">
      <c r="A2" s="21"/>
      <c r="B2" s="1" t="str">
        <f>DataT4a!C4</f>
        <v>1800 Per capita national income   (PPP 2025 €)</v>
      </c>
      <c r="C2" s="1" t="str">
        <f>DataT4a!D4</f>
        <v>1980 Per capita national income   (PPP 2025 €)</v>
      </c>
      <c r="D2" s="15" t="str">
        <f>DataT4a!E4</f>
        <v>2000 Per capita national income   (PPP 2025 €)</v>
      </c>
      <c r="E2" s="15" t="str">
        <f>DataT4a!F4</f>
        <v>2020 Per capita national income   (PPP 2025 €)</v>
      </c>
      <c r="F2" s="15" t="str">
        <f>DataT4a!G4</f>
        <v>2025 Per capita national income   (PPP 2025 €)</v>
      </c>
      <c r="G2" s="15" t="str">
        <f>DataT4a!H4</f>
        <v>Annual growth rate 1800-2025</v>
      </c>
      <c r="H2" s="15" t="str">
        <f>DataT4a!I4</f>
        <v>Annual growth rate 1980-2000</v>
      </c>
      <c r="I2" s="15" t="str">
        <f>DataT4a!J4</f>
        <v>Annual growth rate 2000-2025</v>
      </c>
      <c r="J2" s="15" t="str">
        <f>DataT4a!K4</f>
        <v>Annual growth rate 2020-2025</v>
      </c>
    </row>
    <row r="3" spans="1:12" ht="26" customHeight="1" thickBot="1" x14ac:dyDescent="0.25">
      <c r="A3" s="69" t="str">
        <f>DataT4a!B5</f>
        <v>East Asia</v>
      </c>
      <c r="B3" s="70">
        <f>DataT4a!C5</f>
        <v>756.87939453125</v>
      </c>
      <c r="C3" s="70">
        <f>DataT4a!D5</f>
        <v>3203.625</v>
      </c>
      <c r="D3" s="70">
        <f>DataT4a!E5</f>
        <v>5852.9580078125</v>
      </c>
      <c r="E3" s="70">
        <f>DataT4a!F5</f>
        <v>14669.6259765625</v>
      </c>
      <c r="F3" s="70">
        <f>DataT4a!G5</f>
        <v>18345.84765625</v>
      </c>
      <c r="G3" s="67">
        <f>DataT4a!H5</f>
        <v>1.426953911781311</v>
      </c>
      <c r="H3" s="67">
        <f>DataT4a!I5</f>
        <v>3.059180736541748</v>
      </c>
      <c r="I3" s="67">
        <f>DataT4a!J5</f>
        <v>4.6758499145507812</v>
      </c>
      <c r="J3" s="67">
        <f>DataT4a!K5</f>
        <v>4.574007511138916</v>
      </c>
    </row>
    <row r="4" spans="1:12" ht="26" customHeight="1" thickBot="1" x14ac:dyDescent="0.25">
      <c r="A4" s="69" t="str">
        <f>DataT4a!B6</f>
        <v>Europe</v>
      </c>
      <c r="B4" s="52">
        <f>DataT4a!C6</f>
        <v>1516.14453125</v>
      </c>
      <c r="C4" s="52">
        <f>DataT4a!D6</f>
        <v>18521.8203125</v>
      </c>
      <c r="D4" s="52">
        <f>DataT4a!E6</f>
        <v>26905.693359375</v>
      </c>
      <c r="E4" s="52">
        <f>DataT4a!F6</f>
        <v>31373.419921875</v>
      </c>
      <c r="F4" s="52">
        <f>DataT4a!G6</f>
        <v>36333.80078125</v>
      </c>
      <c r="G4" s="67">
        <f>DataT4a!H6</f>
        <v>1.4218255281448364</v>
      </c>
      <c r="H4" s="67">
        <f>DataT4a!I6</f>
        <v>1.884477972984314</v>
      </c>
      <c r="I4" s="67">
        <f>DataT4a!J6</f>
        <v>1.2088909149169922</v>
      </c>
      <c r="J4" s="67">
        <f>DataT4a!K6</f>
        <v>2.9792656898498535</v>
      </c>
    </row>
    <row r="5" spans="1:12" ht="26" customHeight="1" thickBot="1" x14ac:dyDescent="0.25">
      <c r="A5" s="69" t="str">
        <f>DataT4a!B7</f>
        <v>Latin America</v>
      </c>
      <c r="B5" s="70">
        <f>DataT4a!C7</f>
        <v>770.736328125</v>
      </c>
      <c r="C5" s="70">
        <f>DataT4a!D7</f>
        <v>9067.34375</v>
      </c>
      <c r="D5" s="70">
        <f>DataT4a!E7</f>
        <v>9728.673828125</v>
      </c>
      <c r="E5" s="70">
        <f>DataT4a!F7</f>
        <v>11199.8916015625</v>
      </c>
      <c r="F5" s="70">
        <f>DataT4a!G7</f>
        <v>13002.3427734375</v>
      </c>
      <c r="G5" s="67">
        <f>DataT4a!H7</f>
        <v>1.2637131214141846</v>
      </c>
      <c r="H5" s="67">
        <f>DataT4a!I7</f>
        <v>0.35261136293411255</v>
      </c>
      <c r="I5" s="67">
        <f>DataT4a!J7</f>
        <v>1.1669642925262451</v>
      </c>
      <c r="J5" s="67">
        <f>DataT4a!K7</f>
        <v>3.0294919013977051</v>
      </c>
    </row>
    <row r="6" spans="1:12" ht="26" customHeight="1" thickBot="1" x14ac:dyDescent="0.25">
      <c r="A6" s="22" t="str">
        <f>DataT4a!B8</f>
        <v>MENA</v>
      </c>
      <c r="B6" s="70">
        <f>DataT4a!C8</f>
        <v>696.99273681640625</v>
      </c>
      <c r="C6" s="70">
        <f>DataT4a!D8</f>
        <v>10019.8623046875</v>
      </c>
      <c r="D6" s="70">
        <f>DataT4a!E8</f>
        <v>9918.3623046875</v>
      </c>
      <c r="E6" s="70">
        <f>DataT4a!F8</f>
        <v>13260.6640625</v>
      </c>
      <c r="F6" s="70">
        <f>DataT4a!G8</f>
        <v>15391.8564453125</v>
      </c>
      <c r="G6" s="67">
        <f>DataT4a!H8</f>
        <v>1.384978175163269</v>
      </c>
      <c r="H6" s="67">
        <f>DataT4a!I8</f>
        <v>-5.0895128399133682E-2</v>
      </c>
      <c r="I6" s="67">
        <f>DataT4a!J8</f>
        <v>1.7733434438705444</v>
      </c>
      <c r="J6" s="67">
        <f>DataT4a!K8</f>
        <v>3.0255978107452393</v>
      </c>
    </row>
    <row r="7" spans="1:12" ht="26" customHeight="1" thickBot="1" x14ac:dyDescent="0.25">
      <c r="A7" s="22" t="str">
        <f>DataT4a!B9</f>
        <v>North America &amp; Oceania</v>
      </c>
      <c r="B7" s="70">
        <f>DataT4a!C9</f>
        <v>1351.0242919921875</v>
      </c>
      <c r="C7" s="70">
        <f>DataT4a!D9</f>
        <v>23183.130859375</v>
      </c>
      <c r="D7" s="70">
        <f>DataT4a!E9</f>
        <v>35849.42578125</v>
      </c>
      <c r="E7" s="70">
        <f>DataT4a!F9</f>
        <v>41591.23046875</v>
      </c>
      <c r="F7" s="70">
        <f>DataT4a!G9</f>
        <v>47013.38671875</v>
      </c>
      <c r="G7" s="67">
        <f>DataT4a!H9</f>
        <v>1.5900959968566895</v>
      </c>
      <c r="H7" s="67">
        <f>DataT4a!I9</f>
        <v>2.2034382820129395</v>
      </c>
      <c r="I7" s="67">
        <f>DataT4a!J9</f>
        <v>1.0903207063674927</v>
      </c>
      <c r="J7" s="67">
        <f>DataT4a!K9</f>
        <v>2.4811418056488037</v>
      </c>
    </row>
    <row r="8" spans="1:12" ht="26" customHeight="1" thickBot="1" x14ac:dyDescent="0.25">
      <c r="A8" s="22" t="str">
        <f>DataT4a!B10</f>
        <v>Russia &amp; Central Asia</v>
      </c>
      <c r="B8" s="70">
        <f>DataT4a!C10</f>
        <v>749.3887939453125</v>
      </c>
      <c r="C8" s="70">
        <f>DataT4a!D10</f>
        <v>11946.0732421875</v>
      </c>
      <c r="D8" s="70">
        <f>DataT4a!E10</f>
        <v>10243.3671875</v>
      </c>
      <c r="E8" s="70">
        <f>DataT4a!F10</f>
        <v>17544.9765625</v>
      </c>
      <c r="F8" s="70">
        <f>DataT4a!G10</f>
        <v>20376.61328125</v>
      </c>
      <c r="G8" s="67">
        <f>DataT4a!H10</f>
        <v>1.4787763357162476</v>
      </c>
      <c r="H8" s="67">
        <f>DataT4a!I10</f>
        <v>-0.76591336727142334</v>
      </c>
      <c r="I8" s="67">
        <f>DataT4a!J10</f>
        <v>2.7892203330993652</v>
      </c>
      <c r="J8" s="67">
        <f>DataT4a!K10</f>
        <v>3.0376272201538086</v>
      </c>
    </row>
    <row r="9" spans="1:12" ht="26" customHeight="1" thickBot="1" x14ac:dyDescent="0.25">
      <c r="A9" s="22" t="str">
        <f>DataT4a!B11</f>
        <v>South &amp; South-East Asia</v>
      </c>
      <c r="B9" s="52">
        <f>DataT4a!C11</f>
        <v>833.79705810546875</v>
      </c>
      <c r="C9" s="52">
        <f>DataT4a!D11</f>
        <v>1616.82421875</v>
      </c>
      <c r="D9" s="52">
        <f>DataT4a!E11</f>
        <v>2820.212890625</v>
      </c>
      <c r="E9" s="52">
        <f>DataT4a!F11</f>
        <v>5935.77197265625</v>
      </c>
      <c r="F9" s="52">
        <f>DataT4a!G11</f>
        <v>7596.6376953125</v>
      </c>
      <c r="G9" s="67">
        <f>DataT4a!H11</f>
        <v>0.9868243932723999</v>
      </c>
      <c r="H9" s="67">
        <f>DataT4a!I11</f>
        <v>2.8207941055297852</v>
      </c>
      <c r="I9" s="67">
        <f>DataT4a!J11</f>
        <v>4.0431709289550781</v>
      </c>
      <c r="J9" s="67">
        <f>DataT4a!K11</f>
        <v>5.057929515838623</v>
      </c>
    </row>
    <row r="10" spans="1:12" ht="26" customHeight="1" thickBot="1" x14ac:dyDescent="0.25">
      <c r="A10" s="22" t="str">
        <f>DataT4a!B12</f>
        <v>Sub-Saharan Africa</v>
      </c>
      <c r="B10" s="52">
        <f>DataT4a!C12</f>
        <v>505.861328125</v>
      </c>
      <c r="C10" s="52">
        <f>DataT4a!D12</f>
        <v>2422.373779296875</v>
      </c>
      <c r="D10" s="52">
        <f>DataT4a!E12</f>
        <v>2135.560302734375</v>
      </c>
      <c r="E10" s="52">
        <f>DataT4a!F12</f>
        <v>3225.896240234375</v>
      </c>
      <c r="F10" s="52">
        <f>DataT4a!G12</f>
        <v>3509.000244140625</v>
      </c>
      <c r="G10" s="67">
        <f>DataT4a!H12</f>
        <v>0.86452621221542358</v>
      </c>
      <c r="H10" s="67">
        <f>DataT4a!I12</f>
        <v>-0.62811386585235596</v>
      </c>
      <c r="I10" s="67">
        <f>DataT4a!J12</f>
        <v>2.0062689781188965</v>
      </c>
      <c r="J10" s="67">
        <f>DataT4a!K12</f>
        <v>1.6966404914855957</v>
      </c>
    </row>
    <row r="11" spans="1:12" ht="26" customHeight="1" thickBot="1" x14ac:dyDescent="0.25">
      <c r="A11" s="23" t="str">
        <f>DataT4a!B13</f>
        <v>World</v>
      </c>
      <c r="B11" s="71">
        <f>DataT4a!C13</f>
        <v>730.17230224609375</v>
      </c>
      <c r="C11" s="71">
        <f>DataT4a!D13</f>
        <v>7915.16650390625</v>
      </c>
      <c r="D11" s="71">
        <f>DataT4a!E13</f>
        <v>10036.203125</v>
      </c>
      <c r="E11" s="71">
        <f>DataT4a!F13</f>
        <v>12714.9111328125</v>
      </c>
      <c r="F11" s="71">
        <f>DataT4a!G13</f>
        <v>14588.109375</v>
      </c>
      <c r="G11" s="72">
        <f>DataT4a!H13</f>
        <v>1.3398663997650146</v>
      </c>
      <c r="H11" s="72">
        <f>DataT4a!I13</f>
        <v>1.1941647529602051</v>
      </c>
      <c r="I11" s="72">
        <f>DataT4a!J13</f>
        <v>1.5072780847549438</v>
      </c>
      <c r="J11" s="72">
        <f>DataT4a!K13</f>
        <v>2.7867505550384521</v>
      </c>
    </row>
    <row r="12" spans="1:12" ht="26" customHeight="1" x14ac:dyDescent="0.2">
      <c r="A12" s="139" t="s">
        <v>673</v>
      </c>
      <c r="B12" s="140"/>
      <c r="C12" s="140"/>
      <c r="D12" s="140"/>
      <c r="E12" s="140"/>
      <c r="F12" s="140"/>
      <c r="G12" s="140"/>
      <c r="H12" s="140"/>
      <c r="I12" s="140"/>
      <c r="J12" s="141"/>
      <c r="K12" s="75"/>
      <c r="L12" s="75"/>
    </row>
    <row r="13" spans="1:12" ht="26" customHeight="1" thickBot="1" x14ac:dyDescent="0.25">
      <c r="A13" s="142"/>
      <c r="B13" s="143"/>
      <c r="C13" s="143"/>
      <c r="D13" s="143"/>
      <c r="E13" s="143"/>
      <c r="F13" s="143"/>
      <c r="G13" s="143"/>
      <c r="H13" s="143"/>
      <c r="I13" s="143"/>
      <c r="J13" s="144"/>
      <c r="K13" s="75"/>
      <c r="L13" s="75"/>
    </row>
  </sheetData>
  <mergeCells count="2">
    <mergeCell ref="A1:J1"/>
    <mergeCell ref="A12:J13"/>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BC21E-C87C-4745-A0DC-B54BA5893B98}">
  <sheetPr>
    <tabColor theme="8"/>
  </sheetPr>
  <dimension ref="A1:L22"/>
  <sheetViews>
    <sheetView workbookViewId="0">
      <selection activeCell="F17" sqref="F17"/>
    </sheetView>
  </sheetViews>
  <sheetFormatPr baseColWidth="10" defaultRowHeight="15" x14ac:dyDescent="0.2"/>
  <cols>
    <col min="1" max="1" width="24.83203125" customWidth="1"/>
    <col min="2" max="2" width="19" customWidth="1"/>
    <col min="3" max="3" width="17.1640625" customWidth="1"/>
    <col min="4" max="4" width="17.83203125" customWidth="1"/>
    <col min="5" max="5" width="14.6640625" customWidth="1"/>
    <col min="6" max="6" width="16" customWidth="1"/>
    <col min="7" max="7" width="15.33203125" customWidth="1"/>
    <col min="8" max="8" width="15" customWidth="1"/>
    <col min="9" max="9" width="15.5" customWidth="1"/>
    <col min="10" max="10" width="13.33203125" customWidth="1"/>
  </cols>
  <sheetData>
    <row r="1" spans="1:12" ht="25" customHeight="1" thickBot="1" x14ac:dyDescent="0.25">
      <c r="A1" s="111" t="str">
        <f>DataT4b!B3</f>
        <v xml:space="preserve">Table 4b. Per Capita National Income Growth PPP 2025  $  by World Regions (1980-2025) </v>
      </c>
      <c r="B1" s="112"/>
      <c r="C1" s="112"/>
      <c r="D1" s="112"/>
      <c r="E1" s="112"/>
      <c r="F1" s="112"/>
      <c r="G1" s="112"/>
      <c r="H1" s="112"/>
      <c r="I1" s="112"/>
      <c r="J1" s="113"/>
      <c r="K1" s="59"/>
      <c r="L1" s="59"/>
    </row>
    <row r="2" spans="1:12" ht="69" thickBot="1" x14ac:dyDescent="0.25">
      <c r="A2" s="21"/>
      <c r="B2" s="1" t="str">
        <f>DataT4b!C4</f>
        <v>1800 Per capita national income   (PPP 2025 $)</v>
      </c>
      <c r="C2" s="1" t="str">
        <f>DataT4b!D4</f>
        <v>1980 Per capita national income   (PPP 2025 $)</v>
      </c>
      <c r="D2" s="15" t="str">
        <f>DataT4b!E4</f>
        <v>2000 Per capita national income   (PPP 2025 $)</v>
      </c>
      <c r="E2" s="15" t="str">
        <f>DataT4b!F4</f>
        <v>2020 Per capita national income   (PPP 2025 $)</v>
      </c>
      <c r="F2" s="15" t="str">
        <f>DataT4b!G4</f>
        <v>2025 Per capita national income   (PPP 2025 $)</v>
      </c>
      <c r="G2" s="15" t="str">
        <f>DataT4b!H4</f>
        <v>Annual growth rate 1800-2025</v>
      </c>
      <c r="H2" s="15" t="str">
        <f>DataT4b!I4</f>
        <v>Annual growth rate 1980-2000</v>
      </c>
      <c r="I2" s="15" t="str">
        <f>DataT4b!J4</f>
        <v>Annual growth rate 2000-2025</v>
      </c>
      <c r="J2" s="15" t="str">
        <f>DataT4b!K4</f>
        <v>Annual growth rate 2020-2025</v>
      </c>
      <c r="K2" s="59"/>
      <c r="L2" s="59"/>
    </row>
    <row r="3" spans="1:12" ht="17" thickBot="1" x14ac:dyDescent="0.25">
      <c r="A3" s="69" t="str">
        <f>DataT4b!B5</f>
        <v>East Asia</v>
      </c>
      <c r="B3" s="70">
        <f>DataT4b!C5</f>
        <v>1116.3338623046875</v>
      </c>
      <c r="C3" s="70">
        <f>DataT4b!D5</f>
        <v>4725.0791015625</v>
      </c>
      <c r="D3" s="70">
        <f>DataT4b!E5</f>
        <v>8632.6240234375</v>
      </c>
      <c r="E3" s="70">
        <f>DataT4b!F5</f>
        <v>21636.470703125</v>
      </c>
      <c r="F3" s="70">
        <f>DataT4b!G5</f>
        <v>27058.591796875</v>
      </c>
      <c r="G3" s="67">
        <f>DataT4b!H5</f>
        <v>1.426953911781311</v>
      </c>
      <c r="H3" s="67">
        <f>DataT4b!I5</f>
        <v>3.0591809749603271</v>
      </c>
      <c r="I3" s="67">
        <f>DataT4b!J5</f>
        <v>4.675849437713623</v>
      </c>
      <c r="J3" s="67">
        <f>DataT4b!K5</f>
        <v>4.574007511138916</v>
      </c>
      <c r="K3" s="59"/>
      <c r="L3" s="59"/>
    </row>
    <row r="4" spans="1:12" ht="17" thickBot="1" x14ac:dyDescent="0.25">
      <c r="A4" s="69" t="str">
        <f>DataT4b!B6</f>
        <v>Europe</v>
      </c>
      <c r="B4" s="52">
        <f>DataT4b!C6</f>
        <v>2236.1865234375</v>
      </c>
      <c r="C4" s="52">
        <f>DataT4b!D6</f>
        <v>27318.138671875</v>
      </c>
      <c r="D4" s="52">
        <f>DataT4b!E6</f>
        <v>39683.6484375</v>
      </c>
      <c r="E4" s="52">
        <f>DataT4b!F6</f>
        <v>46273.171875</v>
      </c>
      <c r="F4" s="52">
        <f>DataT4b!G6</f>
        <v>53589.31640625</v>
      </c>
      <c r="G4" s="67">
        <f>DataT4b!H6</f>
        <v>1.4218255281448364</v>
      </c>
      <c r="H4" s="67">
        <f>DataT4b!I6</f>
        <v>1.8844780921936035</v>
      </c>
      <c r="I4" s="67">
        <f>DataT4b!J6</f>
        <v>1.2088906764984131</v>
      </c>
      <c r="J4" s="67">
        <f>DataT4b!K6</f>
        <v>2.9792652130126953</v>
      </c>
      <c r="K4" s="59"/>
      <c r="L4" s="59"/>
    </row>
    <row r="5" spans="1:12" ht="17" thickBot="1" x14ac:dyDescent="0.25">
      <c r="A5" s="69" t="str">
        <f>DataT4b!B7</f>
        <v>Latin America</v>
      </c>
      <c r="B5" s="70">
        <f>DataT4b!C7</f>
        <v>1136.771728515625</v>
      </c>
      <c r="C5" s="70">
        <f>DataT4b!D7</f>
        <v>13373.5751953125</v>
      </c>
      <c r="D5" s="70">
        <f>DataT4b!E7</f>
        <v>14348.982421875</v>
      </c>
      <c r="E5" s="70">
        <f>DataT4b!F7</f>
        <v>16518.90625</v>
      </c>
      <c r="F5" s="70">
        <f>DataT4b!G7</f>
        <v>19177.369140625</v>
      </c>
      <c r="G5" s="67">
        <f>DataT4b!H7</f>
        <v>1.2637131214141846</v>
      </c>
      <c r="H5" s="67">
        <f>DataT4b!I7</f>
        <v>0.35261145234107971</v>
      </c>
      <c r="I5" s="67">
        <f>DataT4b!J7</f>
        <v>1.1669641733169556</v>
      </c>
      <c r="J5" s="67">
        <f>DataT4b!K7</f>
        <v>3.0294911861419678</v>
      </c>
      <c r="K5" s="59"/>
      <c r="L5" s="59"/>
    </row>
    <row r="6" spans="1:12" ht="18" thickBot="1" x14ac:dyDescent="0.25">
      <c r="A6" s="22" t="str">
        <f>DataT4b!B8</f>
        <v>MENA</v>
      </c>
      <c r="B6" s="70">
        <f>DataT4b!C8</f>
        <v>1028.0059814453125</v>
      </c>
      <c r="C6" s="70">
        <f>DataT4b!D8</f>
        <v>14778.4609375</v>
      </c>
      <c r="D6" s="70">
        <f>DataT4b!E8</f>
        <v>14628.7548828125</v>
      </c>
      <c r="E6" s="70">
        <f>DataT4b!F8</f>
        <v>19558.373046875</v>
      </c>
      <c r="F6" s="70">
        <f>DataT4b!G8</f>
        <v>22701.701171875</v>
      </c>
      <c r="G6" s="67">
        <f>DataT4b!H8</f>
        <v>1.384978175163269</v>
      </c>
      <c r="H6" s="67">
        <f>DataT4b!I8</f>
        <v>-5.089530348777771E-2</v>
      </c>
      <c r="I6" s="67">
        <f>DataT4b!J8</f>
        <v>1.7733434438705444</v>
      </c>
      <c r="J6" s="67">
        <f>DataT4b!K8</f>
        <v>3.0255973339080811</v>
      </c>
      <c r="K6" s="59"/>
      <c r="L6" s="59"/>
    </row>
    <row r="7" spans="1:12" ht="18" thickBot="1" x14ac:dyDescent="0.25">
      <c r="A7" s="22" t="str">
        <f>DataT4b!B9</f>
        <v>North America &amp; Oceania</v>
      </c>
      <c r="B7" s="70">
        <f>DataT4b!C9</f>
        <v>1992.64794921875</v>
      </c>
      <c r="C7" s="70">
        <f>DataT4b!D9</f>
        <v>34193.1796875</v>
      </c>
      <c r="D7" s="70">
        <f>DataT4b!E9</f>
        <v>52874.90625</v>
      </c>
      <c r="E7" s="70">
        <f>DataT4b!F9</f>
        <v>61343.58984375</v>
      </c>
      <c r="F7" s="70">
        <f>DataT4b!G9</f>
        <v>69340.8203125</v>
      </c>
      <c r="G7" s="67">
        <f>DataT4b!H9</f>
        <v>1.5900959968566895</v>
      </c>
      <c r="H7" s="67">
        <f>DataT4b!I9</f>
        <v>2.2034385204315186</v>
      </c>
      <c r="I7" s="67">
        <f>DataT4b!J9</f>
        <v>1.0903208255767822</v>
      </c>
      <c r="J7" s="67">
        <f>DataT4b!K9</f>
        <v>2.4811429977416992</v>
      </c>
      <c r="K7" s="59"/>
      <c r="L7" s="59"/>
    </row>
    <row r="8" spans="1:12" ht="18" thickBot="1" x14ac:dyDescent="0.25">
      <c r="A8" s="22" t="str">
        <f>DataT4b!B10</f>
        <v>Russia &amp; Central Asia</v>
      </c>
      <c r="B8" s="70">
        <f>DataT4b!C10</f>
        <v>1105.285888671875</v>
      </c>
      <c r="C8" s="70">
        <f>DataT4b!D10</f>
        <v>17619.4609375</v>
      </c>
      <c r="D8" s="70">
        <f>DataT4b!E10</f>
        <v>15108.109375</v>
      </c>
      <c r="E8" s="70">
        <f>DataT4b!F10</f>
        <v>25877.373046875</v>
      </c>
      <c r="F8" s="70">
        <f>DataT4b!G10</f>
        <v>30053.802734375</v>
      </c>
      <c r="G8" s="67">
        <f>DataT4b!H10</f>
        <v>1.478776216506958</v>
      </c>
      <c r="H8" s="67">
        <f>DataT4b!I10</f>
        <v>-0.76591348648071289</v>
      </c>
      <c r="I8" s="67">
        <f>DataT4b!J10</f>
        <v>2.7892203330993652</v>
      </c>
      <c r="J8" s="67">
        <f>DataT4b!K10</f>
        <v>3.0376272201538086</v>
      </c>
      <c r="K8" s="59"/>
      <c r="L8" s="59"/>
    </row>
    <row r="9" spans="1:12" ht="18" thickBot="1" x14ac:dyDescent="0.25">
      <c r="A9" s="22" t="str">
        <f>DataT4b!B11</f>
        <v>South &amp; South-East Asia</v>
      </c>
      <c r="B9" s="52">
        <f>DataT4b!C11</f>
        <v>1229.781005859375</v>
      </c>
      <c r="C9" s="52">
        <f>DataT4b!D11</f>
        <v>2384.6806640625</v>
      </c>
      <c r="D9" s="52">
        <f>DataT4b!E11</f>
        <v>4159.578125</v>
      </c>
      <c r="E9" s="52">
        <f>DataT4b!F11</f>
        <v>8754.767578125</v>
      </c>
      <c r="F9" s="52">
        <f>DataT4b!G11</f>
        <v>11204.40625</v>
      </c>
      <c r="G9" s="67">
        <f>DataT4b!H11</f>
        <v>0.98682445287704468</v>
      </c>
      <c r="H9" s="67">
        <f>DataT4b!I11</f>
        <v>2.8207941055297852</v>
      </c>
      <c r="I9" s="67">
        <f>DataT4b!J11</f>
        <v>4.0431714057922363</v>
      </c>
      <c r="J9" s="67">
        <f>DataT4b!K11</f>
        <v>5.0579299926757812</v>
      </c>
      <c r="K9" s="59"/>
      <c r="L9" s="59"/>
    </row>
    <row r="10" spans="1:12" ht="18" thickBot="1" x14ac:dyDescent="0.25">
      <c r="A10" s="22" t="str">
        <f>DataT4b!B12</f>
        <v>Sub-Saharan Africa</v>
      </c>
      <c r="B10" s="52">
        <f>DataT4b!C12</f>
        <v>746.10321044921875</v>
      </c>
      <c r="C10" s="52">
        <f>DataT4b!D12</f>
        <v>3572.799072265625</v>
      </c>
      <c r="D10" s="52">
        <f>DataT4b!E12</f>
        <v>3149.77294921875</v>
      </c>
      <c r="E10" s="52">
        <f>DataT4b!F12</f>
        <v>4757.92724609375</v>
      </c>
      <c r="F10" s="52">
        <f>DataT4b!G12</f>
        <v>5175.482421875</v>
      </c>
      <c r="G10" s="67">
        <f>DataT4b!H12</f>
        <v>0.86452621221542358</v>
      </c>
      <c r="H10" s="67">
        <f>DataT4b!I12</f>
        <v>-0.62811380624771118</v>
      </c>
      <c r="I10" s="67">
        <f>DataT4b!J12</f>
        <v>2.0062689781188965</v>
      </c>
      <c r="J10" s="67">
        <f>DataT4b!K12</f>
        <v>1.6966400146484375</v>
      </c>
      <c r="K10" s="59"/>
      <c r="L10" s="59"/>
    </row>
    <row r="11" spans="1:12" ht="18" thickBot="1" x14ac:dyDescent="0.25">
      <c r="A11" s="23" t="str">
        <f>DataT4b!B13</f>
        <v>World</v>
      </c>
      <c r="B11" s="71">
        <f>DataT4b!C13</f>
        <v>1076.9432373046875</v>
      </c>
      <c r="C11" s="71">
        <f>DataT4b!D13</f>
        <v>11674.2099609375</v>
      </c>
      <c r="D11" s="71">
        <f>DataT4b!E13</f>
        <v>14802.5625</v>
      </c>
      <c r="E11" s="71">
        <f>DataT4b!F13</f>
        <v>18753.431640625</v>
      </c>
      <c r="F11" s="71">
        <f>DataT4b!G13</f>
        <v>21516.2421875</v>
      </c>
      <c r="G11" s="72">
        <f>DataT4b!H13</f>
        <v>1.3398663997650146</v>
      </c>
      <c r="H11" s="72">
        <f>DataT4b!I13</f>
        <v>1.1941646337509155</v>
      </c>
      <c r="I11" s="72">
        <f>DataT4b!J13</f>
        <v>1.5072779655456543</v>
      </c>
      <c r="J11" s="72">
        <f>DataT4b!K13</f>
        <v>2.7867505550384521</v>
      </c>
      <c r="K11" s="59"/>
      <c r="L11" s="59"/>
    </row>
    <row r="12" spans="1:12" ht="15" customHeight="1" x14ac:dyDescent="0.2">
      <c r="A12" s="139" t="s">
        <v>674</v>
      </c>
      <c r="B12" s="140"/>
      <c r="C12" s="140"/>
      <c r="D12" s="140"/>
      <c r="E12" s="140"/>
      <c r="F12" s="140"/>
      <c r="G12" s="140"/>
      <c r="H12" s="140"/>
      <c r="I12" s="140"/>
      <c r="J12" s="141"/>
      <c r="K12" s="59"/>
      <c r="L12" s="59"/>
    </row>
    <row r="13" spans="1:12" ht="16" thickBot="1" x14ac:dyDescent="0.25">
      <c r="A13" s="142"/>
      <c r="B13" s="143"/>
      <c r="C13" s="143"/>
      <c r="D13" s="143"/>
      <c r="E13" s="143"/>
      <c r="F13" s="143"/>
      <c r="G13" s="143"/>
      <c r="H13" s="143"/>
      <c r="I13" s="143"/>
      <c r="J13" s="144"/>
      <c r="K13" s="59"/>
      <c r="L13" s="59"/>
    </row>
    <row r="14" spans="1:12" x14ac:dyDescent="0.2">
      <c r="A14" s="59"/>
      <c r="B14" s="59"/>
      <c r="C14" s="59"/>
      <c r="D14" s="59"/>
      <c r="E14" s="59"/>
      <c r="F14" s="59"/>
      <c r="G14" s="59"/>
      <c r="H14" s="59"/>
      <c r="I14" s="59"/>
      <c r="J14" s="59"/>
      <c r="K14" s="59"/>
      <c r="L14" s="59"/>
    </row>
    <row r="15" spans="1:12" x14ac:dyDescent="0.2">
      <c r="A15" s="59"/>
      <c r="B15" s="59"/>
      <c r="C15" s="59"/>
      <c r="D15" s="59"/>
      <c r="E15" s="59"/>
      <c r="F15" s="59"/>
      <c r="G15" s="59"/>
      <c r="H15" s="59"/>
      <c r="I15" s="59"/>
      <c r="J15" s="59"/>
      <c r="K15" s="59"/>
      <c r="L15" s="59"/>
    </row>
    <row r="16" spans="1:12" x14ac:dyDescent="0.2">
      <c r="A16" s="59"/>
      <c r="B16" s="59"/>
      <c r="C16" s="59"/>
      <c r="D16" s="59"/>
      <c r="E16" s="59"/>
      <c r="F16" s="59"/>
      <c r="G16" s="59"/>
      <c r="H16" s="59"/>
      <c r="I16" s="59"/>
      <c r="J16" s="59"/>
      <c r="K16" s="59"/>
      <c r="L16" s="59"/>
    </row>
    <row r="17" spans="1:12" x14ac:dyDescent="0.2">
      <c r="A17" s="59"/>
      <c r="B17" s="59"/>
      <c r="C17" s="59"/>
      <c r="D17" s="59"/>
      <c r="E17" s="59"/>
      <c r="F17" s="59"/>
      <c r="G17" s="59"/>
      <c r="H17" s="59"/>
      <c r="I17" s="59"/>
      <c r="J17" s="59"/>
      <c r="K17" s="59"/>
      <c r="L17" s="59"/>
    </row>
    <row r="18" spans="1:12" x14ac:dyDescent="0.2">
      <c r="A18" s="59"/>
      <c r="B18" s="59"/>
      <c r="C18" s="59"/>
      <c r="D18" s="59"/>
      <c r="E18" s="59"/>
      <c r="F18" s="59"/>
      <c r="G18" s="59"/>
      <c r="H18" s="59"/>
      <c r="I18" s="59"/>
      <c r="J18" s="59"/>
      <c r="K18" s="59"/>
      <c r="L18" s="59"/>
    </row>
    <row r="19" spans="1:12" x14ac:dyDescent="0.2">
      <c r="A19" s="59"/>
      <c r="B19" s="59"/>
      <c r="C19" s="59"/>
      <c r="D19" s="59"/>
      <c r="E19" s="59"/>
      <c r="F19" s="59"/>
      <c r="G19" s="59"/>
      <c r="H19" s="59"/>
      <c r="I19" s="59"/>
      <c r="J19" s="59"/>
      <c r="K19" s="59"/>
      <c r="L19" s="59"/>
    </row>
    <row r="20" spans="1:12" x14ac:dyDescent="0.2">
      <c r="A20" s="59"/>
      <c r="B20" s="59"/>
      <c r="C20" s="59"/>
      <c r="D20" s="59"/>
      <c r="E20" s="59"/>
      <c r="F20" s="59"/>
      <c r="G20" s="59"/>
      <c r="H20" s="59"/>
      <c r="I20" s="59"/>
      <c r="J20" s="59"/>
      <c r="K20" s="59"/>
      <c r="L20" s="59"/>
    </row>
    <row r="21" spans="1:12" x14ac:dyDescent="0.2">
      <c r="A21" s="59"/>
      <c r="B21" s="59"/>
      <c r="C21" s="59"/>
      <c r="D21" s="59"/>
      <c r="E21" s="59"/>
      <c r="F21" s="59"/>
      <c r="G21" s="59"/>
      <c r="H21" s="59"/>
      <c r="I21" s="59"/>
      <c r="J21" s="59"/>
      <c r="K21" s="59"/>
      <c r="L21" s="59"/>
    </row>
    <row r="22" spans="1:12" x14ac:dyDescent="0.2">
      <c r="A22" s="59"/>
      <c r="B22" s="59"/>
      <c r="C22" s="59"/>
      <c r="D22" s="59"/>
      <c r="E22" s="59"/>
      <c r="F22" s="59"/>
      <c r="G22" s="59"/>
      <c r="H22" s="59"/>
      <c r="I22" s="59"/>
      <c r="J22" s="59"/>
      <c r="K22" s="59"/>
      <c r="L22" s="59"/>
    </row>
  </sheetData>
  <mergeCells count="2">
    <mergeCell ref="A1:J1"/>
    <mergeCell ref="A12:J13"/>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831372-7BE2-E349-87AD-197F20AF97F1}">
  <sheetPr>
    <tabColor theme="8"/>
  </sheetPr>
  <dimension ref="A1:J17"/>
  <sheetViews>
    <sheetView workbookViewId="0">
      <selection activeCell="F15" sqref="F15"/>
    </sheetView>
  </sheetViews>
  <sheetFormatPr baseColWidth="10" defaultRowHeight="44" customHeight="1" x14ac:dyDescent="0.2"/>
  <cols>
    <col min="1" max="1" width="25.1640625" customWidth="1"/>
    <col min="2" max="3" width="20" customWidth="1"/>
    <col min="4" max="4" width="20.5" customWidth="1"/>
    <col min="5" max="5" width="17.1640625" customWidth="1"/>
    <col min="6" max="6" width="16" customWidth="1"/>
    <col min="7" max="7" width="15.1640625" customWidth="1"/>
    <col min="8" max="8" width="17.1640625" customWidth="1"/>
    <col min="9" max="9" width="16.1640625" customWidth="1"/>
    <col min="10" max="10" width="16.5" customWidth="1"/>
  </cols>
  <sheetData>
    <row r="1" spans="1:10" ht="17" thickBot="1" x14ac:dyDescent="0.25">
      <c r="A1" s="111" t="str">
        <f>DataT4c!B3</f>
        <v xml:space="preserve">Table 4c. Per Capita National Income Growth MER 2025 € by World Regions (1980-2025) </v>
      </c>
      <c r="B1" s="112"/>
      <c r="C1" s="112"/>
      <c r="D1" s="112"/>
      <c r="E1" s="112"/>
      <c r="F1" s="112"/>
      <c r="G1" s="112"/>
      <c r="H1" s="112"/>
      <c r="I1" s="112"/>
      <c r="J1" s="113"/>
    </row>
    <row r="2" spans="1:10" ht="52" thickBot="1" x14ac:dyDescent="0.25">
      <c r="A2" s="21"/>
      <c r="B2" s="1" t="str">
        <f>DataT4c!C4</f>
        <v>1800 Per capita national income   (MER €)</v>
      </c>
      <c r="C2" s="1" t="str">
        <f>DataT4c!D4</f>
        <v>1980 Per capita national income   (MER €)</v>
      </c>
      <c r="D2" s="1" t="str">
        <f>DataT4c!E4</f>
        <v>2000 Per capita national income   (MER €)</v>
      </c>
      <c r="E2" s="1" t="str">
        <f>DataT4c!F4</f>
        <v>2020 Per capita national income   (MER €)</v>
      </c>
      <c r="F2" s="1" t="str">
        <f>DataT4c!G4</f>
        <v>2025 Per capita national income   (MER €)</v>
      </c>
      <c r="G2" s="1" t="str">
        <f>DataT4c!H4</f>
        <v>Annual growth rate 1800-2025</v>
      </c>
      <c r="H2" s="1" t="str">
        <f>DataT4c!I4</f>
        <v>Annual growth rate 1980-2000</v>
      </c>
      <c r="I2" s="1" t="str">
        <f>DataT4c!J4</f>
        <v>Annual growth rate 2000-2025</v>
      </c>
      <c r="J2" s="1" t="str">
        <f>DataT4c!K4</f>
        <v>Annual growth rate 2020-2025</v>
      </c>
    </row>
    <row r="3" spans="1:10" ht="17" thickBot="1" x14ac:dyDescent="0.25">
      <c r="A3" s="69" t="str">
        <f>DataT4c!B5</f>
        <v>East Asia</v>
      </c>
      <c r="B3" s="70">
        <f>DataT4c!C5</f>
        <v>461.95916748046875</v>
      </c>
      <c r="C3" s="70">
        <f>DataT4c!D5</f>
        <v>2053.468017578125</v>
      </c>
      <c r="D3" s="70">
        <f>DataT4c!E5</f>
        <v>3870.857177734375</v>
      </c>
      <c r="E3" s="70">
        <f>DataT4c!F5</f>
        <v>9194.3916015625</v>
      </c>
      <c r="F3" s="70">
        <f>DataT4c!G5</f>
        <v>11435.5322265625</v>
      </c>
      <c r="G3" s="73">
        <f>DataT4c!H5</f>
        <v>1.4364432096481323</v>
      </c>
      <c r="H3" s="73">
        <f>DataT4c!I5</f>
        <v>3.2205007076263428</v>
      </c>
      <c r="I3" s="73">
        <f>DataT4c!J5</f>
        <v>4.4282426834106445</v>
      </c>
      <c r="J3" s="73">
        <f>DataT4c!K5</f>
        <v>4.459195613861084</v>
      </c>
    </row>
    <row r="4" spans="1:10" ht="17" thickBot="1" x14ac:dyDescent="0.25">
      <c r="A4" s="69" t="str">
        <f>DataT4c!B6</f>
        <v>Europe</v>
      </c>
      <c r="B4" s="52">
        <f>DataT4c!C6</f>
        <v>1511.763427734375</v>
      </c>
      <c r="C4" s="52">
        <f>DataT4c!D6</f>
        <v>18245.85546875</v>
      </c>
      <c r="D4" s="52">
        <f>DataT4c!E6</f>
        <v>26990.40234375</v>
      </c>
      <c r="E4" s="52">
        <f>DataT4c!F6</f>
        <v>31119.22265625</v>
      </c>
      <c r="F4" s="52">
        <f>DataT4c!G6</f>
        <v>35941.4296875</v>
      </c>
      <c r="G4" s="53">
        <f>DataT4c!H6</f>
        <v>1.4182356595993042</v>
      </c>
      <c r="H4" s="53">
        <f>DataT4c!I6</f>
        <v>1.977006196975708</v>
      </c>
      <c r="I4" s="53">
        <f>DataT4c!J6</f>
        <v>1.1522248983383179</v>
      </c>
      <c r="J4" s="53">
        <f>DataT4c!K6</f>
        <v>2.9232103824615479</v>
      </c>
    </row>
    <row r="5" spans="1:10" ht="17" thickBot="1" x14ac:dyDescent="0.25">
      <c r="A5" s="69" t="str">
        <f>DataT4c!B7</f>
        <v>Latin America</v>
      </c>
      <c r="B5" s="70">
        <f>DataT4c!C7</f>
        <v>509.26956176757812</v>
      </c>
      <c r="C5" s="70">
        <f>DataT4c!D7</f>
        <v>5863.763671875</v>
      </c>
      <c r="D5" s="70">
        <f>DataT4c!E7</f>
        <v>6267.39404296875</v>
      </c>
      <c r="E5" s="70">
        <f>DataT4c!F7</f>
        <v>7080.095703125</v>
      </c>
      <c r="F5" s="70">
        <f>DataT4c!G7</f>
        <v>8189.9736328125</v>
      </c>
      <c r="G5" s="73">
        <f>DataT4c!H7</f>
        <v>1.2421799898147583</v>
      </c>
      <c r="H5" s="73">
        <f>DataT4c!I7</f>
        <v>0.33339956402778625</v>
      </c>
      <c r="I5" s="73">
        <f>DataT4c!J7</f>
        <v>1.0759471654891968</v>
      </c>
      <c r="J5" s="73">
        <f>DataT4c!K7</f>
        <v>2.9552924633026123</v>
      </c>
    </row>
    <row r="6" spans="1:10" ht="18" thickBot="1" x14ac:dyDescent="0.25">
      <c r="A6" s="22" t="str">
        <f>DataT4c!B8</f>
        <v>MENA</v>
      </c>
      <c r="B6" s="70">
        <f>DataT4c!C8</f>
        <v>364.85003662109375</v>
      </c>
      <c r="C6" s="70">
        <f>DataT4c!D8</f>
        <v>5337.68896484375</v>
      </c>
      <c r="D6" s="70">
        <f>DataT4c!E8</f>
        <v>5180.88818359375</v>
      </c>
      <c r="E6" s="70">
        <f>DataT4c!F8</f>
        <v>6948.05908203125</v>
      </c>
      <c r="F6" s="70">
        <f>DataT4c!G8</f>
        <v>8084.75341796875</v>
      </c>
      <c r="G6" s="73">
        <f>DataT4c!H8</f>
        <v>1.3865238428115845</v>
      </c>
      <c r="H6" s="73">
        <f>DataT4c!I8</f>
        <v>-0.14897069334983826</v>
      </c>
      <c r="I6" s="73">
        <f>DataT4c!J8</f>
        <v>1.7959508895874023</v>
      </c>
      <c r="J6" s="73">
        <f>DataT4c!K8</f>
        <v>3.0767354965209961</v>
      </c>
    </row>
    <row r="7" spans="1:10" ht="18" thickBot="1" x14ac:dyDescent="0.25">
      <c r="A7" s="22" t="str">
        <f>DataT4c!B9</f>
        <v>North America &amp; Oceania</v>
      </c>
      <c r="B7" s="70">
        <f>DataT4c!C9</f>
        <v>1650.8887939453125</v>
      </c>
      <c r="C7" s="70">
        <f>DataT4c!D9</f>
        <v>28446.787109375</v>
      </c>
      <c r="D7" s="70">
        <f>DataT4c!E9</f>
        <v>44061.1015625</v>
      </c>
      <c r="E7" s="70">
        <f>DataT4c!F9</f>
        <v>51057.94921875</v>
      </c>
      <c r="F7" s="70">
        <f>DataT4c!G9</f>
        <v>57715.02734375</v>
      </c>
      <c r="G7" s="73">
        <f>DataT4c!H9</f>
        <v>1.5921884775161743</v>
      </c>
      <c r="H7" s="73">
        <f>DataT4c!I9</f>
        <v>2.2118163108825684</v>
      </c>
      <c r="I7" s="73">
        <f>DataT4c!J9</f>
        <v>1.0856113433837891</v>
      </c>
      <c r="J7" s="73">
        <f>DataT4c!K9</f>
        <v>2.4814140796661377</v>
      </c>
    </row>
    <row r="8" spans="1:10" ht="18" thickBot="1" x14ac:dyDescent="0.25">
      <c r="A8" s="22" t="str">
        <f>DataT4c!B10</f>
        <v>Russia &amp; Central Asia</v>
      </c>
      <c r="B8" s="70">
        <f>DataT4c!C10</f>
        <v>335.3624267578125</v>
      </c>
      <c r="C8" s="70">
        <f>DataT4c!D10</f>
        <v>5265.49169921875</v>
      </c>
      <c r="D8" s="70">
        <f>DataT4c!E10</f>
        <v>4644.5830078125</v>
      </c>
      <c r="E8" s="70">
        <f>DataT4c!F10</f>
        <v>7884.38525390625</v>
      </c>
      <c r="F8" s="70">
        <f>DataT4c!G10</f>
        <v>9172.1748046875</v>
      </c>
      <c r="G8" s="73">
        <f>DataT4c!H10</f>
        <v>1.4814069271087646</v>
      </c>
      <c r="H8" s="73">
        <f>DataT4c!I10</f>
        <v>-0.6254006028175354</v>
      </c>
      <c r="I8" s="73">
        <f>DataT4c!J10</f>
        <v>2.7592730522155762</v>
      </c>
      <c r="J8" s="73">
        <f>DataT4c!K10</f>
        <v>3.0720460414886475</v>
      </c>
    </row>
    <row r="9" spans="1:10" ht="18" thickBot="1" x14ac:dyDescent="0.25">
      <c r="A9" s="22" t="str">
        <f>DataT4c!B11</f>
        <v>South &amp; South-East Asia</v>
      </c>
      <c r="B9" s="52">
        <f>DataT4c!C11</f>
        <v>268.45111083984375</v>
      </c>
      <c r="C9" s="52">
        <f>DataT4c!D11</f>
        <v>561.28741455078125</v>
      </c>
      <c r="D9" s="52">
        <f>DataT4c!E11</f>
        <v>990.1998291015625</v>
      </c>
      <c r="E9" s="52">
        <f>DataT4c!F11</f>
        <v>2038.0694580078125</v>
      </c>
      <c r="F9" s="52">
        <f>DataT4c!G11</f>
        <v>2581.031494140625</v>
      </c>
      <c r="G9" s="53">
        <f>DataT4c!H11</f>
        <v>1.0109764337539673</v>
      </c>
      <c r="H9" s="53">
        <f>DataT4c!I11</f>
        <v>2.8790335655212402</v>
      </c>
      <c r="I9" s="53">
        <f>DataT4c!J11</f>
        <v>3.9065244197845459</v>
      </c>
      <c r="J9" s="53">
        <f>DataT4c!K11</f>
        <v>4.8370671272277832</v>
      </c>
    </row>
    <row r="10" spans="1:10" ht="18" thickBot="1" x14ac:dyDescent="0.25">
      <c r="A10" s="22" t="str">
        <f>DataT4c!B12</f>
        <v>Sub-Saharan Africa</v>
      </c>
      <c r="B10" s="52">
        <f>DataT4c!C12</f>
        <v>241.07951354980469</v>
      </c>
      <c r="C10" s="52">
        <f>DataT4c!D12</f>
        <v>1107.3558349609375</v>
      </c>
      <c r="D10" s="52">
        <f>DataT4c!E12</f>
        <v>1175.573486328125</v>
      </c>
      <c r="E10" s="52">
        <f>DataT4c!F12</f>
        <v>1484.697998046875</v>
      </c>
      <c r="F10" s="52">
        <f>DataT4c!G12</f>
        <v>1547.44140625</v>
      </c>
      <c r="G10" s="53">
        <f>DataT4c!H12</f>
        <v>0.82974851131439209</v>
      </c>
      <c r="H10" s="53">
        <f>DataT4c!I12</f>
        <v>0.29935237765312195</v>
      </c>
      <c r="I10" s="53">
        <f>DataT4c!J12</f>
        <v>1.1054526567459106</v>
      </c>
      <c r="J10" s="53">
        <f>DataT4c!K12</f>
        <v>0.83126628398895264</v>
      </c>
    </row>
    <row r="11" spans="1:10" ht="18" thickBot="1" x14ac:dyDescent="0.25">
      <c r="A11" s="23" t="str">
        <f>DataT4c!B13</f>
        <v>World</v>
      </c>
      <c r="B11" s="71">
        <f>DataT4c!C13</f>
        <v>523.05615234375</v>
      </c>
      <c r="C11" s="71">
        <f>DataT4c!D13</f>
        <v>5669.99951171875</v>
      </c>
      <c r="D11" s="71">
        <f>DataT4c!E13</f>
        <v>7189.396484375</v>
      </c>
      <c r="E11" s="71">
        <f>DataT4c!F13</f>
        <v>9108.2783203125</v>
      </c>
      <c r="F11" s="71">
        <f>DataT4c!G13</f>
        <v>10450.1357421875</v>
      </c>
      <c r="G11" s="74">
        <f>DataT4c!H13</f>
        <v>1.3398663997650146</v>
      </c>
      <c r="H11" s="74">
        <f>DataT4c!I13</f>
        <v>1.1941651105880737</v>
      </c>
      <c r="I11" s="74">
        <f>DataT4c!J13</f>
        <v>1.5072774887084961</v>
      </c>
      <c r="J11" s="74">
        <f>DataT4c!K13</f>
        <v>2.7867488861083984</v>
      </c>
    </row>
    <row r="12" spans="1:10" ht="15" customHeight="1" x14ac:dyDescent="0.2">
      <c r="A12" s="139" t="s">
        <v>675</v>
      </c>
      <c r="B12" s="140"/>
      <c r="C12" s="140"/>
      <c r="D12" s="140"/>
      <c r="E12" s="140"/>
      <c r="F12" s="140"/>
      <c r="G12" s="140"/>
      <c r="H12" s="140"/>
      <c r="I12" s="140"/>
      <c r="J12" s="141"/>
    </row>
    <row r="13" spans="1:10" ht="16" thickBot="1" x14ac:dyDescent="0.25">
      <c r="A13" s="142"/>
      <c r="B13" s="143"/>
      <c r="C13" s="143"/>
      <c r="D13" s="143"/>
      <c r="E13" s="143"/>
      <c r="F13" s="143"/>
      <c r="G13" s="143"/>
      <c r="H13" s="143"/>
      <c r="I13" s="143"/>
      <c r="J13" s="144"/>
    </row>
    <row r="14" spans="1:10" ht="44" customHeight="1" x14ac:dyDescent="0.2">
      <c r="A14" s="59"/>
    </row>
    <row r="15" spans="1:10" ht="44" customHeight="1" x14ac:dyDescent="0.2">
      <c r="A15" s="59"/>
    </row>
    <row r="16" spans="1:10" ht="44" customHeight="1" x14ac:dyDescent="0.2">
      <c r="A16" s="59"/>
    </row>
    <row r="17" spans="1:1" ht="44" customHeight="1" x14ac:dyDescent="0.2">
      <c r="A17" s="59"/>
    </row>
  </sheetData>
  <mergeCells count="2">
    <mergeCell ref="A12:J13"/>
    <mergeCell ref="A1:J1"/>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6FA26B-1515-6145-86B3-467AB01FCADC}">
  <sheetPr>
    <tabColor theme="8"/>
  </sheetPr>
  <dimension ref="A1:K27"/>
  <sheetViews>
    <sheetView workbookViewId="0">
      <selection activeCell="E16" sqref="E16"/>
    </sheetView>
  </sheetViews>
  <sheetFormatPr baseColWidth="10" defaultRowHeight="31" customHeight="1" x14ac:dyDescent="0.2"/>
  <cols>
    <col min="1" max="1" width="23.83203125" customWidth="1"/>
    <col min="2" max="2" width="19.6640625" customWidth="1"/>
    <col min="3" max="3" width="20.5" customWidth="1"/>
    <col min="4" max="4" width="19.5" customWidth="1"/>
    <col min="5" max="6" width="15.6640625" customWidth="1"/>
    <col min="7" max="7" width="16" customWidth="1"/>
    <col min="8" max="8" width="17.33203125" customWidth="1"/>
    <col min="9" max="10" width="16.33203125" customWidth="1"/>
  </cols>
  <sheetData>
    <row r="1" spans="1:11" ht="17" thickBot="1" x14ac:dyDescent="0.25">
      <c r="A1" s="111" t="str">
        <f>DataT4d!B3</f>
        <v xml:space="preserve">Table 4d. Per Capita National Income Growth MER 2025 $  by World Regions (1980-2025) </v>
      </c>
      <c r="B1" s="112"/>
      <c r="C1" s="112"/>
      <c r="D1" s="112"/>
      <c r="E1" s="112"/>
      <c r="F1" s="112"/>
      <c r="G1" s="112"/>
      <c r="H1" s="112"/>
      <c r="I1" s="112"/>
      <c r="J1" s="113"/>
      <c r="K1" s="59"/>
    </row>
    <row r="2" spans="1:11" ht="52" thickBot="1" x14ac:dyDescent="0.25">
      <c r="A2" s="21"/>
      <c r="B2" s="1" t="str">
        <f>DataT4d!C4</f>
        <v>1800 Per capita national income   (MER $)</v>
      </c>
      <c r="C2" s="1" t="str">
        <f>DataT4d!D4</f>
        <v>1980 Per capita national income   (MER $)</v>
      </c>
      <c r="D2" s="15" t="str">
        <f>DataT4d!E4</f>
        <v>2000 Per capita national income   (MER $)</v>
      </c>
      <c r="E2" s="15" t="str">
        <f>DataT4d!F4</f>
        <v>2020 Per capita national income   (MER $)</v>
      </c>
      <c r="F2" s="15" t="str">
        <f>DataT4d!G4</f>
        <v>2025 Per capita national income   (MER $)</v>
      </c>
      <c r="G2" s="15" t="str">
        <f>DataT4d!H4</f>
        <v>Annual growth rate 1800-2025</v>
      </c>
      <c r="H2" s="15" t="str">
        <f>DataT4d!I4</f>
        <v>Annual growth rate 1980-2000</v>
      </c>
      <c r="I2" s="15" t="str">
        <f>DataT4d!J4</f>
        <v>Annual growth rate 2000-2025</v>
      </c>
      <c r="J2" s="15" t="str">
        <f>DataT4d!K4</f>
        <v>Annual growth rate 2020-2025</v>
      </c>
      <c r="K2" s="59"/>
    </row>
    <row r="3" spans="1:11" ht="17" thickBot="1" x14ac:dyDescent="0.25">
      <c r="A3" s="69" t="str">
        <f>DataT4d!B5</f>
        <v>East Asia</v>
      </c>
      <c r="B3" s="70">
        <f>DataT4d!C5</f>
        <v>544.48193359375</v>
      </c>
      <c r="C3" s="70">
        <f>DataT4d!D5</f>
        <v>2420.292236328125</v>
      </c>
      <c r="D3" s="70">
        <f>DataT4d!E5</f>
        <v>4562.33349609375</v>
      </c>
      <c r="E3" s="67">
        <f>DataT4d!F5</f>
        <v>10836.845703125</v>
      </c>
      <c r="F3" s="67">
        <f>DataT4d!G5</f>
        <v>13478.3349609375</v>
      </c>
      <c r="G3" s="67">
        <f>DataT4d!H5</f>
        <v>1.4364432096481323</v>
      </c>
      <c r="H3" s="67">
        <f>DataT4d!I5</f>
        <v>3.2205007076263428</v>
      </c>
      <c r="I3" s="67">
        <f>DataT4d!J5</f>
        <v>4.4282426834106445</v>
      </c>
      <c r="J3" s="67">
        <f>DataT4d!K5</f>
        <v>4.459195613861084</v>
      </c>
      <c r="K3" s="59"/>
    </row>
    <row r="4" spans="1:11" ht="17" thickBot="1" x14ac:dyDescent="0.25">
      <c r="A4" s="69" t="str">
        <f>DataT4d!B6</f>
        <v>Europe</v>
      </c>
      <c r="B4" s="52">
        <f>DataT4d!C6</f>
        <v>1781.819580078125</v>
      </c>
      <c r="C4" s="52">
        <f>DataT4d!D6</f>
        <v>21505.23046875</v>
      </c>
      <c r="D4" s="52">
        <f>DataT4d!E6</f>
        <v>31811.875</v>
      </c>
      <c r="E4" s="67">
        <f>DataT4d!F6</f>
        <v>36678.25390625</v>
      </c>
      <c r="F4" s="67">
        <f>DataT4d!G6</f>
        <v>42361.8828125</v>
      </c>
      <c r="G4" s="67">
        <f>DataT4d!H6</f>
        <v>1.4182357788085938</v>
      </c>
      <c r="H4" s="67">
        <f>DataT4d!I6</f>
        <v>1.9770063161849976</v>
      </c>
      <c r="I4" s="67">
        <f>DataT4d!J6</f>
        <v>1.1522248983383179</v>
      </c>
      <c r="J4" s="67">
        <f>DataT4d!K6</f>
        <v>2.9232101440429688</v>
      </c>
      <c r="K4" s="59"/>
    </row>
    <row r="5" spans="1:11" ht="17" thickBot="1" x14ac:dyDescent="0.25">
      <c r="A5" s="69" t="str">
        <f>DataT4d!B7</f>
        <v>Latin America</v>
      </c>
      <c r="B5" s="70">
        <f>DataT4d!C7</f>
        <v>600.24365234375</v>
      </c>
      <c r="C5" s="70">
        <f>DataT4d!D7</f>
        <v>6911.24560546875</v>
      </c>
      <c r="D5" s="70">
        <f>DataT4d!E7</f>
        <v>7386.9794921875</v>
      </c>
      <c r="E5" s="67">
        <f>DataT4d!F7</f>
        <v>8344.8583984375</v>
      </c>
      <c r="F5" s="67">
        <f>DataT4d!G7</f>
        <v>9653.001953125</v>
      </c>
      <c r="G5" s="67">
        <f>DataT4d!H7</f>
        <v>1.2421799898147583</v>
      </c>
      <c r="H5" s="67">
        <f>DataT4d!I7</f>
        <v>0.33339968323707581</v>
      </c>
      <c r="I5" s="67">
        <f>DataT4d!J7</f>
        <v>1.0759471654891968</v>
      </c>
      <c r="J5" s="67">
        <f>DataT4d!K7</f>
        <v>2.9552924633026123</v>
      </c>
      <c r="K5" s="59"/>
    </row>
    <row r="6" spans="1:11" ht="18" thickBot="1" x14ac:dyDescent="0.25">
      <c r="A6" s="22" t="str">
        <f>DataT4d!B8</f>
        <v>MENA</v>
      </c>
      <c r="B6" s="70">
        <f>DataT4d!C8</f>
        <v>430.02554321289062</v>
      </c>
      <c r="C6" s="70">
        <f>DataT4d!D8</f>
        <v>6291.1953125</v>
      </c>
      <c r="D6" s="70">
        <f>DataT4d!E8</f>
        <v>6106.3837890625</v>
      </c>
      <c r="E6" s="67">
        <f>DataT4d!F8</f>
        <v>8189.236328125</v>
      </c>
      <c r="F6" s="67">
        <f>DataT4d!G8</f>
        <v>9528.9853515625</v>
      </c>
      <c r="G6" s="67">
        <f>DataT4d!H8</f>
        <v>1.3865238428115845</v>
      </c>
      <c r="H6" s="67">
        <f>DataT4d!I8</f>
        <v>-0.14897073805332184</v>
      </c>
      <c r="I6" s="67">
        <f>DataT4d!J8</f>
        <v>1.7959508895874023</v>
      </c>
      <c r="J6" s="67">
        <f>DataT4d!K8</f>
        <v>3.0767350196838379</v>
      </c>
      <c r="K6" s="59"/>
    </row>
    <row r="7" spans="1:11" ht="35" thickBot="1" x14ac:dyDescent="0.25">
      <c r="A7" s="22" t="str">
        <f>DataT4d!B9</f>
        <v>North America &amp; Oceania</v>
      </c>
      <c r="B7" s="70">
        <f>DataT4d!C9</f>
        <v>1945.7977294921875</v>
      </c>
      <c r="C7" s="70">
        <f>DataT4d!D9</f>
        <v>33528.421875</v>
      </c>
      <c r="D7" s="70">
        <f>DataT4d!E9</f>
        <v>51932.01953125</v>
      </c>
      <c r="E7" s="67">
        <f>DataT4d!F9</f>
        <v>60178.75390625</v>
      </c>
      <c r="F7" s="67">
        <f>DataT4d!G9</f>
        <v>68025.03125</v>
      </c>
      <c r="G7" s="67">
        <f>DataT4d!H9</f>
        <v>1.5921884775161743</v>
      </c>
      <c r="H7" s="67">
        <f>DataT4d!I9</f>
        <v>2.2118163108825684</v>
      </c>
      <c r="I7" s="67">
        <f>DataT4d!J9</f>
        <v>1.0856112241744995</v>
      </c>
      <c r="J7" s="67">
        <f>DataT4d!K9</f>
        <v>2.4814150333404541</v>
      </c>
      <c r="K7" s="59"/>
    </row>
    <row r="8" spans="1:11" ht="18" thickBot="1" x14ac:dyDescent="0.25">
      <c r="A8" s="22" t="str">
        <f>DataT4d!B10</f>
        <v>Russia &amp; Central Asia</v>
      </c>
      <c r="B8" s="70">
        <f>DataT4d!C10</f>
        <v>395.27041625976562</v>
      </c>
      <c r="C8" s="70">
        <f>DataT4d!D10</f>
        <v>6206.1005859375</v>
      </c>
      <c r="D8" s="70">
        <f>DataT4d!E10</f>
        <v>5474.275390625</v>
      </c>
      <c r="E8" s="67">
        <f>DataT4d!F10</f>
        <v>9292.82421875</v>
      </c>
      <c r="F8" s="67">
        <f>DataT4d!G10</f>
        <v>10810.6591796875</v>
      </c>
      <c r="G8" s="67">
        <f>DataT4d!H10</f>
        <v>1.4814069271087646</v>
      </c>
      <c r="H8" s="67">
        <f>DataT4d!I10</f>
        <v>-0.62540048360824585</v>
      </c>
      <c r="I8" s="67">
        <f>DataT4d!J10</f>
        <v>2.759272575378418</v>
      </c>
      <c r="J8" s="67">
        <f>DataT4d!K10</f>
        <v>3.0720453262329102</v>
      </c>
      <c r="K8" s="59"/>
    </row>
    <row r="9" spans="1:11" ht="18" thickBot="1" x14ac:dyDescent="0.25">
      <c r="A9" s="22" t="str">
        <f>DataT4d!B11</f>
        <v>South &amp; South-East Asia</v>
      </c>
      <c r="B9" s="52">
        <f>DataT4d!C11</f>
        <v>316.40628051757812</v>
      </c>
      <c r="C9" s="52">
        <f>DataT4d!D11</f>
        <v>661.5538330078125</v>
      </c>
      <c r="D9" s="52">
        <f>DataT4d!E11</f>
        <v>1167.0855712890625</v>
      </c>
      <c r="E9" s="67">
        <f>DataT4d!F11</f>
        <v>2402.14306640625</v>
      </c>
      <c r="F9" s="67">
        <f>DataT4d!G11</f>
        <v>3042.097900390625</v>
      </c>
      <c r="G9" s="67">
        <f>DataT4d!H11</f>
        <v>1.0109764337539673</v>
      </c>
      <c r="H9" s="67">
        <f>DataT4d!I11</f>
        <v>2.8790335655212402</v>
      </c>
      <c r="I9" s="67">
        <f>DataT4d!J11</f>
        <v>3.9065244197845459</v>
      </c>
      <c r="J9" s="67">
        <f>DataT4d!K11</f>
        <v>4.837066650390625</v>
      </c>
      <c r="K9" s="59"/>
    </row>
    <row r="10" spans="1:11" ht="18" thickBot="1" x14ac:dyDescent="0.25">
      <c r="A10" s="22" t="str">
        <f>DataT4d!B12</f>
        <v>Sub-Saharan Africa</v>
      </c>
      <c r="B10" s="52">
        <f>DataT4d!C12</f>
        <v>284.14511108398438</v>
      </c>
      <c r="C10" s="52">
        <f>DataT4d!D12</f>
        <v>1305.169921875</v>
      </c>
      <c r="D10" s="52">
        <f>DataT4d!E12</f>
        <v>1385.57373046875</v>
      </c>
      <c r="E10" s="67">
        <f>DataT4d!F12</f>
        <v>1749.919189453125</v>
      </c>
      <c r="F10" s="67">
        <f>DataT4d!G12</f>
        <v>1823.870849609375</v>
      </c>
      <c r="G10" s="67">
        <f>DataT4d!H12</f>
        <v>0.82974851131439209</v>
      </c>
      <c r="H10" s="67">
        <f>DataT4d!I12</f>
        <v>0.29935231804847717</v>
      </c>
      <c r="I10" s="67">
        <f>DataT4d!J12</f>
        <v>1.1054526567459106</v>
      </c>
      <c r="J10" s="67">
        <f>DataT4d!K12</f>
        <v>0.83126646280288696</v>
      </c>
      <c r="K10" s="59"/>
    </row>
    <row r="11" spans="1:11" ht="18" thickBot="1" x14ac:dyDescent="0.25">
      <c r="A11" s="23" t="str">
        <f>DataT4d!B13</f>
        <v>World</v>
      </c>
      <c r="B11" s="71">
        <f>DataT4d!C13</f>
        <v>616.4930419921875</v>
      </c>
      <c r="C11" s="71">
        <f>DataT4d!D13</f>
        <v>6682.8681640625</v>
      </c>
      <c r="D11" s="71">
        <f>DataT4d!E13</f>
        <v>8473.6845703125</v>
      </c>
      <c r="E11" s="72">
        <f>DataT4d!F13</f>
        <v>10735.349609375</v>
      </c>
      <c r="F11" s="72">
        <f>DataT4d!G13</f>
        <v>12316.9111328125</v>
      </c>
      <c r="G11" s="72">
        <f>DataT4d!H13</f>
        <v>1.3398663997650146</v>
      </c>
      <c r="H11" s="72">
        <f>DataT4d!I13</f>
        <v>1.1941646337509155</v>
      </c>
      <c r="I11" s="72">
        <f>DataT4d!J13</f>
        <v>1.5072778463363647</v>
      </c>
      <c r="J11" s="72">
        <f>DataT4d!K13</f>
        <v>2.7867484092712402</v>
      </c>
      <c r="K11" s="59"/>
    </row>
    <row r="12" spans="1:11" ht="15" customHeight="1" x14ac:dyDescent="0.2">
      <c r="A12" s="139" t="s">
        <v>676</v>
      </c>
      <c r="B12" s="140"/>
      <c r="C12" s="140"/>
      <c r="D12" s="140"/>
      <c r="E12" s="140"/>
      <c r="F12" s="140"/>
      <c r="G12" s="140"/>
      <c r="H12" s="140"/>
      <c r="I12" s="140"/>
      <c r="J12" s="141"/>
    </row>
    <row r="13" spans="1:11" ht="16" thickBot="1" x14ac:dyDescent="0.25">
      <c r="A13" s="142"/>
      <c r="B13" s="143"/>
      <c r="C13" s="143"/>
      <c r="D13" s="143"/>
      <c r="E13" s="143"/>
      <c r="F13" s="143"/>
      <c r="G13" s="143"/>
      <c r="H13" s="143"/>
      <c r="I13" s="143"/>
      <c r="J13" s="144"/>
    </row>
    <row r="14" spans="1:11" ht="31" customHeight="1" x14ac:dyDescent="0.2">
      <c r="A14" s="59"/>
    </row>
    <row r="15" spans="1:11" ht="31" customHeight="1" x14ac:dyDescent="0.2">
      <c r="A15" s="59"/>
    </row>
    <row r="16" spans="1:11" ht="31" customHeight="1" x14ac:dyDescent="0.2">
      <c r="A16" s="59"/>
    </row>
    <row r="17" spans="1:1" ht="31" customHeight="1" x14ac:dyDescent="0.2">
      <c r="A17" s="59"/>
    </row>
    <row r="18" spans="1:1" ht="31" customHeight="1" x14ac:dyDescent="0.2">
      <c r="A18" s="59"/>
    </row>
    <row r="19" spans="1:1" ht="31" customHeight="1" x14ac:dyDescent="0.2">
      <c r="A19" s="59"/>
    </row>
    <row r="20" spans="1:1" ht="31" customHeight="1" x14ac:dyDescent="0.2">
      <c r="A20" s="59"/>
    </row>
    <row r="21" spans="1:1" ht="31" customHeight="1" x14ac:dyDescent="0.2">
      <c r="A21" s="59"/>
    </row>
    <row r="22" spans="1:1" ht="31" customHeight="1" x14ac:dyDescent="0.2">
      <c r="A22" s="59"/>
    </row>
    <row r="23" spans="1:1" ht="31" customHeight="1" x14ac:dyDescent="0.2">
      <c r="A23" s="59"/>
    </row>
    <row r="24" spans="1:1" ht="31" customHeight="1" x14ac:dyDescent="0.2">
      <c r="A24" s="59"/>
    </row>
    <row r="25" spans="1:1" ht="31" customHeight="1" x14ac:dyDescent="0.2">
      <c r="A25" s="59"/>
    </row>
    <row r="26" spans="1:1" ht="31" customHeight="1" x14ac:dyDescent="0.2">
      <c r="A26" s="59"/>
    </row>
    <row r="27" spans="1:1" ht="31" customHeight="1" x14ac:dyDescent="0.2">
      <c r="A27" s="59"/>
    </row>
  </sheetData>
  <mergeCells count="2">
    <mergeCell ref="A1:J1"/>
    <mergeCell ref="A12:J1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00C1A-838E-3545-8DC8-797E6A3A59CA}">
  <sheetPr>
    <tabColor theme="8"/>
  </sheetPr>
  <dimension ref="A1:L78"/>
  <sheetViews>
    <sheetView workbookViewId="0">
      <pane ySplit="2" topLeftCell="A47" activePane="bottomLeft" state="frozen"/>
      <selection pane="bottomLeft" activeCell="K67" sqref="K67"/>
    </sheetView>
  </sheetViews>
  <sheetFormatPr baseColWidth="10" defaultRowHeight="23" customHeight="1" x14ac:dyDescent="0.2"/>
  <cols>
    <col min="1" max="1" width="10.83203125" style="78"/>
    <col min="2" max="2" width="21.83203125" style="78" customWidth="1"/>
    <col min="3" max="11" width="15.33203125" customWidth="1"/>
  </cols>
  <sheetData>
    <row r="1" spans="1:12" ht="23" customHeight="1" thickBot="1" x14ac:dyDescent="0.25">
      <c r="A1" s="151" t="str">
        <f>Data5!B3</f>
        <v xml:space="preserve">Table 5. Per Capita National Income Growth PPP 2025  € by  WID core Territories (1980-2025) </v>
      </c>
      <c r="B1" s="152"/>
      <c r="C1" s="152"/>
      <c r="D1" s="152"/>
      <c r="E1" s="152"/>
      <c r="F1" s="152"/>
      <c r="G1" s="152"/>
      <c r="H1" s="152"/>
      <c r="I1" s="152"/>
      <c r="J1" s="152"/>
      <c r="K1" s="153"/>
      <c r="L1" s="59"/>
    </row>
    <row r="2" spans="1:12" s="78" customFormat="1" ht="69" thickBot="1" x14ac:dyDescent="0.25">
      <c r="A2" s="76" t="str">
        <f>Data5!B4</f>
        <v>Region</v>
      </c>
      <c r="B2" s="1" t="str">
        <f>Data5!C4</f>
        <v>Country</v>
      </c>
      <c r="C2" s="1" t="str">
        <f>Data5!D4</f>
        <v>1800 Per capita national income   (PPP 2025 €)</v>
      </c>
      <c r="D2" s="1" t="str">
        <f>Data5!E4</f>
        <v>1980 Per capita national income   (PPP 2025 €)</v>
      </c>
      <c r="E2" s="1" t="str">
        <f>Data5!F4</f>
        <v>2000 Per capita national income   (PPP 2025 €)</v>
      </c>
      <c r="F2" s="1" t="str">
        <f>Data5!G4</f>
        <v>2020 Per capita national income   (PPP 2025 €)</v>
      </c>
      <c r="G2" s="1" t="str">
        <f>Data5!H4</f>
        <v>2025 Per capita national income   (PPP 2025 €)</v>
      </c>
      <c r="H2" s="1" t="str">
        <f>Data5!I4</f>
        <v>Annual growth rate 1800-2025</v>
      </c>
      <c r="I2" s="1" t="str">
        <f>Data5!J4</f>
        <v>Annual growth rate 1980-2000</v>
      </c>
      <c r="J2" s="1" t="str">
        <f>Data5!K4</f>
        <v>Annual growth rate 2000-2025</v>
      </c>
      <c r="K2" s="1" t="str">
        <f>Data5!L4</f>
        <v>Annual growth rate 2020-2025</v>
      </c>
      <c r="L2" s="1"/>
    </row>
    <row r="3" spans="1:12" ht="23" customHeight="1" thickBot="1" x14ac:dyDescent="0.25">
      <c r="A3" s="154" t="str">
        <f>Data5!B5</f>
        <v>East Asia</v>
      </c>
      <c r="B3" s="45" t="str">
        <f>Data5!C5</f>
        <v>Taiwan</v>
      </c>
      <c r="C3" s="67">
        <f>Data5!D5</f>
        <v>762.373779296875</v>
      </c>
      <c r="D3" s="67">
        <f>Data5!E5</f>
        <v>6466.37255859375</v>
      </c>
      <c r="E3" s="67">
        <f>Data5!F5</f>
        <v>22022.65625</v>
      </c>
      <c r="F3" s="67">
        <f>Data5!G5</f>
        <v>41774.15234375</v>
      </c>
      <c r="G3" s="67">
        <f>Data5!H5</f>
        <v>55286.75390625</v>
      </c>
      <c r="H3" s="67">
        <f>Data5!I5</f>
        <v>1.9221744537353516</v>
      </c>
      <c r="I3" s="67">
        <f>Data5!J5</f>
        <v>6.3188939094543457</v>
      </c>
      <c r="J3" s="67">
        <f>Data5!K5</f>
        <v>3.7504656314849854</v>
      </c>
      <c r="K3" s="67">
        <f>Data5!L5</f>
        <v>5.7651748657226562</v>
      </c>
      <c r="L3" s="59"/>
    </row>
    <row r="4" spans="1:12" ht="23" customHeight="1" thickBot="1" x14ac:dyDescent="0.25">
      <c r="A4" s="155"/>
      <c r="B4" s="56" t="str">
        <f>Data5!C6</f>
        <v>South Korea</v>
      </c>
      <c r="C4" s="67">
        <f>Data5!D6</f>
        <v>564.92596435546875</v>
      </c>
      <c r="D4" s="67">
        <f>Data5!E6</f>
        <v>4334.2724609375</v>
      </c>
      <c r="E4" s="67">
        <f>Data5!F6</f>
        <v>17094.9453125</v>
      </c>
      <c r="F4" s="67">
        <f>Data5!G6</f>
        <v>31462.19921875</v>
      </c>
      <c r="G4" s="67">
        <f>Data5!H6</f>
        <v>35047.71875</v>
      </c>
      <c r="H4" s="67">
        <f>Data5!I6</f>
        <v>1.8514964580535889</v>
      </c>
      <c r="I4" s="67">
        <f>Data5!J6</f>
        <v>7.1019988059997559</v>
      </c>
      <c r="J4" s="67">
        <f>Data5!K6</f>
        <v>2.913341760635376</v>
      </c>
      <c r="K4" s="67">
        <f>Data5!L6</f>
        <v>2.1819374561309814</v>
      </c>
      <c r="L4" s="59"/>
    </row>
    <row r="5" spans="1:12" ht="23" customHeight="1" thickBot="1" x14ac:dyDescent="0.25">
      <c r="A5" s="155"/>
      <c r="B5" s="45" t="str">
        <f>Data5!C7</f>
        <v>Japan</v>
      </c>
      <c r="C5" s="67">
        <f>Data5!D7</f>
        <v>807.88385009765625</v>
      </c>
      <c r="D5" s="67">
        <f>Data5!E7</f>
        <v>15316.2568359375</v>
      </c>
      <c r="E5" s="67">
        <f>Data5!F7</f>
        <v>23818.23046875</v>
      </c>
      <c r="F5" s="67">
        <f>Data5!G7</f>
        <v>26677.408203125</v>
      </c>
      <c r="G5" s="67">
        <f>Data5!H7</f>
        <v>30128.580078125</v>
      </c>
      <c r="H5" s="67">
        <f>Data5!I7</f>
        <v>1.6213643550872803</v>
      </c>
      <c r="I5" s="67">
        <f>Data5!J7</f>
        <v>2.2322320938110352</v>
      </c>
      <c r="J5" s="67">
        <f>Data5!K7</f>
        <v>0.94452458620071411</v>
      </c>
      <c r="K5" s="67">
        <f>Data5!L7</f>
        <v>2.4629859924316406</v>
      </c>
      <c r="L5" s="59"/>
    </row>
    <row r="6" spans="1:12" ht="23" customHeight="1" thickBot="1" x14ac:dyDescent="0.25">
      <c r="A6" s="155"/>
      <c r="B6" s="45" t="str">
        <f>Data5!C8</f>
        <v>Other East Asia</v>
      </c>
      <c r="C6" s="67">
        <f>Data5!D8</f>
        <v>1452.4786376953125</v>
      </c>
      <c r="D6" s="67">
        <f>Data5!E8</f>
        <v>7102.3671875</v>
      </c>
      <c r="E6" s="67">
        <f>Data5!F8</f>
        <v>12931.4775390625</v>
      </c>
      <c r="F6" s="67">
        <f>Data5!G8</f>
        <v>21507.31640625</v>
      </c>
      <c r="G6" s="67">
        <f>Data5!H8</f>
        <v>26422.28515625</v>
      </c>
      <c r="H6" s="67">
        <f>Data5!I8</f>
        <v>1.2976523637771606</v>
      </c>
      <c r="I6" s="67">
        <f>Data5!J8</f>
        <v>3.0415186882019043</v>
      </c>
      <c r="J6" s="67">
        <f>Data5!K8</f>
        <v>2.8994109630584717</v>
      </c>
      <c r="K6" s="67">
        <f>Data5!L8</f>
        <v>4.202186107635498</v>
      </c>
      <c r="L6" s="59"/>
    </row>
    <row r="7" spans="1:12" ht="23" customHeight="1" thickBot="1" x14ac:dyDescent="0.25">
      <c r="A7" s="156"/>
      <c r="B7" s="45" t="str">
        <f>Data5!C9</f>
        <v>China</v>
      </c>
      <c r="C7" s="67">
        <f>Data5!D9</f>
        <v>745.72686767578125</v>
      </c>
      <c r="D7" s="67">
        <f>Data5!E9</f>
        <v>1160.798828125</v>
      </c>
      <c r="E7" s="67">
        <f>Data5!F9</f>
        <v>3007.4462890625</v>
      </c>
      <c r="F7" s="67">
        <f>Data5!G9</f>
        <v>12333.201171875</v>
      </c>
      <c r="G7" s="67">
        <f>Data5!H9</f>
        <v>15891.3466796875</v>
      </c>
      <c r="H7" s="67">
        <f>Data5!I9</f>
        <v>1.368916392326355</v>
      </c>
      <c r="I7" s="67">
        <f>Data5!J9</f>
        <v>4.8750176429748535</v>
      </c>
      <c r="J7" s="67">
        <f>Data5!K9</f>
        <v>6.8854312896728516</v>
      </c>
      <c r="K7" s="67">
        <f>Data5!L9</f>
        <v>5.2003002166748047</v>
      </c>
      <c r="L7" s="59"/>
    </row>
    <row r="8" spans="1:12" ht="23" customHeight="1" thickBot="1" x14ac:dyDescent="0.25">
      <c r="A8" s="154" t="str">
        <f>Data5!B10</f>
        <v>Europe</v>
      </c>
      <c r="B8" s="45" t="str">
        <f>Data5!C10</f>
        <v>Norway</v>
      </c>
      <c r="C8" s="67">
        <f>Data5!D10</f>
        <v>1622.77783203125</v>
      </c>
      <c r="D8" s="67">
        <f>Data5!E10</f>
        <v>29528.53125</v>
      </c>
      <c r="E8" s="67">
        <f>Data5!F10</f>
        <v>51833.99609375</v>
      </c>
      <c r="F8" s="67">
        <f>Data5!G10</f>
        <v>63179.20703125</v>
      </c>
      <c r="G8" s="67">
        <f>Data5!H10</f>
        <v>70146.8359375</v>
      </c>
      <c r="H8" s="67">
        <f>Data5!I10</f>
        <v>1.6880679130554199</v>
      </c>
      <c r="I8" s="67">
        <f>Data5!J10</f>
        <v>2.8533973693847656</v>
      </c>
      <c r="J8" s="67">
        <f>Data5!K10</f>
        <v>1.2175302505493164</v>
      </c>
      <c r="K8" s="67">
        <f>Data5!L10</f>
        <v>2.114351749420166</v>
      </c>
      <c r="L8" s="59"/>
    </row>
    <row r="9" spans="1:12" ht="23" customHeight="1" thickBot="1" x14ac:dyDescent="0.25">
      <c r="A9" s="155"/>
      <c r="B9" s="56" t="str">
        <f>Data5!C11</f>
        <v>Denmark</v>
      </c>
      <c r="C9" s="67">
        <f>Data5!D11</f>
        <v>1648.1148681640625</v>
      </c>
      <c r="D9" s="67">
        <f>Data5!E11</f>
        <v>23564.962890625</v>
      </c>
      <c r="E9" s="67">
        <f>Data5!F11</f>
        <v>37408.625</v>
      </c>
      <c r="F9" s="67">
        <f>Data5!G11</f>
        <v>44730.359375</v>
      </c>
      <c r="G9" s="67">
        <f>Data5!H11</f>
        <v>49726.015625</v>
      </c>
      <c r="H9" s="67">
        <f>Data5!I11</f>
        <v>1.5256978273391724</v>
      </c>
      <c r="I9" s="67">
        <f>Data5!J11</f>
        <v>2.3376047611236572</v>
      </c>
      <c r="J9" s="67">
        <f>Data5!K11</f>
        <v>1.145013689994812</v>
      </c>
      <c r="K9" s="67">
        <f>Data5!L11</f>
        <v>2.140094518661499</v>
      </c>
      <c r="L9" s="59"/>
    </row>
    <row r="10" spans="1:12" ht="23" customHeight="1" thickBot="1" x14ac:dyDescent="0.25">
      <c r="A10" s="155"/>
      <c r="B10" s="56" t="str">
        <f>Data5!C12</f>
        <v>Netherlands</v>
      </c>
      <c r="C10" s="67">
        <f>Data5!D12</f>
        <v>2572.52392578125</v>
      </c>
      <c r="D10" s="67">
        <f>Data5!E12</f>
        <v>25348.939453125</v>
      </c>
      <c r="E10" s="67">
        <f>Data5!F12</f>
        <v>36834.45703125</v>
      </c>
      <c r="F10" s="67">
        <f>Data5!G12</f>
        <v>42004.1484375</v>
      </c>
      <c r="G10" s="67">
        <f>Data5!H12</f>
        <v>47551.40234375</v>
      </c>
      <c r="H10" s="67">
        <f>Data5!I12</f>
        <v>1.3048504590988159</v>
      </c>
      <c r="I10" s="67">
        <f>Data5!J12</f>
        <v>1.8860496282577515</v>
      </c>
      <c r="J10" s="67">
        <f>Data5!K12</f>
        <v>1.0267456769943237</v>
      </c>
      <c r="K10" s="67">
        <f>Data5!L12</f>
        <v>2.5118880271911621</v>
      </c>
      <c r="L10" s="59"/>
    </row>
    <row r="11" spans="1:12" ht="23" customHeight="1" thickBot="1" x14ac:dyDescent="0.25">
      <c r="A11" s="155"/>
      <c r="B11" s="56" t="str">
        <f>Data5!C13</f>
        <v>Sweden</v>
      </c>
      <c r="C11" s="67">
        <f>Data5!D13</f>
        <v>1089.989013671875</v>
      </c>
      <c r="D11" s="67">
        <f>Data5!E13</f>
        <v>23006.546875</v>
      </c>
      <c r="E11" s="67">
        <f>Data5!F13</f>
        <v>31703.76171875</v>
      </c>
      <c r="F11" s="67">
        <f>Data5!G13</f>
        <v>41712.296875</v>
      </c>
      <c r="G11" s="67">
        <f>Data5!H13</f>
        <v>45180.14453125</v>
      </c>
      <c r="H11" s="67">
        <f>Data5!I13</f>
        <v>1.6691054105758667</v>
      </c>
      <c r="I11" s="67">
        <f>Data5!J13</f>
        <v>1.6162039041519165</v>
      </c>
      <c r="J11" s="67">
        <f>Data5!K13</f>
        <v>1.4269750118255615</v>
      </c>
      <c r="K11" s="67">
        <f>Data5!L13</f>
        <v>1.6100591421127319</v>
      </c>
      <c r="L11" s="59"/>
    </row>
    <row r="12" spans="1:12" ht="23" customHeight="1" thickBot="1" x14ac:dyDescent="0.25">
      <c r="A12" s="155"/>
      <c r="B12" s="1" t="str">
        <f>Data5!C14</f>
        <v>Germany</v>
      </c>
      <c r="C12" s="67">
        <f>Data5!D14</f>
        <v>1810.4560546875</v>
      </c>
      <c r="D12" s="67">
        <f>Data5!E14</f>
        <v>23004.80859375</v>
      </c>
      <c r="E12" s="67">
        <f>Data5!F14</f>
        <v>33185.46484375</v>
      </c>
      <c r="F12" s="67">
        <f>Data5!G14</f>
        <v>39611.55078125</v>
      </c>
      <c r="G12" s="67">
        <f>Data5!H14</f>
        <v>41797.78515625</v>
      </c>
      <c r="H12" s="67">
        <f>Data5!I14</f>
        <v>1.4050074815750122</v>
      </c>
      <c r="I12" s="67">
        <f>Data5!J14</f>
        <v>1.8489280939102173</v>
      </c>
      <c r="J12" s="67">
        <f>Data5!K14</f>
        <v>0.92719787359237671</v>
      </c>
      <c r="K12" s="67">
        <f>Data5!L14</f>
        <v>1.080244779586792</v>
      </c>
      <c r="L12" s="59"/>
    </row>
    <row r="13" spans="1:12" ht="23" customHeight="1" thickBot="1" x14ac:dyDescent="0.25">
      <c r="A13" s="155"/>
      <c r="B13" s="45" t="str">
        <f>Data5!C15</f>
        <v>Other Western Europe</v>
      </c>
      <c r="C13" s="67">
        <f>Data5!D15</f>
        <v>1593.210693359375</v>
      </c>
      <c r="D13" s="67">
        <f>Data5!E15</f>
        <v>21152.51953125</v>
      </c>
      <c r="E13" s="67">
        <f>Data5!F15</f>
        <v>31288.078125</v>
      </c>
      <c r="F13" s="67">
        <f>Data5!G15</f>
        <v>34622.3046875</v>
      </c>
      <c r="G13" s="67">
        <f>Data5!H15</f>
        <v>41160.83203125</v>
      </c>
      <c r="H13" s="67">
        <f>Data5!I15</f>
        <v>1.45570969581604</v>
      </c>
      <c r="I13" s="67">
        <f>Data5!J15</f>
        <v>1.9766730070114136</v>
      </c>
      <c r="J13" s="67">
        <f>Data5!K15</f>
        <v>1.103039026260376</v>
      </c>
      <c r="K13" s="67">
        <f>Data5!L15</f>
        <v>3.5203278064727783</v>
      </c>
      <c r="L13" s="59"/>
    </row>
    <row r="14" spans="1:12" ht="23" customHeight="1" thickBot="1" x14ac:dyDescent="0.25">
      <c r="A14" s="155"/>
      <c r="B14" s="56" t="str">
        <f>Data5!C16</f>
        <v>United Kingdom</v>
      </c>
      <c r="C14" s="67">
        <f>Data5!D16</f>
        <v>2975.632568359375</v>
      </c>
      <c r="D14" s="67">
        <f>Data5!E16</f>
        <v>17819.7109375</v>
      </c>
      <c r="E14" s="67">
        <f>Data5!F16</f>
        <v>31424.767578125</v>
      </c>
      <c r="F14" s="67">
        <f>Data5!G16</f>
        <v>32126.560546875</v>
      </c>
      <c r="G14" s="67">
        <f>Data5!H16</f>
        <v>38013.41015625</v>
      </c>
      <c r="H14" s="67">
        <f>Data5!I16</f>
        <v>1.1386481523513794</v>
      </c>
      <c r="I14" s="67">
        <f>Data5!J16</f>
        <v>2.8770661354064941</v>
      </c>
      <c r="J14" s="67">
        <f>Data5!K16</f>
        <v>0.76427614688873291</v>
      </c>
      <c r="K14" s="67">
        <f>Data5!L16</f>
        <v>3.422377347946167</v>
      </c>
      <c r="L14" s="59"/>
    </row>
    <row r="15" spans="1:12" ht="23" customHeight="1" thickBot="1" x14ac:dyDescent="0.25">
      <c r="A15" s="155"/>
      <c r="B15" s="45" t="str">
        <f>Data5!C17</f>
        <v>France</v>
      </c>
      <c r="C15" s="67">
        <f>Data5!D17</f>
        <v>1256.852783203125</v>
      </c>
      <c r="D15" s="67">
        <f>Data5!E17</f>
        <v>22009.470703125</v>
      </c>
      <c r="E15" s="67">
        <f>Data5!F17</f>
        <v>31651.013671875</v>
      </c>
      <c r="F15" s="67">
        <f>Data5!G17</f>
        <v>32877.5078125</v>
      </c>
      <c r="G15" s="67">
        <f>Data5!H17</f>
        <v>37176.3515625</v>
      </c>
      <c r="H15" s="67">
        <f>Data5!I17</f>
        <v>1.5167485475540161</v>
      </c>
      <c r="I15" s="67">
        <f>Data5!J17</f>
        <v>1.8330851793289185</v>
      </c>
      <c r="J15" s="67">
        <f>Data5!K17</f>
        <v>0.6456865668296814</v>
      </c>
      <c r="K15" s="67">
        <f>Data5!L17</f>
        <v>2.488133430480957</v>
      </c>
      <c r="L15" s="59"/>
    </row>
    <row r="16" spans="1:12" ht="23" customHeight="1" thickBot="1" x14ac:dyDescent="0.25">
      <c r="A16" s="155"/>
      <c r="B16" s="45" t="str">
        <f>Data5!C18</f>
        <v>Italy</v>
      </c>
      <c r="C16" s="67">
        <f>Data5!D18</f>
        <v>2109.245849609375</v>
      </c>
      <c r="D16" s="67">
        <f>Data5!E18</f>
        <v>23224.650390625</v>
      </c>
      <c r="E16" s="67">
        <f>Data5!F18</f>
        <v>33868.83984375</v>
      </c>
      <c r="F16" s="67">
        <f>Data5!G18</f>
        <v>29077.6796875</v>
      </c>
      <c r="G16" s="67">
        <f>Data5!H18</f>
        <v>34700.18359375</v>
      </c>
      <c r="H16" s="67">
        <f>Data5!I18</f>
        <v>1.2524064779281616</v>
      </c>
      <c r="I16" s="67">
        <f>Data5!J18</f>
        <v>1.904310941696167</v>
      </c>
      <c r="J16" s="67">
        <f>Data5!K18</f>
        <v>9.7045384347438812E-2</v>
      </c>
      <c r="K16" s="67">
        <f>Data5!L18</f>
        <v>3.5987229347229004</v>
      </c>
      <c r="L16" s="59"/>
    </row>
    <row r="17" spans="1:12" ht="23" customHeight="1" thickBot="1" x14ac:dyDescent="0.25">
      <c r="A17" s="155"/>
      <c r="B17" s="45" t="str">
        <f>Data5!C19</f>
        <v>Spain</v>
      </c>
      <c r="C17" s="67">
        <f>Data5!D19</f>
        <v>1585.511474609375</v>
      </c>
      <c r="D17" s="67">
        <f>Data5!E19</f>
        <v>17104.92578125</v>
      </c>
      <c r="E17" s="67">
        <f>Data5!F19</f>
        <v>26827.771484375</v>
      </c>
      <c r="F17" s="67">
        <f>Data5!G19</f>
        <v>26928.833984375</v>
      </c>
      <c r="G17" s="67">
        <f>Data5!H19</f>
        <v>33533.67578125</v>
      </c>
      <c r="H17" s="67">
        <f>Data5!I19</f>
        <v>1.3655251264572144</v>
      </c>
      <c r="I17" s="67">
        <f>Data5!J19</f>
        <v>2.275867223739624</v>
      </c>
      <c r="J17" s="67">
        <f>Data5!K19</f>
        <v>0.89644443988800049</v>
      </c>
      <c r="K17" s="67">
        <f>Data5!L19</f>
        <v>4.4847049713134766</v>
      </c>
      <c r="L17" s="59"/>
    </row>
    <row r="18" spans="1:12" ht="23" customHeight="1" thickBot="1" x14ac:dyDescent="0.25">
      <c r="A18" s="156"/>
      <c r="B18" s="45" t="str">
        <f>Data5!C20</f>
        <v>Eastern Europe</v>
      </c>
      <c r="C18" s="67">
        <f>Data5!D20</f>
        <v>646.9168701171875</v>
      </c>
      <c r="D18" s="67">
        <f>Data5!E20</f>
        <v>10442.1767578125</v>
      </c>
      <c r="E18" s="67">
        <f>Data5!F20</f>
        <v>11076.8994140625</v>
      </c>
      <c r="F18" s="67">
        <f>Data5!G20</f>
        <v>21551.015625</v>
      </c>
      <c r="G18" s="67">
        <f>Data5!H20</f>
        <v>25895.28515625</v>
      </c>
      <c r="H18" s="67">
        <f>Data5!I20</f>
        <v>1.6533403396606445</v>
      </c>
      <c r="I18" s="67">
        <f>Data5!J20</f>
        <v>0.29547905921936035</v>
      </c>
      <c r="J18" s="67">
        <f>Data5!K20</f>
        <v>3.455146312713623</v>
      </c>
      <c r="K18" s="67">
        <f>Data5!L20</f>
        <v>3.7410378456115723</v>
      </c>
      <c r="L18" s="59"/>
    </row>
    <row r="19" spans="1:12" ht="23" customHeight="1" thickBot="1" x14ac:dyDescent="0.25">
      <c r="A19" s="154" t="str">
        <f>Data5!B21</f>
        <v>Latin America</v>
      </c>
      <c r="B19" s="56" t="str">
        <f>Data5!C21</f>
        <v>Argentina</v>
      </c>
      <c r="C19" s="67">
        <f>Data5!D21</f>
        <v>976.75042724609375</v>
      </c>
      <c r="D19" s="67">
        <f>Data5!E21</f>
        <v>15854.8017578125</v>
      </c>
      <c r="E19" s="67">
        <f>Data5!F21</f>
        <v>15526.5966796875</v>
      </c>
      <c r="F19" s="67">
        <f>Data5!G21</f>
        <v>17498.03515625</v>
      </c>
      <c r="G19" s="67">
        <f>Data5!H21</f>
        <v>20248.099609375</v>
      </c>
      <c r="H19" s="67">
        <f>Data5!I21</f>
        <v>1.3564890623092651</v>
      </c>
      <c r="I19" s="67">
        <f>Data5!J21</f>
        <v>-0.10453491657972336</v>
      </c>
      <c r="J19" s="67">
        <f>Data5!K21</f>
        <v>1.0676851272583008</v>
      </c>
      <c r="K19" s="67">
        <f>Data5!L21</f>
        <v>2.9624807834625244</v>
      </c>
      <c r="L19" s="59"/>
    </row>
    <row r="20" spans="1:12" ht="23" customHeight="1" thickBot="1" x14ac:dyDescent="0.25">
      <c r="A20" s="155"/>
      <c r="B20" s="56" t="str">
        <f>Data5!C22</f>
        <v>Chile</v>
      </c>
      <c r="C20" s="67">
        <f>Data5!D22</f>
        <v>600.4349365234375</v>
      </c>
      <c r="D20" s="67">
        <f>Data5!E22</f>
        <v>6160.00048828125</v>
      </c>
      <c r="E20" s="67">
        <f>Data5!F22</f>
        <v>11588.7412109375</v>
      </c>
      <c r="F20" s="67">
        <f>Data5!G22</f>
        <v>16560.55859375</v>
      </c>
      <c r="G20" s="67">
        <f>Data5!H22</f>
        <v>19354.24609375</v>
      </c>
      <c r="H20" s="67">
        <f>Data5!I22</f>
        <v>1.5555357933044434</v>
      </c>
      <c r="I20" s="67">
        <f>Data5!J22</f>
        <v>3.2102370262145996</v>
      </c>
      <c r="J20" s="67">
        <f>Data5!K22</f>
        <v>2.0726995468139648</v>
      </c>
      <c r="K20" s="67">
        <f>Data5!L22</f>
        <v>3.1668705940246582</v>
      </c>
      <c r="L20" s="59"/>
    </row>
    <row r="21" spans="1:12" ht="23" customHeight="1" thickBot="1" x14ac:dyDescent="0.25">
      <c r="A21" s="155"/>
      <c r="B21" s="56" t="str">
        <f>Data5!C23</f>
        <v>Mexico</v>
      </c>
      <c r="C21" s="67">
        <f>Data5!D23</f>
        <v>1052.448486328125</v>
      </c>
      <c r="D21" s="67">
        <f>Data5!E23</f>
        <v>12415.943359375</v>
      </c>
      <c r="E21" s="67">
        <f>Data5!F23</f>
        <v>13548.5615234375</v>
      </c>
      <c r="F21" s="67">
        <f>Data5!G23</f>
        <v>11943.7685546875</v>
      </c>
      <c r="G21" s="67">
        <f>Data5!H23</f>
        <v>13822.1337890625</v>
      </c>
      <c r="H21" s="67">
        <f>Data5!I23</f>
        <v>1.1510865688323975</v>
      </c>
      <c r="I21" s="67">
        <f>Data5!J23</f>
        <v>0.43744903802871704</v>
      </c>
      <c r="J21" s="67">
        <f>Data5!K23</f>
        <v>7.9995334148406982E-2</v>
      </c>
      <c r="K21" s="67">
        <f>Data5!L23</f>
        <v>2.9643166065216064</v>
      </c>
      <c r="L21" s="59"/>
    </row>
    <row r="22" spans="1:12" ht="23" customHeight="1" thickBot="1" x14ac:dyDescent="0.25">
      <c r="A22" s="155"/>
      <c r="B22" s="1" t="str">
        <f>Data5!C24</f>
        <v>Brazil</v>
      </c>
      <c r="C22" s="67">
        <f>Data5!D24</f>
        <v>722.0338134765625</v>
      </c>
      <c r="D22" s="67">
        <f>Data5!E24</f>
        <v>8915.9365234375</v>
      </c>
      <c r="E22" s="67">
        <f>Data5!F24</f>
        <v>9569.7578125</v>
      </c>
      <c r="F22" s="67">
        <f>Data5!G24</f>
        <v>11504.8095703125</v>
      </c>
      <c r="G22" s="67">
        <f>Data5!H24</f>
        <v>13109.828125</v>
      </c>
      <c r="H22" s="67">
        <f>Data5!I24</f>
        <v>1.2968010902404785</v>
      </c>
      <c r="I22" s="67">
        <f>Data5!J24</f>
        <v>0.35446497797966003</v>
      </c>
      <c r="J22" s="67">
        <f>Data5!K24</f>
        <v>1.266975998878479</v>
      </c>
      <c r="K22" s="67">
        <f>Data5!L24</f>
        <v>2.6463501453399658</v>
      </c>
      <c r="L22" s="59"/>
    </row>
    <row r="23" spans="1:12" ht="23" customHeight="1" thickBot="1" x14ac:dyDescent="0.25">
      <c r="A23" s="155"/>
      <c r="B23" s="45" t="str">
        <f>Data5!C25</f>
        <v>Colombia</v>
      </c>
      <c r="C23" s="67">
        <f>Data5!D25</f>
        <v>832.6033935546875</v>
      </c>
      <c r="D23" s="67">
        <f>Data5!E25</f>
        <v>6324.783203125</v>
      </c>
      <c r="E23" s="67">
        <f>Data5!F25</f>
        <v>7518.1923828125</v>
      </c>
      <c r="F23" s="67">
        <f>Data5!G25</f>
        <v>10805.1923828125</v>
      </c>
      <c r="G23" s="67">
        <f>Data5!H25</f>
        <v>12763.9033203125</v>
      </c>
      <c r="H23" s="67">
        <f>Data5!I25</f>
        <v>1.2206426858901978</v>
      </c>
      <c r="I23" s="67">
        <f>Data5!J25</f>
        <v>0.86799532175064087</v>
      </c>
      <c r="J23" s="67">
        <f>Data5!K25</f>
        <v>2.1397528648376465</v>
      </c>
      <c r="K23" s="67">
        <f>Data5!L25</f>
        <v>3.3880167007446289</v>
      </c>
      <c r="L23" s="59"/>
    </row>
    <row r="24" spans="1:12" ht="23" customHeight="1" thickBot="1" x14ac:dyDescent="0.25">
      <c r="A24" s="156"/>
      <c r="B24" s="56" t="str">
        <f>Data5!C26</f>
        <v>Other Latin America</v>
      </c>
      <c r="C24" s="67">
        <f>Data5!D26</f>
        <v>544.885986328125</v>
      </c>
      <c r="D24" s="67">
        <f>Data5!E26</f>
        <v>6880.4130859375</v>
      </c>
      <c r="E24" s="67">
        <f>Data5!F26</f>
        <v>6952.572265625</v>
      </c>
      <c r="F24" s="67">
        <f>Data5!G26</f>
        <v>8655.697265625</v>
      </c>
      <c r="G24" s="67">
        <f>Data5!H26</f>
        <v>10159.318359375</v>
      </c>
      <c r="H24" s="67">
        <f>Data5!I26</f>
        <v>1.3087433576583862</v>
      </c>
      <c r="I24" s="67">
        <f>Data5!J26</f>
        <v>5.2178781479597092E-2</v>
      </c>
      <c r="J24" s="67">
        <f>Data5!K26</f>
        <v>1.5286850929260254</v>
      </c>
      <c r="K24" s="67">
        <f>Data5!L26</f>
        <v>3.2553341388702393</v>
      </c>
      <c r="L24" s="59"/>
    </row>
    <row r="25" spans="1:12" ht="23" customHeight="1" thickBot="1" x14ac:dyDescent="0.25">
      <c r="A25" s="154" t="str">
        <f>Data5!B27</f>
        <v>MENA</v>
      </c>
      <c r="B25" s="45" t="str">
        <f>Data5!C27</f>
        <v>United Arab Emirates</v>
      </c>
      <c r="C25" s="67">
        <f>Data5!D27</f>
        <v>448.92147827148438</v>
      </c>
      <c r="D25" s="67">
        <f>Data5!E27</f>
        <v>122996.5078125</v>
      </c>
      <c r="E25" s="67">
        <f>Data5!F27</f>
        <v>65164.02734375</v>
      </c>
      <c r="F25" s="67">
        <f>Data5!G27</f>
        <v>48366.47265625</v>
      </c>
      <c r="G25" s="67">
        <f>Data5!H27</f>
        <v>53645.625</v>
      </c>
      <c r="H25" s="67">
        <f>Data5!I27</f>
        <v>2.1486728191375732</v>
      </c>
      <c r="I25" s="67">
        <f>Data5!J27</f>
        <v>-3.1263289451599121</v>
      </c>
      <c r="J25" s="67">
        <f>Data5!K27</f>
        <v>-0.77501201629638672</v>
      </c>
      <c r="K25" s="67">
        <f>Data5!L27</f>
        <v>2.093472957611084</v>
      </c>
      <c r="L25" s="59"/>
    </row>
    <row r="26" spans="1:12" ht="23" customHeight="1" thickBot="1" x14ac:dyDescent="0.25">
      <c r="A26" s="155"/>
      <c r="B26" s="45" t="str">
        <f>Data5!C28</f>
        <v>Saudi Arabia</v>
      </c>
      <c r="C26" s="67">
        <f>Data5!D28</f>
        <v>1031.30029296875</v>
      </c>
      <c r="D26" s="67">
        <f>Data5!E28</f>
        <v>103553.6171875</v>
      </c>
      <c r="E26" s="67">
        <f>Data5!F28</f>
        <v>40415.03125</v>
      </c>
      <c r="F26" s="67">
        <f>Data5!G28</f>
        <v>41350.97265625</v>
      </c>
      <c r="G26" s="67">
        <f>Data5!H28</f>
        <v>48625.16796875</v>
      </c>
      <c r="H26" s="67">
        <f>Data5!I28</f>
        <v>1.7273359298706055</v>
      </c>
      <c r="I26" s="67">
        <f>Data5!J28</f>
        <v>-4.5954952239990234</v>
      </c>
      <c r="J26" s="67">
        <f>Data5!K28</f>
        <v>0.74250113964080811</v>
      </c>
      <c r="K26" s="67">
        <f>Data5!L28</f>
        <v>3.2939968109130859</v>
      </c>
      <c r="L26" s="59"/>
    </row>
    <row r="27" spans="1:12" ht="23" customHeight="1" thickBot="1" x14ac:dyDescent="0.25">
      <c r="A27" s="155"/>
      <c r="B27" s="45" t="str">
        <f>Data5!C29</f>
        <v>Turkiye</v>
      </c>
      <c r="C27" s="67">
        <f>Data5!D29</f>
        <v>602.97540283203125</v>
      </c>
      <c r="D27" s="67">
        <f>Data5!E29</f>
        <v>6594.0439453125</v>
      </c>
      <c r="E27" s="67">
        <f>Data5!F29</f>
        <v>9733.1025390625</v>
      </c>
      <c r="F27" s="67">
        <f>Data5!G29</f>
        <v>18187.853515625</v>
      </c>
      <c r="G27" s="67">
        <f>Data5!H29</f>
        <v>24358.060546875</v>
      </c>
      <c r="H27" s="67">
        <f>Data5!I29</f>
        <v>1.6574712991714478</v>
      </c>
      <c r="I27" s="67">
        <f>Data5!J29</f>
        <v>1.9659037590026855</v>
      </c>
      <c r="J27" s="67">
        <f>Data5!K29</f>
        <v>3.7374711036682129</v>
      </c>
      <c r="K27" s="67">
        <f>Data5!L29</f>
        <v>6.016204833984375</v>
      </c>
      <c r="L27" s="59"/>
    </row>
    <row r="28" spans="1:12" ht="23" customHeight="1" thickBot="1" x14ac:dyDescent="0.25">
      <c r="A28" s="155"/>
      <c r="B28" s="45" t="str">
        <f>Data5!C30</f>
        <v>Egypt</v>
      </c>
      <c r="C28" s="67">
        <f>Data5!D30</f>
        <v>804.677490234375</v>
      </c>
      <c r="D28" s="67">
        <f>Data5!E30</f>
        <v>4924.431640625</v>
      </c>
      <c r="E28" s="67">
        <f>Data5!F30</f>
        <v>8226.2880859375</v>
      </c>
      <c r="F28" s="67">
        <f>Data5!G30</f>
        <v>11830.5283203125</v>
      </c>
      <c r="G28" s="67">
        <f>Data5!H30</f>
        <v>13136.634765625</v>
      </c>
      <c r="H28" s="67">
        <f>Data5!I30</f>
        <v>1.2489432096481323</v>
      </c>
      <c r="I28" s="67">
        <f>Data5!J30</f>
        <v>2.5988254547119141</v>
      </c>
      <c r="J28" s="67">
        <f>Data5!K30</f>
        <v>1.8899171352386475</v>
      </c>
      <c r="K28" s="67">
        <f>Data5!L30</f>
        <v>2.1165175437927246</v>
      </c>
      <c r="L28" s="59"/>
    </row>
    <row r="29" spans="1:12" ht="23" customHeight="1" thickBot="1" x14ac:dyDescent="0.25">
      <c r="A29" s="155"/>
      <c r="B29" s="56" t="str">
        <f>Data5!C31</f>
        <v>Algeria</v>
      </c>
      <c r="C29" s="67">
        <f>Data5!D31</f>
        <v>642.2784423828125</v>
      </c>
      <c r="D29" s="67">
        <f>Data5!E31</f>
        <v>7829.6884765625</v>
      </c>
      <c r="E29" s="67">
        <f>Data5!F31</f>
        <v>8054.25439453125</v>
      </c>
      <c r="F29" s="67">
        <f>Data5!G31</f>
        <v>9950.34375</v>
      </c>
      <c r="G29" s="67">
        <f>Data5!H31</f>
        <v>11393.84765625</v>
      </c>
      <c r="H29" s="67">
        <f>Data5!I31</f>
        <v>1.2863394021987915</v>
      </c>
      <c r="I29" s="67">
        <f>Data5!J31</f>
        <v>0.14148835837841034</v>
      </c>
      <c r="J29" s="67">
        <f>Data5!K31</f>
        <v>1.3971626758575439</v>
      </c>
      <c r="K29" s="67">
        <f>Data5!L31</f>
        <v>2.746363639831543</v>
      </c>
      <c r="L29" s="59"/>
    </row>
    <row r="30" spans="1:12" ht="23" customHeight="1" thickBot="1" x14ac:dyDescent="0.25">
      <c r="A30" s="155"/>
      <c r="B30" s="56" t="str">
        <f>Data5!C32</f>
        <v>Other MENA</v>
      </c>
      <c r="C30" s="67">
        <f>Data5!D32</f>
        <v>1014.001708984375</v>
      </c>
      <c r="D30" s="67">
        <f>Data5!E32</f>
        <v>8818.67578125</v>
      </c>
      <c r="E30" s="67">
        <f>Data5!F32</f>
        <v>8632.3818359375</v>
      </c>
      <c r="F30" s="67">
        <f>Data5!G32</f>
        <v>9742.6572265625</v>
      </c>
      <c r="G30" s="67">
        <f>Data5!H32</f>
        <v>9848.681640625</v>
      </c>
      <c r="H30" s="67">
        <f>Data5!I32</f>
        <v>1.0155365467071533</v>
      </c>
      <c r="I30" s="67">
        <f>Data5!J32</f>
        <v>-0.10669930279254913</v>
      </c>
      <c r="J30" s="67">
        <f>Data5!K32</f>
        <v>0.52866101264953613</v>
      </c>
      <c r="K30" s="67">
        <f>Data5!L32</f>
        <v>0.21670821309089661</v>
      </c>
      <c r="L30" s="59"/>
    </row>
    <row r="31" spans="1:12" ht="23" customHeight="1" thickBot="1" x14ac:dyDescent="0.25">
      <c r="A31" s="155"/>
      <c r="B31" s="56" t="str">
        <f>Data5!C33</f>
        <v>Iran</v>
      </c>
      <c r="C31" s="67">
        <f>Data5!D33</f>
        <v>502.864501953125</v>
      </c>
      <c r="D31" s="67">
        <f>Data5!E33</f>
        <v>6538.220703125</v>
      </c>
      <c r="E31" s="67">
        <f>Data5!F33</f>
        <v>6334.34130859375</v>
      </c>
      <c r="F31" s="67">
        <f>Data5!G33</f>
        <v>7443.26611328125</v>
      </c>
      <c r="G31" s="67">
        <f>Data5!H33</f>
        <v>9042.8203125</v>
      </c>
      <c r="H31" s="67">
        <f>Data5!I33</f>
        <v>1.2924612760543823</v>
      </c>
      <c r="I31" s="67">
        <f>Data5!J33</f>
        <v>-0.15827076137065887</v>
      </c>
      <c r="J31" s="67">
        <f>Data5!K33</f>
        <v>1.4341273307800293</v>
      </c>
      <c r="K31" s="67">
        <f>Data5!L33</f>
        <v>3.9700055122375488</v>
      </c>
      <c r="L31" s="59"/>
    </row>
    <row r="32" spans="1:12" ht="23" customHeight="1" thickBot="1" x14ac:dyDescent="0.25">
      <c r="A32" s="156"/>
      <c r="B32" s="1" t="str">
        <f>Data5!C34</f>
        <v>Morocco</v>
      </c>
      <c r="C32" s="67">
        <f>Data5!D34</f>
        <v>505.73486328125</v>
      </c>
      <c r="D32" s="67">
        <f>Data5!E34</f>
        <v>2609.34130859375</v>
      </c>
      <c r="E32" s="67">
        <f>Data5!F34</f>
        <v>3288.47021484375</v>
      </c>
      <c r="F32" s="67">
        <f>Data5!G34</f>
        <v>6066.07421875</v>
      </c>
      <c r="G32" s="67">
        <f>Data5!H34</f>
        <v>7146.048828125</v>
      </c>
      <c r="H32" s="67">
        <f>Data5!I34</f>
        <v>1.183977484703064</v>
      </c>
      <c r="I32" s="67">
        <f>Data5!J34</f>
        <v>1.1633381843566895</v>
      </c>
      <c r="J32" s="67">
        <f>Data5!K34</f>
        <v>3.1532421112060547</v>
      </c>
      <c r="K32" s="67">
        <f>Data5!L34</f>
        <v>3.3312427997589111</v>
      </c>
      <c r="L32" s="59"/>
    </row>
    <row r="33" spans="1:12" ht="23" customHeight="1" thickBot="1" x14ac:dyDescent="0.25">
      <c r="A33" s="154" t="str">
        <f>Data5!B35</f>
        <v>North America &amp; Oceania</v>
      </c>
      <c r="B33" s="45" t="str">
        <f>Data5!C35</f>
        <v>USA</v>
      </c>
      <c r="C33" s="67">
        <f>Data5!D35</f>
        <v>1777.0087890625</v>
      </c>
      <c r="D33" s="67">
        <f>Data5!E35</f>
        <v>23764.19921875</v>
      </c>
      <c r="E33" s="67">
        <f>Data5!F35</f>
        <v>37661.9609375</v>
      </c>
      <c r="F33" s="67">
        <f>Data5!G35</f>
        <v>43821.80078125</v>
      </c>
      <c r="G33" s="67">
        <f>Data5!H35</f>
        <v>49940.40234375</v>
      </c>
      <c r="H33" s="67">
        <f>Data5!I35</f>
        <v>1.4936670064926147</v>
      </c>
      <c r="I33" s="67">
        <f>Data5!J35</f>
        <v>2.3290605545043945</v>
      </c>
      <c r="J33" s="67">
        <f>Data5!K35</f>
        <v>1.1351132392883301</v>
      </c>
      <c r="K33" s="67">
        <f>Data5!L35</f>
        <v>2.648442268371582</v>
      </c>
      <c r="L33" s="59"/>
    </row>
    <row r="34" spans="1:12" ht="23" customHeight="1" thickBot="1" x14ac:dyDescent="0.25">
      <c r="A34" s="155"/>
      <c r="B34" s="56" t="str">
        <f>Data5!C36</f>
        <v>Canada</v>
      </c>
      <c r="C34" s="67">
        <f>Data5!D36</f>
        <v>1000.8842163085938</v>
      </c>
      <c r="D34" s="67">
        <f>Data5!E36</f>
        <v>23569.93359375</v>
      </c>
      <c r="E34" s="67">
        <f>Data5!F36</f>
        <v>32637.435546875</v>
      </c>
      <c r="F34" s="67">
        <f>Data5!G36</f>
        <v>37533.59375</v>
      </c>
      <c r="G34" s="67">
        <f>Data5!H36</f>
        <v>42166.84765625</v>
      </c>
      <c r="H34" s="67">
        <f>Data5!I36</f>
        <v>1.6764531135559082</v>
      </c>
      <c r="I34" s="67">
        <f>Data5!J36</f>
        <v>1.6407554149627686</v>
      </c>
      <c r="J34" s="67">
        <f>Data5!K36</f>
        <v>1.0299652814865112</v>
      </c>
      <c r="K34" s="67">
        <f>Data5!L36</f>
        <v>2.3552670478820801</v>
      </c>
      <c r="L34" s="59"/>
    </row>
    <row r="35" spans="1:12" ht="23" customHeight="1" thickBot="1" x14ac:dyDescent="0.25">
      <c r="A35" s="155"/>
      <c r="B35" s="45" t="str">
        <f>Data5!C37</f>
        <v>Australia</v>
      </c>
      <c r="C35" s="67">
        <f>Data5!D37</f>
        <v>847.40863037109375</v>
      </c>
      <c r="D35" s="67">
        <f>Data5!E37</f>
        <v>21172.515625</v>
      </c>
      <c r="E35" s="67">
        <f>Data5!F37</f>
        <v>30623.154296875</v>
      </c>
      <c r="F35" s="67">
        <f>Data5!G37</f>
        <v>38907.625</v>
      </c>
      <c r="G35" s="67">
        <f>Data5!H37</f>
        <v>41639.875</v>
      </c>
      <c r="H35" s="67">
        <f>Data5!I37</f>
        <v>1.7460145950317383</v>
      </c>
      <c r="I35" s="67">
        <f>Data5!J37</f>
        <v>1.8623929023742676</v>
      </c>
      <c r="J35" s="67">
        <f>Data5!K37</f>
        <v>1.2367929220199585</v>
      </c>
      <c r="K35" s="67">
        <f>Data5!L37</f>
        <v>1.366613507270813</v>
      </c>
      <c r="L35" s="59"/>
    </row>
    <row r="36" spans="1:12" ht="23" customHeight="1" thickBot="1" x14ac:dyDescent="0.25">
      <c r="A36" s="155"/>
      <c r="B36" s="45" t="str">
        <f>Data5!C38</f>
        <v>New Zealand</v>
      </c>
      <c r="C36" s="67">
        <f>Data5!D38</f>
        <v>761.202392578125</v>
      </c>
      <c r="D36" s="67">
        <f>Data5!E38</f>
        <v>16853.32421875</v>
      </c>
      <c r="E36" s="67">
        <f>Data5!F38</f>
        <v>20553.388671875</v>
      </c>
      <c r="F36" s="67">
        <f>Data5!G38</f>
        <v>31809.326171875</v>
      </c>
      <c r="G36" s="67">
        <f>Data5!H38</f>
        <v>32442.92578125</v>
      </c>
      <c r="H36" s="67">
        <f>Data5!I38</f>
        <v>1.6816897392272949</v>
      </c>
      <c r="I36" s="67">
        <f>Data5!J38</f>
        <v>0.99733006954193115</v>
      </c>
      <c r="J36" s="67">
        <f>Data5!K38</f>
        <v>1.8425965309143066</v>
      </c>
      <c r="K36" s="67">
        <f>Data5!L38</f>
        <v>0.39523673057556152</v>
      </c>
      <c r="L36" s="59"/>
    </row>
    <row r="37" spans="1:12" ht="23" customHeight="1" thickBot="1" x14ac:dyDescent="0.25">
      <c r="A37" s="156"/>
      <c r="B37" s="45" t="str">
        <f>Data5!C39</f>
        <v>Other North America &amp; Oceania</v>
      </c>
      <c r="C37" s="67">
        <f>Data5!D39</f>
        <v>311.58282470703125</v>
      </c>
      <c r="D37" s="67">
        <f>Data5!E39</f>
        <v>4737.18212890625</v>
      </c>
      <c r="E37" s="67">
        <f>Data5!F39</f>
        <v>5402.96728515625</v>
      </c>
      <c r="F37" s="67">
        <f>Data5!G39</f>
        <v>4803.74267578125</v>
      </c>
      <c r="G37" s="67">
        <f>Data5!H39</f>
        <v>4771.2880859375</v>
      </c>
      <c r="H37" s="67">
        <f>Data5!I39</f>
        <v>1.220142126083374</v>
      </c>
      <c r="I37" s="67">
        <f>Data5!J39</f>
        <v>0.65969556570053101</v>
      </c>
      <c r="J37" s="67">
        <f>Data5!K39</f>
        <v>-0.49609333276748657</v>
      </c>
      <c r="K37" s="67">
        <f>Data5!L39</f>
        <v>-0.1354888528585434</v>
      </c>
      <c r="L37" s="59"/>
    </row>
    <row r="38" spans="1:12" ht="23" customHeight="1" thickBot="1" x14ac:dyDescent="0.25">
      <c r="A38" s="154" t="str">
        <f>Data5!B40</f>
        <v>Russia &amp; Central Asia</v>
      </c>
      <c r="B38" s="45" t="str">
        <f>Data5!C40</f>
        <v>Russia</v>
      </c>
      <c r="C38" s="67">
        <f>Data5!D40</f>
        <v>807.11590576171875</v>
      </c>
      <c r="D38" s="67">
        <f>Data5!E40</f>
        <v>13502.1787109375</v>
      </c>
      <c r="E38" s="67">
        <f>Data5!F40</f>
        <v>14894.9892578125</v>
      </c>
      <c r="F38" s="67">
        <f>Data5!G40</f>
        <v>24669.267578125</v>
      </c>
      <c r="G38" s="67">
        <f>Data5!H40</f>
        <v>29058.376953125</v>
      </c>
      <c r="H38" s="67">
        <f>Data5!I40</f>
        <v>1.6054600477218628</v>
      </c>
      <c r="I38" s="67">
        <f>Data5!J40</f>
        <v>0.49207565188407898</v>
      </c>
      <c r="J38" s="67">
        <f>Data5!K40</f>
        <v>2.7091763019561768</v>
      </c>
      <c r="K38" s="67">
        <f>Data5!L40</f>
        <v>3.3291890621185303</v>
      </c>
    </row>
    <row r="39" spans="1:12" ht="23" customHeight="1" thickBot="1" x14ac:dyDescent="0.25">
      <c r="A39" s="156"/>
      <c r="B39" s="56" t="str">
        <f>Data5!C41</f>
        <v>Other Russia &amp; Central Asia</v>
      </c>
      <c r="C39" s="67">
        <f>Data5!D41</f>
        <v>655.97576904296875</v>
      </c>
      <c r="D39" s="67">
        <f>Data5!E41</f>
        <v>9870.197265625</v>
      </c>
      <c r="E39" s="67">
        <f>Data5!F41</f>
        <v>4965.7197265625</v>
      </c>
      <c r="F39" s="67">
        <f>Data5!G41</f>
        <v>10406.1533203125</v>
      </c>
      <c r="G39" s="67">
        <f>Data5!H41</f>
        <v>11971.2490234375</v>
      </c>
      <c r="H39" s="67">
        <f>Data5!I41</f>
        <v>1.2990944385528564</v>
      </c>
      <c r="I39" s="67">
        <f>Data5!J41</f>
        <v>-3.3764879703521729</v>
      </c>
      <c r="J39" s="67">
        <f>Data5!K41</f>
        <v>3.5824763774871826</v>
      </c>
      <c r="K39" s="67">
        <f>Data5!L41</f>
        <v>2.8418419361114502</v>
      </c>
    </row>
    <row r="40" spans="1:12" ht="23" customHeight="1" thickBot="1" x14ac:dyDescent="0.25">
      <c r="A40" s="154" t="str">
        <f>Data5!B42</f>
        <v>South &amp; South-East Asia</v>
      </c>
      <c r="B40" s="56" t="str">
        <f>Data5!C42</f>
        <v>Thailand</v>
      </c>
      <c r="C40" s="67">
        <f>Data5!D42</f>
        <v>791.96588134765625</v>
      </c>
      <c r="D40" s="67">
        <f>Data5!E42</f>
        <v>3928.220947265625</v>
      </c>
      <c r="E40" s="67">
        <f>Data5!F42</f>
        <v>8030.65478515625</v>
      </c>
      <c r="F40" s="67">
        <f>Data5!G42</f>
        <v>12422.2734375</v>
      </c>
      <c r="G40" s="67">
        <f>Data5!H42</f>
        <v>14093.056640625</v>
      </c>
      <c r="H40" s="67">
        <f>Data5!I42</f>
        <v>1.2877404689788818</v>
      </c>
      <c r="I40" s="67">
        <f>Data5!J42</f>
        <v>3.6400833129882812</v>
      </c>
      <c r="J40" s="67">
        <f>Data5!K42</f>
        <v>2.275160551071167</v>
      </c>
      <c r="K40" s="67">
        <f>Data5!L42</f>
        <v>2.555941104888916</v>
      </c>
    </row>
    <row r="41" spans="1:12" ht="23" customHeight="1" thickBot="1" x14ac:dyDescent="0.25">
      <c r="A41" s="155"/>
      <c r="B41" s="56" t="str">
        <f>Data5!C43</f>
        <v>Other South &amp; South-East Asia</v>
      </c>
      <c r="C41" s="67">
        <f>Data5!D43</f>
        <v>1532.638671875</v>
      </c>
      <c r="D41" s="67">
        <f>Data5!E43</f>
        <v>3164.76123046875</v>
      </c>
      <c r="E41" s="67">
        <f>Data5!F43</f>
        <v>6242.54296875</v>
      </c>
      <c r="F41" s="67">
        <f>Data5!G43</f>
        <v>10938.6953125</v>
      </c>
      <c r="G41" s="67">
        <f>Data5!H43</f>
        <v>12319.26171875</v>
      </c>
      <c r="H41" s="67">
        <f>Data5!I43</f>
        <v>0.93060261011123657</v>
      </c>
      <c r="I41" s="67">
        <f>Data5!J43</f>
        <v>3.4548914432525635</v>
      </c>
      <c r="J41" s="67">
        <f>Data5!K43</f>
        <v>2.7564105987548828</v>
      </c>
      <c r="K41" s="67">
        <f>Data5!L43</f>
        <v>2.4056282043457031</v>
      </c>
    </row>
    <row r="42" spans="1:12" ht="23" customHeight="1" thickBot="1" x14ac:dyDescent="0.25">
      <c r="A42" s="155"/>
      <c r="B42" s="1" t="str">
        <f>Data5!C44</f>
        <v>Viet Nam</v>
      </c>
      <c r="C42" s="67">
        <f>Data5!D44</f>
        <v>636.47589111328125</v>
      </c>
      <c r="D42" s="67">
        <f>Data5!E44</f>
        <v>1012.685546875</v>
      </c>
      <c r="E42" s="67">
        <f>Data5!F44</f>
        <v>2379.1806640625</v>
      </c>
      <c r="F42" s="67">
        <f>Data5!G44</f>
        <v>7819.96728515625</v>
      </c>
      <c r="G42" s="67">
        <f>Data5!H44</f>
        <v>10207.1640625</v>
      </c>
      <c r="H42" s="67">
        <f>Data5!I44</f>
        <v>1.240924596786499</v>
      </c>
      <c r="I42" s="67">
        <f>Data5!J44</f>
        <v>4.3632612228393555</v>
      </c>
      <c r="J42" s="67">
        <f>Data5!K44</f>
        <v>5.9983501434326172</v>
      </c>
      <c r="K42" s="67">
        <f>Data5!L44</f>
        <v>5.4726920127868652</v>
      </c>
    </row>
    <row r="43" spans="1:12" ht="23" customHeight="1" thickBot="1" x14ac:dyDescent="0.25">
      <c r="A43" s="155"/>
      <c r="B43" s="45" t="str">
        <f>Data5!C45</f>
        <v>Indonesia</v>
      </c>
      <c r="C43" s="67">
        <f>Data5!D45</f>
        <v>562.22808837890625</v>
      </c>
      <c r="D43" s="67">
        <f>Data5!E45</f>
        <v>2303.2431640625</v>
      </c>
      <c r="E43" s="67">
        <f>Data5!F45</f>
        <v>3999.527587890625</v>
      </c>
      <c r="F43" s="67">
        <f>Data5!G45</f>
        <v>7654.74853515625</v>
      </c>
      <c r="G43" s="67">
        <f>Data5!H45</f>
        <v>9755.375</v>
      </c>
      <c r="H43" s="67">
        <f>Data5!I45</f>
        <v>1.276373028755188</v>
      </c>
      <c r="I43" s="67">
        <f>Data5!J45</f>
        <v>2.7977108955383301</v>
      </c>
      <c r="J43" s="67">
        <f>Data5!K45</f>
        <v>3.6309337615966797</v>
      </c>
      <c r="K43" s="67">
        <f>Data5!L45</f>
        <v>4.9693741798400879</v>
      </c>
    </row>
    <row r="44" spans="1:12" ht="23" customHeight="1" thickBot="1" x14ac:dyDescent="0.25">
      <c r="A44" s="155"/>
      <c r="B44" s="56" t="str">
        <f>Data5!C46</f>
        <v>Philippines</v>
      </c>
      <c r="C44" s="67">
        <f>Data5!D46</f>
        <v>884.0986328125</v>
      </c>
      <c r="D44" s="67">
        <f>Data5!E46</f>
        <v>3602.54638671875</v>
      </c>
      <c r="E44" s="67">
        <f>Data5!F46</f>
        <v>3469.635986328125</v>
      </c>
      <c r="F44" s="67">
        <f>Data5!G46</f>
        <v>5929.68212890625</v>
      </c>
      <c r="G44" s="67">
        <f>Data5!H46</f>
        <v>7613.03076171875</v>
      </c>
      <c r="H44" s="67">
        <f>Data5!I46</f>
        <v>0.96150320768356323</v>
      </c>
      <c r="I44" s="67">
        <f>Data5!J46</f>
        <v>-0.18777990341186523</v>
      </c>
      <c r="J44" s="67">
        <f>Data5!K46</f>
        <v>3.1931684017181396</v>
      </c>
      <c r="K44" s="67">
        <f>Data5!L46</f>
        <v>5.124812126159668</v>
      </c>
    </row>
    <row r="45" spans="1:12" ht="23" customHeight="1" thickBot="1" x14ac:dyDescent="0.25">
      <c r="A45" s="155"/>
      <c r="B45" s="45" t="str">
        <f>Data5!C47</f>
        <v>India</v>
      </c>
      <c r="C45" s="67">
        <f>Data5!D47</f>
        <v>810.89984130859375</v>
      </c>
      <c r="D45" s="67">
        <f>Data5!E47</f>
        <v>1145.1240234375</v>
      </c>
      <c r="E45" s="67">
        <f>Data5!F47</f>
        <v>2146.032470703125</v>
      </c>
      <c r="F45" s="67">
        <f>Data5!G47</f>
        <v>5038.5693359375</v>
      </c>
      <c r="G45" s="67">
        <f>Data5!H47</f>
        <v>6995.490234375</v>
      </c>
      <c r="H45" s="67">
        <f>Data5!I47</f>
        <v>0.96232372522354126</v>
      </c>
      <c r="I45" s="67">
        <f>Data5!J47</f>
        <v>3.1903743743896484</v>
      </c>
      <c r="J45" s="67">
        <f>Data5!K47</f>
        <v>4.8400630950927734</v>
      </c>
      <c r="K45" s="67">
        <f>Data5!L47</f>
        <v>6.7830157279968262</v>
      </c>
    </row>
    <row r="46" spans="1:12" ht="23" customHeight="1" thickBot="1" x14ac:dyDescent="0.25">
      <c r="A46" s="155"/>
      <c r="B46" s="45" t="str">
        <f>Data5!C48</f>
        <v>Bangladesh</v>
      </c>
      <c r="C46" s="67">
        <f>Data5!D48</f>
        <v>1152.0445556640625</v>
      </c>
      <c r="D46" s="67">
        <f>Data5!E48</f>
        <v>1124.5770263671875</v>
      </c>
      <c r="E46" s="67">
        <f>Data5!F48</f>
        <v>1703.97802734375</v>
      </c>
      <c r="F46" s="67">
        <f>Data5!G48</f>
        <v>5295.71484375</v>
      </c>
      <c r="G46" s="67">
        <f>Data5!H48</f>
        <v>6363.22802734375</v>
      </c>
      <c r="H46" s="67">
        <f>Data5!I48</f>
        <v>0.76244640350341797</v>
      </c>
      <c r="I46" s="67">
        <f>Data5!J48</f>
        <v>2.0995292663574219</v>
      </c>
      <c r="J46" s="67">
        <f>Data5!K48</f>
        <v>5.4116325378417969</v>
      </c>
      <c r="K46" s="67">
        <f>Data5!L48</f>
        <v>3.7410345077514648</v>
      </c>
    </row>
    <row r="47" spans="1:12" ht="23" customHeight="1" thickBot="1" x14ac:dyDescent="0.25">
      <c r="A47" s="155"/>
      <c r="B47" s="45" t="str">
        <f>Data5!C49</f>
        <v>Pakistan</v>
      </c>
      <c r="C47" s="67">
        <f>Data5!D49</f>
        <v>908.58953857421875</v>
      </c>
      <c r="D47" s="67">
        <f>Data5!E49</f>
        <v>1588.6690673828125</v>
      </c>
      <c r="E47" s="67">
        <f>Data5!F49</f>
        <v>2696.25244140625</v>
      </c>
      <c r="F47" s="67">
        <f>Data5!G49</f>
        <v>4172.20654296875</v>
      </c>
      <c r="G47" s="67">
        <f>Data5!H49</f>
        <v>4349.1474609375</v>
      </c>
      <c r="H47" s="67">
        <f>Data5!I49</f>
        <v>0.69835686683654785</v>
      </c>
      <c r="I47" s="67">
        <f>Data5!J49</f>
        <v>2.6801173686981201</v>
      </c>
      <c r="J47" s="67">
        <f>Data5!K49</f>
        <v>1.9308726787567139</v>
      </c>
      <c r="K47" s="67">
        <f>Data5!L49</f>
        <v>0.83415591716766357</v>
      </c>
    </row>
    <row r="48" spans="1:12" ht="23" customHeight="1" thickBot="1" x14ac:dyDescent="0.25">
      <c r="A48" s="156"/>
      <c r="B48" s="45" t="str">
        <f>Data5!C50</f>
        <v>Myanmar</v>
      </c>
      <c r="C48" s="67">
        <f>Data5!D50</f>
        <v>320.77947998046875</v>
      </c>
      <c r="D48" s="67">
        <f>Data5!E50</f>
        <v>488.7783203125</v>
      </c>
      <c r="E48" s="67">
        <f>Data5!F50</f>
        <v>829.046630859375</v>
      </c>
      <c r="F48" s="67">
        <f>Data5!G50</f>
        <v>3658.475341796875</v>
      </c>
      <c r="G48" s="67">
        <f>Data5!H50</f>
        <v>3684.119873046875</v>
      </c>
      <c r="H48" s="67">
        <f>Data5!I50</f>
        <v>1.0908099412918091</v>
      </c>
      <c r="I48" s="67">
        <f>Data5!J50</f>
        <v>2.6770427227020264</v>
      </c>
      <c r="J48" s="67">
        <f>Data5!K50</f>
        <v>6.1476030349731445</v>
      </c>
      <c r="K48" s="67">
        <f>Data5!L50</f>
        <v>0.13980017602443695</v>
      </c>
    </row>
    <row r="49" spans="1:11" ht="23" customHeight="1" thickBot="1" x14ac:dyDescent="0.25">
      <c r="A49" s="154" t="str">
        <f>Data5!B51</f>
        <v>Sub-Saharan Africa</v>
      </c>
      <c r="B49" s="56" t="str">
        <f>Data5!C51</f>
        <v>South Africa</v>
      </c>
      <c r="C49" s="67">
        <f>Data5!D51</f>
        <v>2048.566650390625</v>
      </c>
      <c r="D49" s="67">
        <f>Data5!E51</f>
        <v>7733.71875</v>
      </c>
      <c r="E49" s="67">
        <f>Data5!F51</f>
        <v>7458.4228515625</v>
      </c>
      <c r="F49" s="67">
        <f>Data5!G51</f>
        <v>8826.0615234375</v>
      </c>
      <c r="G49" s="67">
        <f>Data5!H51</f>
        <v>9131.0087890625</v>
      </c>
      <c r="H49" s="67">
        <f>Data5!I51</f>
        <v>0.66644906997680664</v>
      </c>
      <c r="I49" s="67">
        <f>Data5!J51</f>
        <v>-0.18106535077095032</v>
      </c>
      <c r="J49" s="67">
        <f>Data5!K51</f>
        <v>0.81261265277862549</v>
      </c>
      <c r="K49" s="67">
        <f>Data5!L51</f>
        <v>0.68165761232376099</v>
      </c>
    </row>
    <row r="50" spans="1:11" ht="23" customHeight="1" thickBot="1" x14ac:dyDescent="0.25">
      <c r="A50" s="155"/>
      <c r="B50" s="56" t="str">
        <f>Data5!C52</f>
        <v>Nigeria</v>
      </c>
      <c r="C50" s="67">
        <f>Data5!D52</f>
        <v>686.46368408203125</v>
      </c>
      <c r="D50" s="67">
        <f>Data5!E52</f>
        <v>3303.63134765625</v>
      </c>
      <c r="E50" s="67">
        <f>Data5!F52</f>
        <v>2675.793701171875</v>
      </c>
      <c r="F50" s="67">
        <f>Data5!G52</f>
        <v>5559.005859375</v>
      </c>
      <c r="G50" s="67">
        <f>Data5!H52</f>
        <v>5774.8212890625</v>
      </c>
      <c r="H50" s="67">
        <f>Data5!I52</f>
        <v>0.95103126764297485</v>
      </c>
      <c r="I50" s="67">
        <f>Data5!J52</f>
        <v>-1.048346996307373</v>
      </c>
      <c r="J50" s="67">
        <f>Data5!K52</f>
        <v>3.1248753070831299</v>
      </c>
      <c r="K50" s="67">
        <f>Data5!L52</f>
        <v>0.76466917991638184</v>
      </c>
    </row>
    <row r="51" spans="1:11" ht="23" customHeight="1" thickBot="1" x14ac:dyDescent="0.25">
      <c r="A51" s="155"/>
      <c r="B51" s="56" t="str">
        <f>Data5!C53</f>
        <v>Cote d’Ivoire</v>
      </c>
      <c r="C51" s="67">
        <f>Data5!D53</f>
        <v>627.01953125</v>
      </c>
      <c r="D51" s="67">
        <f>Data5!E53</f>
        <v>3420.873291015625</v>
      </c>
      <c r="E51" s="67">
        <f>Data5!F53</f>
        <v>2455.573974609375</v>
      </c>
      <c r="F51" s="67">
        <f>Data5!G53</f>
        <v>4141.1103515625</v>
      </c>
      <c r="G51" s="67">
        <f>Data5!H53</f>
        <v>4940.71923828125</v>
      </c>
      <c r="H51" s="67">
        <f>Data5!I53</f>
        <v>0.92168319225311279</v>
      </c>
      <c r="I51" s="67">
        <f>Data5!J53</f>
        <v>-1.6440129280090332</v>
      </c>
      <c r="J51" s="67">
        <f>Data5!K53</f>
        <v>2.836073637008667</v>
      </c>
      <c r="K51" s="67">
        <f>Data5!L53</f>
        <v>3.5940182209014893</v>
      </c>
    </row>
    <row r="52" spans="1:11" ht="23" customHeight="1" thickBot="1" x14ac:dyDescent="0.25">
      <c r="A52" s="155"/>
      <c r="B52" s="1" t="str">
        <f>Data5!C54</f>
        <v>Kenya</v>
      </c>
      <c r="C52" s="67">
        <f>Data5!D54</f>
        <v>729.568359375</v>
      </c>
      <c r="D52" s="67">
        <f>Data5!E54</f>
        <v>2611.0390625</v>
      </c>
      <c r="E52" s="67">
        <f>Data5!F54</f>
        <v>2477.746337890625</v>
      </c>
      <c r="F52" s="67">
        <f>Data5!G54</f>
        <v>3483.28125</v>
      </c>
      <c r="G52" s="67">
        <f>Data5!H54</f>
        <v>4177.35107421875</v>
      </c>
      <c r="H52" s="67">
        <f>Data5!I54</f>
        <v>0.77856159210205078</v>
      </c>
      <c r="I52" s="67">
        <f>Data5!J54</f>
        <v>-0.26165124773979187</v>
      </c>
      <c r="J52" s="67">
        <f>Data5!K54</f>
        <v>2.1112906932830811</v>
      </c>
      <c r="K52" s="67">
        <f>Data5!L54</f>
        <v>3.7008903026580811</v>
      </c>
    </row>
    <row r="53" spans="1:11" ht="23" customHeight="1" thickBot="1" x14ac:dyDescent="0.25">
      <c r="A53" s="155"/>
      <c r="B53" s="45" t="str">
        <f>Data5!C55</f>
        <v>Other Sub-Saharan Africa</v>
      </c>
      <c r="C53" s="67">
        <f>Data5!D55</f>
        <v>272.4488525390625</v>
      </c>
      <c r="D53" s="67">
        <f>Data5!E55</f>
        <v>1609.8140869140625</v>
      </c>
      <c r="E53" s="67">
        <f>Data5!F55</f>
        <v>2034.8125</v>
      </c>
      <c r="F53" s="67">
        <f>Data5!G55</f>
        <v>2619.34423828125</v>
      </c>
      <c r="G53" s="67">
        <f>Data5!H55</f>
        <v>2886.675048828125</v>
      </c>
      <c r="H53" s="67">
        <f>Data5!I55</f>
        <v>1.0545929670333862</v>
      </c>
      <c r="I53" s="67">
        <f>Data5!J55</f>
        <v>1.178313136100769</v>
      </c>
      <c r="J53" s="67">
        <f>Data5!K55</f>
        <v>1.4086357355117798</v>
      </c>
      <c r="K53" s="67">
        <f>Data5!L55</f>
        <v>1.9626377820968628</v>
      </c>
    </row>
    <row r="54" spans="1:11" ht="23" customHeight="1" thickBot="1" x14ac:dyDescent="0.25">
      <c r="A54" s="155"/>
      <c r="B54" s="56" t="str">
        <f>Data5!C56</f>
        <v>Ethiopia</v>
      </c>
      <c r="C54" s="67">
        <f>Data5!D56</f>
        <v>510.57046508789062</v>
      </c>
      <c r="D54" s="67">
        <f>Data5!E56</f>
        <v>677.5245361328125</v>
      </c>
      <c r="E54" s="67">
        <f>Data5!F56</f>
        <v>691.02105712890625</v>
      </c>
      <c r="F54" s="67">
        <f>Data5!G56</f>
        <v>2076.273681640625</v>
      </c>
      <c r="G54" s="67">
        <f>Data5!H56</f>
        <v>2571.2158203125</v>
      </c>
      <c r="H54" s="67">
        <f>Data5!I56</f>
        <v>0.72107863426208496</v>
      </c>
      <c r="I54" s="67">
        <f>Data5!J56</f>
        <v>9.8671481013298035E-2</v>
      </c>
      <c r="J54" s="67">
        <f>Data5!K56</f>
        <v>5.3964271545410156</v>
      </c>
      <c r="K54" s="67">
        <f>Data5!L56</f>
        <v>4.3688235282897949</v>
      </c>
    </row>
    <row r="55" spans="1:11" ht="23" customHeight="1" thickBot="1" x14ac:dyDescent="0.25">
      <c r="A55" s="155"/>
      <c r="B55" s="45" t="str">
        <f>Data5!C57</f>
        <v>Rwanda</v>
      </c>
      <c r="C55" s="67">
        <f>Data5!D57</f>
        <v>391.74334716796875</v>
      </c>
      <c r="D55" s="67">
        <f>Data5!E57</f>
        <v>799.62762451171875</v>
      </c>
      <c r="E55" s="67">
        <f>Data5!F57</f>
        <v>779.58038330078125</v>
      </c>
      <c r="F55" s="67">
        <f>Data5!G57</f>
        <v>1891.6790771484375</v>
      </c>
      <c r="G55" s="67">
        <f>Data5!H57</f>
        <v>2506.84619140625</v>
      </c>
      <c r="H55" s="67">
        <f>Data5!I57</f>
        <v>0.82837837934494019</v>
      </c>
      <c r="I55" s="67">
        <f>Data5!J57</f>
        <v>-0.12687087059020996</v>
      </c>
      <c r="J55" s="67">
        <f>Data5!K57</f>
        <v>4.7829623222351074</v>
      </c>
      <c r="K55" s="67">
        <f>Data5!L57</f>
        <v>5.7927851676940918</v>
      </c>
    </row>
    <row r="56" spans="1:11" ht="18" customHeight="1" thickBot="1" x14ac:dyDescent="0.25">
      <c r="A56" s="155"/>
      <c r="B56" s="45" t="str">
        <f>Data5!C58</f>
        <v>Mali</v>
      </c>
      <c r="C56" s="67">
        <f>Data5!D58</f>
        <v>671.0673828125</v>
      </c>
      <c r="D56" s="67">
        <f>Data5!E58</f>
        <v>1557.4844970703125</v>
      </c>
      <c r="E56" s="67">
        <f>Data5!F58</f>
        <v>1552.1158447265625</v>
      </c>
      <c r="F56" s="67">
        <f>Data5!G58</f>
        <v>1969.3331298828125</v>
      </c>
      <c r="G56" s="67">
        <f>Data5!H58</f>
        <v>2113.9609375</v>
      </c>
      <c r="H56" s="67">
        <f>Data5!I58</f>
        <v>0.51128000020980835</v>
      </c>
      <c r="I56" s="67">
        <f>Data5!J58</f>
        <v>-1.7263513058423996E-2</v>
      </c>
      <c r="J56" s="67">
        <f>Data5!K58</f>
        <v>1.2434448003768921</v>
      </c>
      <c r="K56" s="67">
        <f>Data5!L58</f>
        <v>1.4274609088897705</v>
      </c>
    </row>
    <row r="57" spans="1:11" ht="23" customHeight="1" thickBot="1" x14ac:dyDescent="0.25">
      <c r="A57" s="155"/>
      <c r="B57" s="45" t="str">
        <f>Data5!C59</f>
        <v>Niger</v>
      </c>
      <c r="C57" s="67">
        <f>Data5!D59</f>
        <v>659.45794677734375</v>
      </c>
      <c r="D57" s="67">
        <f>Data5!E59</f>
        <v>1403.4561767578125</v>
      </c>
      <c r="E57" s="67">
        <f>Data5!F59</f>
        <v>847.75701904296875</v>
      </c>
      <c r="F57" s="67">
        <f>Data5!G59</f>
        <v>1131.4454345703125</v>
      </c>
      <c r="G57" s="67">
        <f>Data5!H59</f>
        <v>1268.6309814453125</v>
      </c>
      <c r="H57" s="67">
        <f>Data5!I59</f>
        <v>0.29121223092079163</v>
      </c>
      <c r="I57" s="67">
        <f>Data5!J59</f>
        <v>-2.4889965057373047</v>
      </c>
      <c r="J57" s="67">
        <f>Data5!K59</f>
        <v>1.6254675388336182</v>
      </c>
      <c r="K57" s="67">
        <f>Data5!L59</f>
        <v>2.3152430057525635</v>
      </c>
    </row>
    <row r="58" spans="1:11" ht="23" customHeight="1" thickBot="1" x14ac:dyDescent="0.25">
      <c r="A58" s="155"/>
      <c r="B58" s="45" t="str">
        <f>Data5!C60</f>
        <v>DR Congo</v>
      </c>
      <c r="C58" s="67">
        <f>Data5!D60</f>
        <v>905.3494873046875</v>
      </c>
      <c r="D58" s="67">
        <f>Data5!E60</f>
        <v>2129.02978515625</v>
      </c>
      <c r="E58" s="67">
        <f>Data5!F60</f>
        <v>653.01666259765625</v>
      </c>
      <c r="F58" s="67">
        <f>Data5!G60</f>
        <v>984.88031005859375</v>
      </c>
      <c r="G58" s="67">
        <f>Data5!H60</f>
        <v>1174.9881591796875</v>
      </c>
      <c r="H58" s="67">
        <f>Data5!I60</f>
        <v>0.11593039333820343</v>
      </c>
      <c r="I58" s="67">
        <f>Data5!J60</f>
        <v>-5.7378969192504883</v>
      </c>
      <c r="J58" s="67">
        <f>Data5!K60</f>
        <v>2.3774645328521729</v>
      </c>
      <c r="K58" s="67">
        <f>Data5!L60</f>
        <v>3.5929033756256104</v>
      </c>
    </row>
    <row r="59" spans="1:11" ht="23" customHeight="1" thickBot="1" x14ac:dyDescent="0.25">
      <c r="A59" s="156"/>
      <c r="B59" s="56" t="str">
        <f>Data5!C61</f>
        <v>Sudan</v>
      </c>
      <c r="C59" s="67">
        <f>Data5!D61</f>
        <v>329.47650146484375</v>
      </c>
      <c r="D59" s="67">
        <f>Data5!E61</f>
        <v>856.5570068359375</v>
      </c>
      <c r="E59" s="67">
        <f>Data5!F61</f>
        <v>1827.523681640625</v>
      </c>
      <c r="F59" s="67">
        <f>Data5!G61</f>
        <v>1690.286376953125</v>
      </c>
      <c r="G59" s="67">
        <f>Data5!H61</f>
        <v>916.99755859375</v>
      </c>
      <c r="H59" s="67">
        <f>Data5!I61</f>
        <v>0.45596960186958313</v>
      </c>
      <c r="I59" s="67">
        <f>Data5!J61</f>
        <v>3.8616783618927002</v>
      </c>
      <c r="J59" s="67">
        <f>Data5!K61</f>
        <v>-2.7207515239715576</v>
      </c>
      <c r="K59" s="67">
        <f>Data5!L61</f>
        <v>-11.512571334838867</v>
      </c>
    </row>
    <row r="60" spans="1:11" ht="23" customHeight="1" thickBot="1" x14ac:dyDescent="0.25">
      <c r="A60" s="101" t="str">
        <f>Data5!B62</f>
        <v>World</v>
      </c>
      <c r="B60" s="56" t="str">
        <f>Data5!C62</f>
        <v>World</v>
      </c>
      <c r="C60" s="67">
        <f>Data5!D62</f>
        <v>730.17230224609375</v>
      </c>
      <c r="D60" s="67">
        <f>Data5!E62</f>
        <v>7915.16650390625</v>
      </c>
      <c r="E60" s="67">
        <f>Data5!F62</f>
        <v>10036.203125</v>
      </c>
      <c r="F60" s="67">
        <f>Data5!G62</f>
        <v>12714.9111328125</v>
      </c>
      <c r="G60" s="67">
        <f>Data5!H62</f>
        <v>14588.109375</v>
      </c>
      <c r="H60" s="67">
        <f>Data5!I62</f>
        <v>1.3398663997650146</v>
      </c>
      <c r="I60" s="67">
        <f>Data5!J62</f>
        <v>1.1941647529602051</v>
      </c>
      <c r="J60" s="67">
        <f>Data5!K62</f>
        <v>1.5072780847549438</v>
      </c>
      <c r="K60" s="67">
        <f>Data5!L62</f>
        <v>2.7867505550384521</v>
      </c>
    </row>
    <row r="61" spans="1:11" ht="29" customHeight="1" x14ac:dyDescent="0.2">
      <c r="A61" s="145" t="s">
        <v>677</v>
      </c>
      <c r="B61" s="146"/>
      <c r="C61" s="146"/>
      <c r="D61" s="146"/>
      <c r="E61" s="146"/>
      <c r="F61" s="146"/>
      <c r="G61" s="146"/>
      <c r="H61" s="146"/>
      <c r="I61" s="146"/>
      <c r="J61" s="146"/>
      <c r="K61" s="147"/>
    </row>
    <row r="62" spans="1:11" ht="28" customHeight="1" thickBot="1" x14ac:dyDescent="0.25">
      <c r="A62" s="148"/>
      <c r="B62" s="149"/>
      <c r="C62" s="149"/>
      <c r="D62" s="149"/>
      <c r="E62" s="149"/>
      <c r="F62" s="149"/>
      <c r="G62" s="149"/>
      <c r="H62" s="149"/>
      <c r="I62" s="149"/>
      <c r="J62" s="149"/>
      <c r="K62" s="150"/>
    </row>
    <row r="63" spans="1:11" ht="23" customHeight="1" x14ac:dyDescent="0.2">
      <c r="A63" s="68"/>
      <c r="B63" s="68"/>
      <c r="C63" s="59"/>
      <c r="D63" s="59"/>
      <c r="E63" s="59"/>
      <c r="F63" s="59"/>
      <c r="G63" s="59"/>
      <c r="H63" s="59"/>
      <c r="I63" s="59"/>
      <c r="J63" s="59"/>
      <c r="K63" s="59"/>
    </row>
    <row r="64" spans="1:11" ht="23" customHeight="1" x14ac:dyDescent="0.2">
      <c r="A64" s="68"/>
      <c r="B64" s="68"/>
      <c r="C64" s="59"/>
      <c r="D64" s="59"/>
      <c r="E64" s="59"/>
      <c r="F64" s="59"/>
      <c r="G64" s="59"/>
      <c r="H64" s="59"/>
      <c r="I64" s="59"/>
      <c r="J64" s="59"/>
      <c r="K64" s="59"/>
    </row>
    <row r="65" spans="1:11" ht="23" customHeight="1" x14ac:dyDescent="0.2">
      <c r="A65" s="68"/>
      <c r="B65" s="68"/>
      <c r="C65" s="59"/>
      <c r="D65" s="59"/>
      <c r="E65" s="59"/>
      <c r="F65" s="59"/>
      <c r="G65" s="59"/>
      <c r="H65" s="59"/>
      <c r="I65" s="59"/>
      <c r="J65" s="59"/>
      <c r="K65" s="59"/>
    </row>
    <row r="66" spans="1:11" ht="23" customHeight="1" x14ac:dyDescent="0.2">
      <c r="A66" s="68"/>
      <c r="B66" s="68"/>
      <c r="C66" s="59"/>
      <c r="D66" s="59"/>
      <c r="E66" s="59"/>
      <c r="F66" s="59"/>
      <c r="G66" s="59"/>
      <c r="H66" s="59"/>
      <c r="I66" s="59"/>
      <c r="J66" s="59"/>
      <c r="K66" s="59"/>
    </row>
    <row r="67" spans="1:11" ht="23" customHeight="1" x14ac:dyDescent="0.2">
      <c r="A67" s="68"/>
      <c r="B67" s="68"/>
      <c r="C67" s="59"/>
      <c r="D67" s="59"/>
      <c r="E67" s="59"/>
      <c r="F67" s="59"/>
      <c r="G67" s="59"/>
      <c r="H67" s="59"/>
      <c r="I67" s="59"/>
      <c r="J67" s="59"/>
      <c r="K67" s="59"/>
    </row>
    <row r="68" spans="1:11" ht="23" customHeight="1" x14ac:dyDescent="0.2">
      <c r="A68" s="68"/>
      <c r="B68" s="68"/>
      <c r="C68" s="59"/>
      <c r="D68" s="59"/>
      <c r="E68" s="59"/>
      <c r="F68" s="59"/>
      <c r="G68" s="59"/>
      <c r="H68" s="59"/>
      <c r="I68" s="59"/>
      <c r="J68" s="59"/>
      <c r="K68" s="59"/>
    </row>
    <row r="69" spans="1:11" ht="23" customHeight="1" x14ac:dyDescent="0.2">
      <c r="A69" s="68"/>
      <c r="B69" s="68"/>
      <c r="C69" s="59"/>
      <c r="D69" s="59"/>
      <c r="E69" s="59"/>
      <c r="F69" s="59"/>
      <c r="G69" s="59"/>
      <c r="H69" s="59"/>
      <c r="I69" s="59"/>
      <c r="J69" s="59"/>
      <c r="K69" s="59"/>
    </row>
    <row r="70" spans="1:11" ht="23" customHeight="1" x14ac:dyDescent="0.2">
      <c r="A70" s="68"/>
      <c r="B70" s="68"/>
      <c r="C70" s="59"/>
      <c r="D70" s="59"/>
      <c r="E70" s="59"/>
      <c r="F70" s="59"/>
      <c r="G70" s="59"/>
      <c r="H70" s="59"/>
      <c r="I70" s="59"/>
      <c r="J70" s="59"/>
      <c r="K70" s="59"/>
    </row>
    <row r="71" spans="1:11" ht="23" customHeight="1" x14ac:dyDescent="0.2">
      <c r="A71" s="68"/>
      <c r="B71" s="68"/>
      <c r="C71" s="59"/>
      <c r="D71" s="59"/>
      <c r="E71" s="59"/>
      <c r="F71" s="59"/>
      <c r="G71" s="59"/>
      <c r="H71" s="59"/>
      <c r="I71" s="59"/>
      <c r="J71" s="59"/>
      <c r="K71" s="59"/>
    </row>
    <row r="72" spans="1:11" ht="23" customHeight="1" x14ac:dyDescent="0.2">
      <c r="A72" s="68"/>
      <c r="B72" s="68"/>
      <c r="C72" s="59"/>
      <c r="D72" s="59"/>
      <c r="E72" s="59"/>
      <c r="F72" s="59"/>
      <c r="G72" s="59"/>
      <c r="H72" s="59"/>
      <c r="I72" s="59"/>
      <c r="J72" s="59"/>
      <c r="K72" s="59"/>
    </row>
    <row r="73" spans="1:11" ht="23" customHeight="1" x14ac:dyDescent="0.2">
      <c r="A73" s="68"/>
      <c r="B73" s="68"/>
      <c r="C73" s="59"/>
      <c r="D73" s="59"/>
      <c r="E73" s="59"/>
      <c r="F73" s="59"/>
      <c r="G73" s="59"/>
      <c r="H73" s="59"/>
      <c r="I73" s="59"/>
      <c r="J73" s="59"/>
      <c r="K73" s="59"/>
    </row>
    <row r="74" spans="1:11" ht="23" customHeight="1" x14ac:dyDescent="0.2">
      <c r="A74" s="68"/>
      <c r="B74" s="68"/>
      <c r="C74" s="59"/>
      <c r="D74" s="59"/>
      <c r="E74" s="59"/>
      <c r="F74" s="59"/>
      <c r="G74" s="59"/>
      <c r="H74" s="59"/>
      <c r="I74" s="59"/>
      <c r="J74" s="59"/>
      <c r="K74" s="59"/>
    </row>
    <row r="75" spans="1:11" ht="23" customHeight="1" x14ac:dyDescent="0.2">
      <c r="A75" s="68"/>
      <c r="B75" s="68"/>
      <c r="C75" s="59"/>
      <c r="D75" s="59"/>
      <c r="E75" s="59"/>
      <c r="F75" s="59"/>
      <c r="G75" s="59"/>
      <c r="H75" s="59"/>
      <c r="I75" s="59"/>
      <c r="J75" s="59"/>
      <c r="K75" s="59"/>
    </row>
    <row r="76" spans="1:11" ht="23" customHeight="1" x14ac:dyDescent="0.2">
      <c r="A76" s="68"/>
      <c r="B76" s="68"/>
      <c r="C76" s="59"/>
      <c r="D76" s="59"/>
      <c r="E76" s="59"/>
      <c r="F76" s="59"/>
      <c r="G76" s="59"/>
      <c r="H76" s="59"/>
      <c r="I76" s="59"/>
      <c r="J76" s="59"/>
      <c r="K76" s="59"/>
    </row>
    <row r="77" spans="1:11" ht="23" customHeight="1" x14ac:dyDescent="0.2">
      <c r="A77" s="68"/>
      <c r="B77" s="68"/>
      <c r="C77" s="59"/>
      <c r="D77" s="59"/>
      <c r="E77" s="59"/>
      <c r="F77" s="59"/>
      <c r="G77" s="59"/>
      <c r="H77" s="59"/>
      <c r="I77" s="59"/>
      <c r="J77" s="59"/>
      <c r="K77" s="59"/>
    </row>
    <row r="78" spans="1:11" ht="23" customHeight="1" x14ac:dyDescent="0.2">
      <c r="A78" s="68"/>
      <c r="B78" s="68"/>
      <c r="C78" s="59"/>
      <c r="D78" s="59"/>
      <c r="E78" s="59"/>
      <c r="F78" s="59"/>
      <c r="G78" s="59"/>
      <c r="H78" s="59"/>
      <c r="I78" s="59"/>
      <c r="J78" s="59"/>
      <c r="K78" s="59"/>
    </row>
  </sheetData>
  <mergeCells count="10">
    <mergeCell ref="A61:K62"/>
    <mergeCell ref="A1:K1"/>
    <mergeCell ref="A3:A7"/>
    <mergeCell ref="A8:A18"/>
    <mergeCell ref="A19:A24"/>
    <mergeCell ref="A25:A32"/>
    <mergeCell ref="A33:A37"/>
    <mergeCell ref="A38:A39"/>
    <mergeCell ref="A40:A48"/>
    <mergeCell ref="A49:A59"/>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62F88C-F7DB-1543-ADF1-8050F1E64CC4}">
  <sheetPr>
    <tabColor rgb="FFFF0000"/>
  </sheetPr>
  <dimension ref="A1:M13"/>
  <sheetViews>
    <sheetView workbookViewId="0">
      <selection activeCell="D14" sqref="D14"/>
    </sheetView>
  </sheetViews>
  <sheetFormatPr baseColWidth="10" defaultRowHeight="44" customHeight="1" x14ac:dyDescent="0.2"/>
  <cols>
    <col min="1" max="1" width="15.6640625" customWidth="1"/>
    <col min="2" max="6" width="12.1640625" customWidth="1"/>
    <col min="8" max="11" width="15.83203125" customWidth="1"/>
  </cols>
  <sheetData>
    <row r="1" spans="1:13" ht="17" thickBot="1" x14ac:dyDescent="0.25">
      <c r="A1" s="111" t="str">
        <f>Data6!B3</f>
        <v>Table 6. Population by World Regions (1800-2025)</v>
      </c>
      <c r="B1" s="112"/>
      <c r="C1" s="112"/>
      <c r="D1" s="112"/>
      <c r="E1" s="112"/>
      <c r="F1" s="112"/>
      <c r="G1" s="112"/>
      <c r="H1" s="112"/>
      <c r="I1" s="112"/>
      <c r="J1" s="112"/>
      <c r="K1" s="113"/>
    </row>
    <row r="2" spans="1:13" ht="52" thickBot="1" x14ac:dyDescent="0.25">
      <c r="A2" s="21"/>
      <c r="B2" s="1" t="str">
        <f>Data6!C4</f>
        <v>1800 Population (millions)</v>
      </c>
      <c r="C2" s="1" t="str">
        <f>Data6!D4</f>
        <v>1980 Population (millions)</v>
      </c>
      <c r="D2" s="15" t="str">
        <f>Data6!E4</f>
        <v>2000 Population (millions)</v>
      </c>
      <c r="E2" s="15" t="str">
        <f>Data6!F4</f>
        <v>2020 Population (millions)</v>
      </c>
      <c r="F2" s="15" t="str">
        <f>Data6!G4</f>
        <v>2025 Population (millions)</v>
      </c>
      <c r="G2" s="15" t="str">
        <f>Data6!H4</f>
        <v>Ratio 2025/1800</v>
      </c>
      <c r="H2" s="15" t="str">
        <f>Data6!I4</f>
        <v>Annual growth rate 1800-2025</v>
      </c>
      <c r="I2" s="15" t="str">
        <f>Data6!J4</f>
        <v>Annual growth rate 1980-2000</v>
      </c>
      <c r="J2" s="15" t="str">
        <f>Data6!K4</f>
        <v>Annual growth rate 2000-2025</v>
      </c>
      <c r="K2" s="15" t="str">
        <f>Data6!L4</f>
        <v>Annual growth rate 2000-2025</v>
      </c>
    </row>
    <row r="3" spans="1:13" ht="44" customHeight="1" thickBot="1" x14ac:dyDescent="0.25">
      <c r="A3" s="69" t="str">
        <f>Data6!B5</f>
        <v>East Asia</v>
      </c>
      <c r="B3" s="70">
        <f>Data6!C5</f>
        <v>400.53826904296875</v>
      </c>
      <c r="C3" s="70">
        <f>Data6!D5</f>
        <v>1182.8966064453125</v>
      </c>
      <c r="D3" s="67">
        <f>Data6!E5</f>
        <v>1498.9715576171875</v>
      </c>
      <c r="E3" s="67">
        <f>Data6!F5</f>
        <v>1665.532958984375</v>
      </c>
      <c r="F3" s="67">
        <f>Data6!G5</f>
        <v>1652.1856689453125</v>
      </c>
      <c r="G3" s="67">
        <f>Data6!H5</f>
        <v>4.124913215637207</v>
      </c>
      <c r="H3" s="67">
        <f>Data6!I5</f>
        <v>0.63178515434265137</v>
      </c>
      <c r="I3" s="67">
        <f>Data6!J5</f>
        <v>1.1911029815673828</v>
      </c>
      <c r="J3" s="67">
        <f>Data6!K5</f>
        <v>0.39003780484199524</v>
      </c>
      <c r="K3" s="67">
        <f>Data6!L5</f>
        <v>-0.16079363226890564</v>
      </c>
      <c r="M3" s="104"/>
    </row>
    <row r="4" spans="1:13" ht="44" customHeight="1" thickBot="1" x14ac:dyDescent="0.25">
      <c r="A4" s="69" t="str">
        <f>Data6!B6</f>
        <v>Europe</v>
      </c>
      <c r="B4" s="52">
        <f>Data6!C6</f>
        <v>145.62493896484375</v>
      </c>
      <c r="C4" s="52">
        <f>Data6!D6</f>
        <v>498.12008666992188</v>
      </c>
      <c r="D4" s="67">
        <f>Data6!E6</f>
        <v>524.720947265625</v>
      </c>
      <c r="E4" s="67">
        <f>Data6!F6</f>
        <v>552.56982421875</v>
      </c>
      <c r="F4" s="67">
        <f>Data6!G6</f>
        <v>555.98504638671875</v>
      </c>
      <c r="G4" s="67">
        <f>Data6!H6</f>
        <v>3.8179244995117188</v>
      </c>
      <c r="H4" s="67">
        <f>Data6!I6</f>
        <v>0.59720146656036377</v>
      </c>
      <c r="I4" s="67">
        <f>Data6!J6</f>
        <v>0.26046589016914368</v>
      </c>
      <c r="J4" s="67">
        <f>Data6!K6</f>
        <v>0.23176702857017517</v>
      </c>
      <c r="K4" s="67">
        <f>Data6!L6</f>
        <v>0.12330789119005203</v>
      </c>
      <c r="M4" s="104"/>
    </row>
    <row r="5" spans="1:13" ht="44" customHeight="1" thickBot="1" x14ac:dyDescent="0.25">
      <c r="A5" s="69" t="str">
        <f>Data6!B7</f>
        <v>Latin America</v>
      </c>
      <c r="B5" s="70">
        <f>Data6!C7</f>
        <v>17.609682083129883</v>
      </c>
      <c r="C5" s="70">
        <f>Data6!D7</f>
        <v>359.65325927734375</v>
      </c>
      <c r="D5" s="67">
        <f>Data6!E7</f>
        <v>520.17303466796875</v>
      </c>
      <c r="E5" s="67">
        <f>Data6!F7</f>
        <v>645.54278564453125</v>
      </c>
      <c r="F5" s="67">
        <f>Data6!G7</f>
        <v>666.7366943359375</v>
      </c>
      <c r="G5" s="67">
        <f>Data6!H7</f>
        <v>37.8619384765625</v>
      </c>
      <c r="H5" s="67">
        <f>Data6!I7</f>
        <v>1.6282002925872803</v>
      </c>
      <c r="I5" s="67">
        <f>Data6!J7</f>
        <v>1.8622328042984009</v>
      </c>
      <c r="J5" s="67">
        <f>Data6!K7</f>
        <v>0.99788081645965576</v>
      </c>
      <c r="K5" s="67">
        <f>Data6!L7</f>
        <v>0.64816612005233765</v>
      </c>
      <c r="M5" s="104"/>
    </row>
    <row r="6" spans="1:13" ht="44" customHeight="1" thickBot="1" x14ac:dyDescent="0.25">
      <c r="A6" s="22" t="str">
        <f>Data6!B8</f>
        <v>MENA</v>
      </c>
      <c r="B6" s="70">
        <f>Data6!C8</f>
        <v>37.663642883300781</v>
      </c>
      <c r="C6" s="70">
        <f>Data6!D8</f>
        <v>229.966552734375</v>
      </c>
      <c r="D6" s="67">
        <f>Data6!E8</f>
        <v>384.2132568359375</v>
      </c>
      <c r="E6" s="67">
        <f>Data6!F8</f>
        <v>566.1634521484375</v>
      </c>
      <c r="F6" s="67">
        <f>Data6!G8</f>
        <v>612.22662353515625</v>
      </c>
      <c r="G6" s="67">
        <f>Data6!H8</f>
        <v>16.255107879638672</v>
      </c>
      <c r="H6" s="67">
        <f>Data6!I8</f>
        <v>1.2470031976699829</v>
      </c>
      <c r="I6" s="67">
        <f>Data6!J8</f>
        <v>2.5995328426361084</v>
      </c>
      <c r="J6" s="67">
        <f>Data6!K8</f>
        <v>1.88109290599823</v>
      </c>
      <c r="K6" s="67">
        <f>Data6!L8</f>
        <v>1.5766952037811279</v>
      </c>
      <c r="M6" s="104"/>
    </row>
    <row r="7" spans="1:13" ht="44" customHeight="1" thickBot="1" x14ac:dyDescent="0.25">
      <c r="A7" s="22" t="str">
        <f>Data6!B9</f>
        <v>North America &amp; Oceania</v>
      </c>
      <c r="B7" s="70">
        <f>Data6!C9</f>
        <v>9.2114439010620117</v>
      </c>
      <c r="C7" s="70">
        <f>Data6!D9</f>
        <v>277.25616455078125</v>
      </c>
      <c r="D7" s="67">
        <f>Data6!E9</f>
        <v>343.52651977539062</v>
      </c>
      <c r="E7" s="67">
        <f>Data6!F9</f>
        <v>421.51687622070312</v>
      </c>
      <c r="F7" s="67">
        <f>Data6!G9</f>
        <v>433.84503173828125</v>
      </c>
      <c r="G7" s="67">
        <f>Data6!H9</f>
        <v>47.098480224609375</v>
      </c>
      <c r="H7" s="67">
        <f>Data6!I9</f>
        <v>1.7268475294113159</v>
      </c>
      <c r="I7" s="67">
        <f>Data6!J9</f>
        <v>1.0773744583129883</v>
      </c>
      <c r="J7" s="67">
        <f>Data6!K9</f>
        <v>0.9380648136138916</v>
      </c>
      <c r="K7" s="67">
        <f>Data6!L9</f>
        <v>0.5782170295715332</v>
      </c>
      <c r="M7" s="104"/>
    </row>
    <row r="8" spans="1:13" ht="44" customHeight="1" thickBot="1" x14ac:dyDescent="0.25">
      <c r="A8" s="22" t="str">
        <f>Data6!B10</f>
        <v>Russia &amp; Central Asia</v>
      </c>
      <c r="B8" s="70">
        <f>Data6!C10</f>
        <v>42.272113800048828</v>
      </c>
      <c r="C8" s="70">
        <f>Data6!D10</f>
        <v>254.01832580566406</v>
      </c>
      <c r="D8" s="67">
        <f>Data6!E10</f>
        <v>278.07522583007812</v>
      </c>
      <c r="E8" s="67">
        <f>Data6!F10</f>
        <v>293.70242309570312</v>
      </c>
      <c r="F8" s="67">
        <f>Data6!G10</f>
        <v>292.72991943359375</v>
      </c>
      <c r="G8" s="67">
        <f>Data6!H10</f>
        <v>6.9248943328857422</v>
      </c>
      <c r="H8" s="67">
        <f>Data6!I10</f>
        <v>0.86376368999481201</v>
      </c>
      <c r="I8" s="67">
        <f>Data6!J10</f>
        <v>0.45345142483711243</v>
      </c>
      <c r="J8" s="67">
        <f>Data6!K10</f>
        <v>0.2056458592414856</v>
      </c>
      <c r="K8" s="67">
        <f>Data6!L10</f>
        <v>-6.6310696303844452E-2</v>
      </c>
      <c r="M8" s="104"/>
    </row>
    <row r="9" spans="1:13" ht="44" customHeight="1" thickBot="1" x14ac:dyDescent="0.25">
      <c r="A9" s="22" t="str">
        <f>Data6!B11</f>
        <v>South &amp; South-East Asia</v>
      </c>
      <c r="B9" s="52">
        <f>Data6!C11</f>
        <v>254.15353393554688</v>
      </c>
      <c r="C9" s="52">
        <f>Data6!D11</f>
        <v>1254.9410400390625</v>
      </c>
      <c r="D9" s="67">
        <f>Data6!E11</f>
        <v>1939.3189697265625</v>
      </c>
      <c r="E9" s="67">
        <f>Data6!F11</f>
        <v>2570.775390625</v>
      </c>
      <c r="F9" s="67">
        <f>Data6!G11</f>
        <v>2692.82177734375</v>
      </c>
      <c r="G9" s="67">
        <f>Data6!H11</f>
        <v>10.595255851745605</v>
      </c>
      <c r="H9" s="67">
        <f>Data6!I11</f>
        <v>1.0545915365219116</v>
      </c>
      <c r="I9" s="67">
        <f>Data6!J11</f>
        <v>2.2000942230224609</v>
      </c>
      <c r="J9" s="67">
        <f>Data6!K11</f>
        <v>1.3216689825057983</v>
      </c>
      <c r="K9" s="67">
        <f>Data6!L11</f>
        <v>0.93195652961730957</v>
      </c>
      <c r="M9" s="104"/>
    </row>
    <row r="10" spans="1:13" ht="44" customHeight="1" thickBot="1" x14ac:dyDescent="0.25">
      <c r="A10" s="22" t="str">
        <f>Data6!B12</f>
        <v>Sub-Saharan Africa</v>
      </c>
      <c r="B10" s="52">
        <f>Data6!C12</f>
        <v>99.954139709472656</v>
      </c>
      <c r="C10" s="52">
        <f>Data6!D12</f>
        <v>390.2762451171875</v>
      </c>
      <c r="D10" s="67">
        <f>Data6!E12</f>
        <v>681.90435791015625</v>
      </c>
      <c r="E10" s="67">
        <f>Data6!F12</f>
        <v>1170.15966796875</v>
      </c>
      <c r="F10" s="67">
        <f>Data6!G12</f>
        <v>1324.0028076171875</v>
      </c>
      <c r="G10" s="67">
        <f>Data6!H12</f>
        <v>13.246103286743164</v>
      </c>
      <c r="H10" s="67">
        <f>Data6!I12</f>
        <v>1.1549310684204102</v>
      </c>
      <c r="I10" s="67">
        <f>Data6!J12</f>
        <v>2.829463005065918</v>
      </c>
      <c r="J10" s="67">
        <f>Data6!K12</f>
        <v>2.6896369457244873</v>
      </c>
      <c r="K10" s="67">
        <f>Data6!L12</f>
        <v>2.501154899597168</v>
      </c>
      <c r="M10" s="104"/>
    </row>
    <row r="11" spans="1:13" ht="44" customHeight="1" thickBot="1" x14ac:dyDescent="0.25">
      <c r="A11" s="23" t="str">
        <f>Data6!B13</f>
        <v>World</v>
      </c>
      <c r="B11" s="77">
        <f>Data6!C13</f>
        <v>1007.0277709960938</v>
      </c>
      <c r="C11" s="71">
        <f>Data6!D13</f>
        <v>4447.12841796875</v>
      </c>
      <c r="D11" s="72">
        <f>Data6!E13</f>
        <v>6170.90380859375</v>
      </c>
      <c r="E11" s="72">
        <f>Data6!F13</f>
        <v>7885.96337890625</v>
      </c>
      <c r="F11" s="72">
        <f>Data6!G13</f>
        <v>8230.533203125</v>
      </c>
      <c r="G11" s="72">
        <f>Data6!H13</f>
        <v>8.1730947494506836</v>
      </c>
      <c r="H11" s="72">
        <f>Data6!I13</f>
        <v>0.93808275461196899</v>
      </c>
      <c r="I11" s="72">
        <f>Data6!J13</f>
        <v>1.6514215469360352</v>
      </c>
      <c r="J11" s="72">
        <f>Data6!K13</f>
        <v>1.1586834192276001</v>
      </c>
      <c r="K11" s="72">
        <f>Data6!L13</f>
        <v>0.85899722576141357</v>
      </c>
      <c r="M11" s="104"/>
    </row>
    <row r="12" spans="1:13" ht="29" customHeight="1" x14ac:dyDescent="0.2">
      <c r="A12" s="139" t="s">
        <v>678</v>
      </c>
      <c r="B12" s="140"/>
      <c r="C12" s="140"/>
      <c r="D12" s="140"/>
      <c r="E12" s="140"/>
      <c r="F12" s="140"/>
      <c r="G12" s="140"/>
      <c r="H12" s="140"/>
      <c r="I12" s="140"/>
      <c r="J12" s="140"/>
      <c r="K12" s="141"/>
    </row>
    <row r="13" spans="1:13" ht="24" customHeight="1" thickBot="1" x14ac:dyDescent="0.25">
      <c r="A13" s="142"/>
      <c r="B13" s="143"/>
      <c r="C13" s="143"/>
      <c r="D13" s="143"/>
      <c r="E13" s="143"/>
      <c r="F13" s="143"/>
      <c r="G13" s="143"/>
      <c r="H13" s="143"/>
      <c r="I13" s="143"/>
      <c r="J13" s="143"/>
      <c r="K13" s="144"/>
    </row>
  </sheetData>
  <mergeCells count="2">
    <mergeCell ref="A1:K1"/>
    <mergeCell ref="A12:K13"/>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6BB99-16F1-7144-9FEA-C723AA48C7D6}">
  <sheetPr>
    <tabColor theme="8"/>
  </sheetPr>
  <dimension ref="A1:L13"/>
  <sheetViews>
    <sheetView workbookViewId="0">
      <selection activeCell="A12" sqref="A12:J13"/>
    </sheetView>
  </sheetViews>
  <sheetFormatPr baseColWidth="10" defaultColWidth="16.33203125" defaultRowHeight="36" customHeight="1" x14ac:dyDescent="0.2"/>
  <cols>
    <col min="1" max="1" width="18.33203125" customWidth="1"/>
  </cols>
  <sheetData>
    <row r="1" spans="1:12" ht="36" customHeight="1" thickBot="1" x14ac:dyDescent="0.25">
      <c r="A1" s="111" t="str">
        <f>DataT7a!B3</f>
        <v xml:space="preserve">Table 7a. Price index Growth PPP 2025 € by World Regions (1980-2025) </v>
      </c>
      <c r="B1" s="112"/>
      <c r="C1" s="112"/>
      <c r="D1" s="112"/>
      <c r="E1" s="112"/>
      <c r="F1" s="112"/>
      <c r="G1" s="112"/>
      <c r="H1" s="112"/>
      <c r="I1" s="112"/>
      <c r="J1" s="113"/>
    </row>
    <row r="2" spans="1:12" ht="36" customHeight="1" thickBot="1" x14ac:dyDescent="0.25">
      <c r="A2" s="21"/>
      <c r="B2" s="1" t="str">
        <f>DataT7a!C4</f>
        <v>1800 Price index   (PPP 2025 €)</v>
      </c>
      <c r="C2" s="1" t="str">
        <f>DataT7a!D4</f>
        <v>1980 Price index   (PPP 2025 €)</v>
      </c>
      <c r="D2" s="1" t="str">
        <f>DataT7a!E4</f>
        <v>2000 Price index   (PPP 2025 €)</v>
      </c>
      <c r="E2" s="1" t="str">
        <f>DataT7a!F4</f>
        <v>2020 Price index   (PPP 2025 €)</v>
      </c>
      <c r="F2" s="1" t="str">
        <f>DataT7a!G4</f>
        <v>2025 Price index   (PPP 2025 €)</v>
      </c>
      <c r="G2" s="1" t="str">
        <f>DataT7a!H4</f>
        <v>Annual growth rate 1800-2025</v>
      </c>
      <c r="H2" s="1" t="str">
        <f>DataT7a!I4</f>
        <v>Annual growth rate 1980-2000</v>
      </c>
      <c r="I2" s="1" t="str">
        <f>DataT7a!J4</f>
        <v>Annual growth rate 2000-2025</v>
      </c>
      <c r="J2" s="1" t="str">
        <f>DataT7a!K4</f>
        <v>Annual growth rate 2020-2025</v>
      </c>
    </row>
    <row r="3" spans="1:12" ht="36" customHeight="1" thickBot="1" x14ac:dyDescent="0.25">
      <c r="A3" s="69" t="str">
        <f>DataT7a!B5</f>
        <v>East Asia</v>
      </c>
      <c r="B3" s="73">
        <f>DataT7a!C5</f>
        <v>1.5700559597462416E-3</v>
      </c>
      <c r="C3" s="73">
        <f>DataT7a!D5</f>
        <v>0.29674822092056274</v>
      </c>
      <c r="D3" s="73">
        <f>DataT7a!E5</f>
        <v>0.57910645008087158</v>
      </c>
      <c r="E3" s="73">
        <f>DataT7a!F5</f>
        <v>0.83524203300476074</v>
      </c>
      <c r="F3" s="73">
        <f>DataT7a!G5</f>
        <v>1</v>
      </c>
      <c r="G3" s="73">
        <f>DataT7a!H5</f>
        <v>2.9111897945404053</v>
      </c>
      <c r="H3" s="73">
        <f>DataT7a!I5</f>
        <v>3.3995180130004883</v>
      </c>
      <c r="I3" s="73">
        <f>DataT7a!J5</f>
        <v>2.2091233730316162</v>
      </c>
      <c r="J3" s="73">
        <f>DataT7a!K5</f>
        <v>3.6662840843200684</v>
      </c>
    </row>
    <row r="4" spans="1:12" ht="36" customHeight="1" thickBot="1" x14ac:dyDescent="0.25">
      <c r="A4" s="69" t="str">
        <f>DataT7a!B6</f>
        <v>Europe</v>
      </c>
      <c r="B4" s="53">
        <f>DataT7a!C6</f>
        <v>1.7174580134451389E-3</v>
      </c>
      <c r="C4" s="53">
        <f>DataT7a!D6</f>
        <v>0.3064219057559967</v>
      </c>
      <c r="D4" s="53">
        <f>DataT7a!E6</f>
        <v>0.60588598251342773</v>
      </c>
      <c r="E4" s="53">
        <f>DataT7a!F6</f>
        <v>0.83755892515182495</v>
      </c>
      <c r="F4" s="53">
        <f>DataT7a!G6</f>
        <v>1</v>
      </c>
      <c r="G4" s="53">
        <f>DataT7a!H6</f>
        <v>2.8701550960540771</v>
      </c>
      <c r="H4" s="53">
        <f>DataT7a!I6</f>
        <v>3.4674043655395508</v>
      </c>
      <c r="I4" s="53">
        <f>DataT7a!J6</f>
        <v>2.0244739055633545</v>
      </c>
      <c r="J4" s="53">
        <f>DataT7a!K6</f>
        <v>3.6088674068450928</v>
      </c>
    </row>
    <row r="5" spans="1:12" ht="36" customHeight="1" thickBot="1" x14ac:dyDescent="0.25">
      <c r="A5" s="69" t="str">
        <f>DataT7a!B7</f>
        <v>Latin America</v>
      </c>
      <c r="B5" s="73">
        <f>DataT7a!C7</f>
        <v>1.6052607679739594E-3</v>
      </c>
      <c r="C5" s="73">
        <f>DataT7a!D7</f>
        <v>0.29722154140472412</v>
      </c>
      <c r="D5" s="73">
        <f>DataT7a!E7</f>
        <v>0.60075736045837402</v>
      </c>
      <c r="E5" s="73">
        <f>DataT7a!F7</f>
        <v>0.83682245016098022</v>
      </c>
      <c r="F5" s="73">
        <f>DataT7a!G7</f>
        <v>1</v>
      </c>
      <c r="G5" s="73">
        <f>DataT7a!H7</f>
        <v>2.901047945022583</v>
      </c>
      <c r="H5" s="73">
        <f>DataT7a!I7</f>
        <v>3.5812005996704102</v>
      </c>
      <c r="I5" s="73">
        <f>DataT7a!J7</f>
        <v>2.0591709613800049</v>
      </c>
      <c r="J5" s="73">
        <f>DataT7a!K7</f>
        <v>3.6270978450775146</v>
      </c>
    </row>
    <row r="6" spans="1:12" ht="36" customHeight="1" thickBot="1" x14ac:dyDescent="0.25">
      <c r="A6" s="22" t="str">
        <f>DataT7a!B8</f>
        <v>MENA</v>
      </c>
      <c r="B6" s="73">
        <f>DataT7a!C8</f>
        <v>1.6534520545974374E-3</v>
      </c>
      <c r="C6" s="73">
        <f>DataT7a!D8</f>
        <v>0.30088463425636292</v>
      </c>
      <c r="D6" s="73">
        <f>DataT7a!E8</f>
        <v>0.61785006523132324</v>
      </c>
      <c r="E6" s="73">
        <f>DataT7a!F8</f>
        <v>0.84192860126495361</v>
      </c>
      <c r="F6" s="73">
        <f>DataT7a!G8</f>
        <v>1</v>
      </c>
      <c r="G6" s="73">
        <f>DataT7a!H8</f>
        <v>2.8875212669372559</v>
      </c>
      <c r="H6" s="73">
        <f>DataT7a!I8</f>
        <v>3.6630909442901611</v>
      </c>
      <c r="I6" s="73">
        <f>DataT7a!J8</f>
        <v>1.944705605506897</v>
      </c>
      <c r="J6" s="73">
        <f>DataT7a!K8</f>
        <v>3.5010957717895508</v>
      </c>
    </row>
    <row r="7" spans="1:12" ht="36" customHeight="1" thickBot="1" x14ac:dyDescent="0.25">
      <c r="A7" s="22" t="str">
        <f>DataT7a!B9</f>
        <v>North America &amp; Oceania</v>
      </c>
      <c r="B7" s="73">
        <f>DataT7a!C9</f>
        <v>1.5868598129600286E-3</v>
      </c>
      <c r="C7" s="73">
        <f>DataT7a!D9</f>
        <v>0.30529657006263733</v>
      </c>
      <c r="D7" s="73">
        <f>DataT7a!E9</f>
        <v>0.61371350288391113</v>
      </c>
      <c r="E7" s="73">
        <f>DataT7a!F9</f>
        <v>0.83985340595245361</v>
      </c>
      <c r="F7" s="73">
        <f>DataT7a!G9</f>
        <v>1</v>
      </c>
      <c r="G7" s="73">
        <f>DataT7a!H9</f>
        <v>2.9063208103179932</v>
      </c>
      <c r="H7" s="73">
        <f>DataT7a!I9</f>
        <v>3.5528814792633057</v>
      </c>
      <c r="I7" s="73">
        <f>DataT7a!J9</f>
        <v>1.9721022844314575</v>
      </c>
      <c r="J7" s="73">
        <f>DataT7a!K9</f>
        <v>3.5521934032440186</v>
      </c>
    </row>
    <row r="8" spans="1:12" ht="36" customHeight="1" thickBot="1" x14ac:dyDescent="0.25">
      <c r="A8" s="22" t="str">
        <f>DataT7a!B10</f>
        <v>Russia &amp; Central Asia</v>
      </c>
      <c r="B8" s="73">
        <f>DataT7a!C10</f>
        <v>1.8250478897243738E-3</v>
      </c>
      <c r="C8" s="73">
        <f>DataT7a!D10</f>
        <v>0.3116321861743927</v>
      </c>
      <c r="D8" s="73">
        <f>DataT7a!E10</f>
        <v>0.60996901988983154</v>
      </c>
      <c r="E8" s="73">
        <f>DataT7a!F10</f>
        <v>0.84124588966369629</v>
      </c>
      <c r="F8" s="73">
        <f>DataT7a!G10</f>
        <v>1</v>
      </c>
      <c r="G8" s="73">
        <f>DataT7a!H10</f>
        <v>2.842379093170166</v>
      </c>
      <c r="H8" s="73">
        <f>DataT7a!I10</f>
        <v>3.4149374961853027</v>
      </c>
      <c r="I8" s="73">
        <f>DataT7a!J10</f>
        <v>1.9970682859420776</v>
      </c>
      <c r="J8" s="73">
        <f>DataT7a!K10</f>
        <v>3.5178894996643066</v>
      </c>
    </row>
    <row r="9" spans="1:12" ht="36" customHeight="1" thickBot="1" x14ac:dyDescent="0.25">
      <c r="A9" s="22" t="str">
        <f>DataT7a!B11</f>
        <v>South &amp; South-East Asia</v>
      </c>
      <c r="B9" s="53">
        <f>DataT7a!C11</f>
        <v>1.5574438730254769E-3</v>
      </c>
      <c r="C9" s="53">
        <f>DataT7a!D11</f>
        <v>0.29865178465843201</v>
      </c>
      <c r="D9" s="53">
        <f>DataT7a!E11</f>
        <v>0.59456926584243774</v>
      </c>
      <c r="E9" s="53">
        <f>DataT7a!F11</f>
        <v>0.8310512900352478</v>
      </c>
      <c r="F9" s="53">
        <f>DataT7a!G11</f>
        <v>1</v>
      </c>
      <c r="G9" s="53">
        <f>DataT7a!H11</f>
        <v>2.9148788452148438</v>
      </c>
      <c r="H9" s="53">
        <f>DataT7a!I11</f>
        <v>3.5027449131011963</v>
      </c>
      <c r="I9" s="53">
        <f>DataT7a!J11</f>
        <v>2.1014480590820312</v>
      </c>
      <c r="J9" s="53">
        <f>DataT7a!K11</f>
        <v>3.7706253528594971</v>
      </c>
    </row>
    <row r="10" spans="1:12" ht="36" customHeight="1" thickBot="1" x14ac:dyDescent="0.25">
      <c r="A10" s="22" t="str">
        <f>DataT7a!B12</f>
        <v>Sub-Saharan Africa</v>
      </c>
      <c r="B10" s="53">
        <f>DataT7a!C12</f>
        <v>1.950365025550127E-3</v>
      </c>
      <c r="C10" s="53">
        <f>DataT7a!D12</f>
        <v>0.2943747341632843</v>
      </c>
      <c r="D10" s="53">
        <f>DataT7a!E12</f>
        <v>0.49222585558891296</v>
      </c>
      <c r="E10" s="53">
        <f>DataT7a!F12</f>
        <v>0.80471253395080566</v>
      </c>
      <c r="F10" s="53">
        <f>DataT7a!G12</f>
        <v>1</v>
      </c>
      <c r="G10" s="53">
        <f>DataT7a!H12</f>
        <v>2.8120288848876953</v>
      </c>
      <c r="H10" s="53">
        <f>DataT7a!I12</f>
        <v>2.6037406921386719</v>
      </c>
      <c r="I10" s="53">
        <f>DataT7a!J12</f>
        <v>2.8758468627929688</v>
      </c>
      <c r="J10" s="53">
        <f>DataT7a!K12</f>
        <v>4.4411983489990234</v>
      </c>
    </row>
    <row r="11" spans="1:12" ht="36" customHeight="1" thickBot="1" x14ac:dyDescent="0.25">
      <c r="A11" s="23" t="str">
        <f>DataT7a!B13</f>
        <v>World</v>
      </c>
      <c r="B11" s="74">
        <f>DataT7a!C13</f>
        <v>1.6282612923532724E-3</v>
      </c>
      <c r="C11" s="74">
        <f>DataT7a!D13</f>
        <v>0.26889580488204956</v>
      </c>
      <c r="D11" s="74">
        <f>DataT7a!E13</f>
        <v>0.53426259756088257</v>
      </c>
      <c r="E11" s="74">
        <f>DataT7a!F13</f>
        <v>0.82272106409072876</v>
      </c>
      <c r="F11" s="74">
        <f>DataT7a!G13</f>
        <v>1</v>
      </c>
      <c r="G11" s="74">
        <f>DataT7a!H13</f>
        <v>2.8945417404174805</v>
      </c>
      <c r="H11" s="74">
        <f>DataT7a!I13</f>
        <v>3.4924187660217285</v>
      </c>
      <c r="I11" s="74">
        <f>DataT7a!J13</f>
        <v>2.5391726493835449</v>
      </c>
      <c r="J11" s="74">
        <f>DataT7a!K13</f>
        <v>3.97991943359375</v>
      </c>
    </row>
    <row r="12" spans="1:12" ht="19" customHeight="1" x14ac:dyDescent="0.2">
      <c r="A12" s="139" t="s">
        <v>679</v>
      </c>
      <c r="B12" s="140"/>
      <c r="C12" s="140"/>
      <c r="D12" s="140"/>
      <c r="E12" s="140"/>
      <c r="F12" s="140"/>
      <c r="G12" s="140"/>
      <c r="H12" s="140"/>
      <c r="I12" s="140"/>
      <c r="J12" s="141"/>
      <c r="K12" s="75"/>
      <c r="L12" s="75"/>
    </row>
    <row r="13" spans="1:12" ht="16" thickBot="1" x14ac:dyDescent="0.25">
      <c r="A13" s="142"/>
      <c r="B13" s="143"/>
      <c r="C13" s="143"/>
      <c r="D13" s="143"/>
      <c r="E13" s="143"/>
      <c r="F13" s="143"/>
      <c r="G13" s="143"/>
      <c r="H13" s="143"/>
      <c r="I13" s="143"/>
      <c r="J13" s="144"/>
      <c r="K13" s="75"/>
      <c r="L13" s="75"/>
    </row>
  </sheetData>
  <mergeCells count="2">
    <mergeCell ref="A1:J1"/>
    <mergeCell ref="A12:J13"/>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BAB-75BB-3643-93D9-F84E54CB4484}">
  <sheetPr>
    <tabColor theme="8"/>
  </sheetPr>
  <dimension ref="A1:J13"/>
  <sheetViews>
    <sheetView workbookViewId="0">
      <selection activeCell="H14" sqref="H14"/>
    </sheetView>
  </sheetViews>
  <sheetFormatPr baseColWidth="10" defaultRowHeight="38" customHeight="1" x14ac:dyDescent="0.2"/>
  <cols>
    <col min="1" max="1" width="17.83203125" customWidth="1"/>
    <col min="2" max="2" width="16.1640625" customWidth="1"/>
    <col min="3" max="3" width="16.83203125" customWidth="1"/>
    <col min="4" max="4" width="17.33203125" customWidth="1"/>
    <col min="5" max="5" width="16.1640625" customWidth="1"/>
    <col min="6" max="6" width="14.83203125" customWidth="1"/>
    <col min="7" max="7" width="15.33203125" customWidth="1"/>
    <col min="8" max="8" width="14.83203125" customWidth="1"/>
    <col min="9" max="10" width="15.6640625" customWidth="1"/>
  </cols>
  <sheetData>
    <row r="1" spans="1:10" ht="38" customHeight="1" thickBot="1" x14ac:dyDescent="0.25">
      <c r="A1" s="111" t="str">
        <f>DataT7b!B3</f>
        <v xml:space="preserve">Table 7b. Price index Growth PPP 2025 $ by World Regions (1980-2025) </v>
      </c>
      <c r="B1" s="112"/>
      <c r="C1" s="112"/>
      <c r="D1" s="112"/>
      <c r="E1" s="112"/>
      <c r="F1" s="112"/>
      <c r="G1" s="112"/>
      <c r="H1" s="112"/>
      <c r="I1" s="112"/>
      <c r="J1" s="113"/>
    </row>
    <row r="2" spans="1:10" ht="52" thickBot="1" x14ac:dyDescent="0.25">
      <c r="A2" s="21"/>
      <c r="B2" s="1" t="str">
        <f>DataT7b!C4</f>
        <v>1800 Price index   (PPP 2025 $)</v>
      </c>
      <c r="C2" s="1" t="str">
        <f>DataT7b!D4</f>
        <v>1980 Price index   (PPP 2025 $)</v>
      </c>
      <c r="D2" s="1" t="str">
        <f>DataT7b!E4</f>
        <v>2000 Price index   (PPP 2025 $)</v>
      </c>
      <c r="E2" s="1" t="str">
        <f>DataT7b!F4</f>
        <v>2020 Price index   (PPP 2025 $)</v>
      </c>
      <c r="F2" s="1" t="str">
        <f>DataT7b!G4</f>
        <v>2025 Price index   (PPP 2025 $)</v>
      </c>
      <c r="G2" s="1" t="str">
        <f>DataT7b!H4</f>
        <v>Annual growth rate 1800-2025</v>
      </c>
      <c r="H2" s="1" t="str">
        <f>DataT7b!I4</f>
        <v>Annual growth rate 1980-2000</v>
      </c>
      <c r="I2" s="1" t="str">
        <f>DataT7b!J4</f>
        <v>Annual growth rate 2000-2025</v>
      </c>
      <c r="J2" s="1" t="str">
        <f>DataT7b!K4</f>
        <v>Annual growth rate 2020-2025</v>
      </c>
    </row>
    <row r="3" spans="1:10" ht="38" customHeight="1" thickBot="1" x14ac:dyDescent="0.25">
      <c r="A3" s="69" t="str">
        <f>DataT7b!B5</f>
        <v>East Asia</v>
      </c>
      <c r="B3" s="73">
        <f>DataT7b!C5</f>
        <v>2.2628199309110641E-2</v>
      </c>
      <c r="C3" s="73">
        <f>DataT7b!D5</f>
        <v>0.29683169722557068</v>
      </c>
      <c r="D3" s="73">
        <f>DataT7b!E5</f>
        <v>0.53138726949691772</v>
      </c>
      <c r="E3" s="73">
        <f>DataT7b!F5</f>
        <v>0.8124929666519165</v>
      </c>
      <c r="F3" s="73">
        <f>DataT7b!G5</f>
        <v>1</v>
      </c>
      <c r="G3" s="73">
        <f>DataT7b!H5</f>
        <v>1.6980595588684082</v>
      </c>
      <c r="H3" s="73">
        <f>DataT7b!I5</f>
        <v>2.9544312953948975</v>
      </c>
      <c r="I3" s="73">
        <f>DataT7b!J5</f>
        <v>2.5613088607788086</v>
      </c>
      <c r="J3" s="73">
        <f>DataT7b!K5</f>
        <v>4.2404022216796875</v>
      </c>
    </row>
    <row r="4" spans="1:10" ht="38" customHeight="1" thickBot="1" x14ac:dyDescent="0.25">
      <c r="A4" s="69" t="str">
        <f>DataT7b!B6</f>
        <v>Europe</v>
      </c>
      <c r="B4" s="53">
        <f>DataT7b!C6</f>
        <v>2.4752609431743622E-2</v>
      </c>
      <c r="C4" s="53">
        <f>DataT7b!D6</f>
        <v>0.30650809407234192</v>
      </c>
      <c r="D4" s="53">
        <f>DataT7b!E6</f>
        <v>0.55596017837524414</v>
      </c>
      <c r="E4" s="53">
        <f>DataT7b!F6</f>
        <v>0.81474673748016357</v>
      </c>
      <c r="F4" s="53">
        <f>DataT7b!G6</f>
        <v>1</v>
      </c>
      <c r="G4" s="53">
        <f>DataT7b!H6</f>
        <v>1.6575087308883667</v>
      </c>
      <c r="H4" s="53">
        <f>DataT7b!I6</f>
        <v>3.0220260620117188</v>
      </c>
      <c r="I4" s="53">
        <f>DataT7b!J6</f>
        <v>2.3760225772857666</v>
      </c>
      <c r="J4" s="53">
        <f>DataT7b!K6</f>
        <v>4.1826677322387695</v>
      </c>
    </row>
    <row r="5" spans="1:10" ht="38" customHeight="1" thickBot="1" x14ac:dyDescent="0.25">
      <c r="A5" s="69" t="str">
        <f>DataT7b!B7</f>
        <v>Latin America</v>
      </c>
      <c r="B5" s="73">
        <f>DataT7b!C7</f>
        <v>2.3135581985116005E-2</v>
      </c>
      <c r="C5" s="73">
        <f>DataT7b!D7</f>
        <v>0.29730516672134399</v>
      </c>
      <c r="D5" s="73">
        <f>DataT7b!E7</f>
        <v>0.55125415325164795</v>
      </c>
      <c r="E5" s="73">
        <f>DataT7b!F7</f>
        <v>0.81403028964996338</v>
      </c>
      <c r="F5" s="73">
        <f>DataT7b!G7</f>
        <v>1</v>
      </c>
      <c r="G5" s="73">
        <f>DataT7b!H7</f>
        <v>1.6880372762680054</v>
      </c>
      <c r="H5" s="73">
        <f>DataT7b!I7</f>
        <v>3.1353318691253662</v>
      </c>
      <c r="I5" s="73">
        <f>DataT7b!J7</f>
        <v>2.410839319229126</v>
      </c>
      <c r="J5" s="73">
        <f>DataT7b!K7</f>
        <v>4.2010002136230469</v>
      </c>
    </row>
    <row r="6" spans="1:10" ht="38" customHeight="1" thickBot="1" x14ac:dyDescent="0.25">
      <c r="A6" s="22" t="str">
        <f>DataT7b!B8</f>
        <v>MENA</v>
      </c>
      <c r="B6" s="73">
        <f>DataT7b!C8</f>
        <v>2.3830132558941841E-2</v>
      </c>
      <c r="C6" s="73">
        <f>DataT7b!D8</f>
        <v>0.30096927285194397</v>
      </c>
      <c r="D6" s="73">
        <f>DataT7b!E8</f>
        <v>0.56693834066390991</v>
      </c>
      <c r="E6" s="73">
        <f>DataT7b!F8</f>
        <v>0.81899726390838623</v>
      </c>
      <c r="F6" s="73">
        <f>DataT7b!G8</f>
        <v>1</v>
      </c>
      <c r="G6" s="73">
        <f>DataT7b!H8</f>
        <v>1.6746699810028076</v>
      </c>
      <c r="H6" s="73">
        <f>DataT7b!I8</f>
        <v>3.216869592666626</v>
      </c>
      <c r="I6" s="73">
        <f>DataT7b!J8</f>
        <v>2.2959799766540527</v>
      </c>
      <c r="J6" s="73">
        <f>DataT7b!K8</f>
        <v>4.0743026733398438</v>
      </c>
    </row>
    <row r="7" spans="1:10" ht="38" customHeight="1" thickBot="1" x14ac:dyDescent="0.25">
      <c r="A7" s="22" t="str">
        <f>DataT7b!B9</f>
        <v>North America &amp; Oceania</v>
      </c>
      <c r="B7" s="73">
        <f>DataT7b!C9</f>
        <v>2.2870380431413651E-2</v>
      </c>
      <c r="C7" s="73">
        <f>DataT7b!D9</f>
        <v>0.30538243055343628</v>
      </c>
      <c r="D7" s="73">
        <f>DataT7b!E9</f>
        <v>0.56314277648925781</v>
      </c>
      <c r="E7" s="73">
        <f>DataT7b!F9</f>
        <v>0.81697869300842285</v>
      </c>
      <c r="F7" s="73">
        <f>DataT7b!G9</f>
        <v>1</v>
      </c>
      <c r="G7" s="73">
        <f>DataT7b!H9</f>
        <v>1.69324791431427</v>
      </c>
      <c r="H7" s="73">
        <f>DataT7b!I9</f>
        <v>3.1071360111236572</v>
      </c>
      <c r="I7" s="73">
        <f>DataT7b!J9</f>
        <v>2.323469877243042</v>
      </c>
      <c r="J7" s="73">
        <f>DataT7b!K9</f>
        <v>4.1256809234619141</v>
      </c>
    </row>
    <row r="8" spans="1:10" ht="38" customHeight="1" thickBot="1" x14ac:dyDescent="0.25">
      <c r="A8" s="22" t="str">
        <f>DataT7b!B10</f>
        <v>Russia &amp; Central Asia</v>
      </c>
      <c r="B8" s="73">
        <f>DataT7b!C10</f>
        <v>2.6303233578801155E-2</v>
      </c>
      <c r="C8" s="73">
        <f>DataT7b!D10</f>
        <v>0.31171983480453491</v>
      </c>
      <c r="D8" s="73">
        <f>DataT7b!E10</f>
        <v>0.55970680713653564</v>
      </c>
      <c r="E8" s="73">
        <f>DataT7b!F10</f>
        <v>0.8183332085609436</v>
      </c>
      <c r="F8" s="73">
        <f>DataT7b!G10</f>
        <v>1</v>
      </c>
      <c r="G8" s="73">
        <f>DataT7b!H10</f>
        <v>1.6300599575042725</v>
      </c>
      <c r="H8" s="73">
        <f>DataT7b!I10</f>
        <v>2.9697854518890381</v>
      </c>
      <c r="I8" s="73">
        <f>DataT7b!J10</f>
        <v>2.3485221862792969</v>
      </c>
      <c r="J8" s="73">
        <f>DataT7b!K10</f>
        <v>4.0911879539489746</v>
      </c>
    </row>
    <row r="9" spans="1:10" ht="38" customHeight="1" thickBot="1" x14ac:dyDescent="0.25">
      <c r="A9" s="22" t="str">
        <f>DataT7b!B11</f>
        <v>South &amp; South-East Asia</v>
      </c>
      <c r="B9" s="53">
        <f>DataT7b!C11</f>
        <v>2.2446427494287491E-2</v>
      </c>
      <c r="C9" s="53">
        <f>DataT7b!D11</f>
        <v>0.29873582720756531</v>
      </c>
      <c r="D9" s="53">
        <f>DataT7b!E11</f>
        <v>0.54557603597640991</v>
      </c>
      <c r="E9" s="53">
        <f>DataT7b!F11</f>
        <v>0.80841630697250366</v>
      </c>
      <c r="F9" s="53">
        <f>DataT7b!G11</f>
        <v>1</v>
      </c>
      <c r="G9" s="53">
        <f>DataT7b!H11</f>
        <v>1.7017052173614502</v>
      </c>
      <c r="H9" s="53">
        <f>DataT7b!I11</f>
        <v>3.0572142601013184</v>
      </c>
      <c r="I9" s="53">
        <f>DataT7b!J11</f>
        <v>2.4532616138458252</v>
      </c>
      <c r="J9" s="53">
        <f>DataT7b!K11</f>
        <v>4.3453226089477539</v>
      </c>
    </row>
    <row r="10" spans="1:10" ht="38" customHeight="1" thickBot="1" x14ac:dyDescent="0.25">
      <c r="A10" s="22" t="str">
        <f>DataT7b!B12</f>
        <v>Sub-Saharan Africa</v>
      </c>
      <c r="B10" s="53">
        <f>DataT7b!C12</f>
        <v>2.8109347447752953E-2</v>
      </c>
      <c r="C10" s="53">
        <f>DataT7b!D12</f>
        <v>0.29445755481719971</v>
      </c>
      <c r="D10" s="53">
        <f>DataT7b!E12</f>
        <v>0.45166578888893127</v>
      </c>
      <c r="E10" s="53">
        <f>DataT7b!F12</f>
        <v>0.7827950119972229</v>
      </c>
      <c r="F10" s="53">
        <f>DataT7b!G12</f>
        <v>1</v>
      </c>
      <c r="G10" s="53">
        <f>DataT7b!H12</f>
        <v>1.6000674962997437</v>
      </c>
      <c r="H10" s="53">
        <f>DataT7b!I12</f>
        <v>2.1620795726776123</v>
      </c>
      <c r="I10" s="53">
        <f>DataT7b!J12</f>
        <v>3.2303292751312256</v>
      </c>
      <c r="J10" s="53">
        <f>DataT7b!K12</f>
        <v>5.0196075439453125</v>
      </c>
    </row>
    <row r="11" spans="1:10" ht="38" customHeight="1" thickBot="1" x14ac:dyDescent="0.25">
      <c r="A11" s="23" t="str">
        <f>DataT7b!B13</f>
        <v>World</v>
      </c>
      <c r="B11" s="74">
        <f>DataT7b!C13</f>
        <v>2.346707321703434E-2</v>
      </c>
      <c r="C11" s="74">
        <f>DataT7b!D13</f>
        <v>0.26897141337394714</v>
      </c>
      <c r="D11" s="74">
        <f>DataT7b!E13</f>
        <v>0.49023863673210144</v>
      </c>
      <c r="E11" s="74">
        <f>DataT7b!F13</f>
        <v>0.80031299591064453</v>
      </c>
      <c r="F11" s="74">
        <f>DataT7b!G13</f>
        <v>1</v>
      </c>
      <c r="G11" s="74">
        <f>DataT7b!H13</f>
        <v>1.6816078424453735</v>
      </c>
      <c r="H11" s="74">
        <f>DataT7b!I13</f>
        <v>3.0469329357147217</v>
      </c>
      <c r="I11" s="74">
        <f>DataT7b!J13</f>
        <v>2.8924951553344727</v>
      </c>
      <c r="J11" s="74">
        <f>DataT7b!K13</f>
        <v>4.5557751655578613</v>
      </c>
    </row>
    <row r="12" spans="1:10" ht="38" customHeight="1" x14ac:dyDescent="0.2">
      <c r="A12" s="139" t="s">
        <v>682</v>
      </c>
      <c r="B12" s="140"/>
      <c r="C12" s="140"/>
      <c r="D12" s="140"/>
      <c r="E12" s="140"/>
      <c r="F12" s="140"/>
      <c r="G12" s="140"/>
      <c r="H12" s="140"/>
      <c r="I12" s="140"/>
      <c r="J12" s="141"/>
    </row>
    <row r="13" spans="1:10" ht="16" thickBot="1" x14ac:dyDescent="0.25">
      <c r="A13" s="142"/>
      <c r="B13" s="143"/>
      <c r="C13" s="143"/>
      <c r="D13" s="143"/>
      <c r="E13" s="143"/>
      <c r="F13" s="143"/>
      <c r="G13" s="143"/>
      <c r="H13" s="143"/>
      <c r="I13" s="143"/>
      <c r="J13" s="144"/>
    </row>
  </sheetData>
  <mergeCells count="2">
    <mergeCell ref="A1:J1"/>
    <mergeCell ref="A12:J13"/>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4EA9A0-B386-704F-A4B5-8AB201609BD0}">
  <sheetPr>
    <tabColor theme="8"/>
  </sheetPr>
  <dimension ref="A1:J13"/>
  <sheetViews>
    <sheetView workbookViewId="0">
      <selection activeCell="A12" sqref="A12:J13"/>
    </sheetView>
  </sheetViews>
  <sheetFormatPr baseColWidth="10" defaultColWidth="16.83203125" defaultRowHeight="43" customHeight="1" x14ac:dyDescent="0.2"/>
  <sheetData>
    <row r="1" spans="1:10" ht="17" thickBot="1" x14ac:dyDescent="0.25">
      <c r="A1" s="111" t="str">
        <f>DataT7c!B3</f>
        <v xml:space="preserve">Table 7c. Price index Growth  € by World Regions (1980-2025) </v>
      </c>
      <c r="B1" s="112"/>
      <c r="C1" s="112"/>
      <c r="D1" s="112"/>
      <c r="E1" s="112"/>
      <c r="F1" s="112"/>
      <c r="G1" s="112"/>
      <c r="H1" s="112"/>
      <c r="I1" s="112"/>
      <c r="J1" s="113"/>
    </row>
    <row r="2" spans="1:10" ht="43" customHeight="1" thickBot="1" x14ac:dyDescent="0.25">
      <c r="A2" s="21"/>
      <c r="B2" s="1" t="str">
        <f>DataT7c!C4</f>
        <v>1800 Price index   (€)</v>
      </c>
      <c r="C2" s="1" t="str">
        <f>DataT7c!D4</f>
        <v>1980 Price index   (€)</v>
      </c>
      <c r="D2" s="1" t="str">
        <f>DataT7c!E4</f>
        <v>2000 Price index   (€)</v>
      </c>
      <c r="E2" s="1" t="str">
        <f>DataT7c!F4</f>
        <v>2020 Price index   (€)</v>
      </c>
      <c r="F2" s="1" t="str">
        <f>DataT7c!G4</f>
        <v>2025 Price index   (€)</v>
      </c>
      <c r="G2" s="1" t="str">
        <f>DataT7c!H4</f>
        <v>Annual growth rate 1800-2025</v>
      </c>
      <c r="H2" s="1" t="str">
        <f>DataT7c!I4</f>
        <v>Annual growth rate 1980-2000</v>
      </c>
      <c r="I2" s="1" t="str">
        <f>DataT7c!J4</f>
        <v>Annual growth rate 2000-2025</v>
      </c>
      <c r="J2" s="1" t="str">
        <f>DataT7c!K4</f>
        <v>Annual growth rate 2020-2025</v>
      </c>
    </row>
    <row r="3" spans="1:10" ht="43" customHeight="1" thickBot="1" x14ac:dyDescent="0.25">
      <c r="A3" s="69" t="str">
        <f>DataT7c!B5</f>
        <v>East Asia</v>
      </c>
      <c r="B3" s="73">
        <f>DataT7c!C5</f>
        <v>1.3899111654609442E-3</v>
      </c>
      <c r="C3" s="73">
        <f>DataT7c!D5</f>
        <v>0.38338971138000488</v>
      </c>
      <c r="D3" s="73">
        <f>DataT7c!E5</f>
        <v>1.0778207778930664</v>
      </c>
      <c r="E3" s="73">
        <f>DataT7c!F5</f>
        <v>1.0622771978378296</v>
      </c>
      <c r="F3" s="73">
        <f>DataT7c!G5</f>
        <v>1</v>
      </c>
      <c r="G3" s="73">
        <f>DataT7c!H5</f>
        <v>2.9669468402862549</v>
      </c>
      <c r="H3" s="73">
        <f>DataT7c!I5</f>
        <v>5.3041057586669922</v>
      </c>
      <c r="I3" s="73">
        <f>DataT7c!J5</f>
        <v>-0.29931595921516418</v>
      </c>
      <c r="J3" s="73">
        <f>DataT7c!K5</f>
        <v>-1.201027512550354</v>
      </c>
    </row>
    <row r="4" spans="1:10" ht="43" customHeight="1" thickBot="1" x14ac:dyDescent="0.25">
      <c r="A4" s="69" t="str">
        <f>DataT7c!B6</f>
        <v>Europe</v>
      </c>
      <c r="B4" s="53">
        <f>DataT7c!C6</f>
        <v>1.9370104419067502E-3</v>
      </c>
      <c r="C4" s="53">
        <f>DataT7c!D6</f>
        <v>0.27626639604568481</v>
      </c>
      <c r="D4" s="53">
        <f>DataT7c!E6</f>
        <v>0.61933761835098267</v>
      </c>
      <c r="E4" s="53">
        <f>DataT7c!F6</f>
        <v>0.81865960359573364</v>
      </c>
      <c r="F4" s="53">
        <f>DataT7c!G6</f>
        <v>1</v>
      </c>
      <c r="G4" s="53">
        <f>DataT7c!H6</f>
        <v>2.8151683807373047</v>
      </c>
      <c r="H4" s="53">
        <f>DataT7c!I6</f>
        <v>4.1189956665039062</v>
      </c>
      <c r="I4" s="53">
        <f>DataT7c!J6</f>
        <v>1.9349000453948975</v>
      </c>
      <c r="J4" s="53">
        <f>DataT7c!K6</f>
        <v>4.0828866958618164</v>
      </c>
    </row>
    <row r="5" spans="1:10" ht="43" customHeight="1" thickBot="1" x14ac:dyDescent="0.25">
      <c r="A5" s="69" t="str">
        <f>DataT7c!B7</f>
        <v>Latin America</v>
      </c>
      <c r="B5" s="73">
        <f>DataT7c!C7</f>
        <v>1.8849949119612575E-3</v>
      </c>
      <c r="C5" s="73">
        <f>DataT7c!D7</f>
        <v>0.277261883020401</v>
      </c>
      <c r="D5" s="73">
        <f>DataT7c!E7</f>
        <v>0.66564899682998657</v>
      </c>
      <c r="E5" s="73">
        <f>DataT7c!F7</f>
        <v>0.74560320377349854</v>
      </c>
      <c r="F5" s="73">
        <f>DataT7c!G7</f>
        <v>1</v>
      </c>
      <c r="G5" s="73">
        <f>DataT7c!H7</f>
        <v>2.8276078701019287</v>
      </c>
      <c r="H5" s="73">
        <f>DataT7c!I7</f>
        <v>4.4762930870056152</v>
      </c>
      <c r="I5" s="73">
        <f>DataT7c!J7</f>
        <v>1.6412947177886963</v>
      </c>
      <c r="J5" s="73">
        <f>DataT7c!K7</f>
        <v>6.0470147132873535</v>
      </c>
    </row>
    <row r="6" spans="1:10" ht="43" customHeight="1" thickBot="1" x14ac:dyDescent="0.25">
      <c r="A6" s="22" t="str">
        <f>DataT7c!B8</f>
        <v>MENA</v>
      </c>
      <c r="B6" s="73">
        <f>DataT7c!C8</f>
        <v>1.8162765773013234E-3</v>
      </c>
      <c r="C6" s="73">
        <f>DataT7c!D8</f>
        <v>0.33761250972747803</v>
      </c>
      <c r="D6" s="73">
        <f>DataT7c!E8</f>
        <v>0.59566491842269897</v>
      </c>
      <c r="E6" s="73">
        <f>DataT7c!F8</f>
        <v>0.77855205535888672</v>
      </c>
      <c r="F6" s="73">
        <f>DataT7c!G8</f>
        <v>1</v>
      </c>
      <c r="G6" s="73">
        <f>DataT7c!H8</f>
        <v>2.844581127166748</v>
      </c>
      <c r="H6" s="73">
        <f>DataT7c!I8</f>
        <v>2.8795781135559082</v>
      </c>
      <c r="I6" s="73">
        <f>DataT7c!J8</f>
        <v>2.0939292907714844</v>
      </c>
      <c r="J6" s="73">
        <f>DataT7c!K8</f>
        <v>5.1338257789611816</v>
      </c>
    </row>
    <row r="7" spans="1:10" ht="43" customHeight="1" thickBot="1" x14ac:dyDescent="0.25">
      <c r="A7" s="22" t="str">
        <f>DataT7c!B9</f>
        <v>North America &amp; Oceania</v>
      </c>
      <c r="B7" s="73">
        <f>DataT7c!C9</f>
        <v>1.858808915130794E-3</v>
      </c>
      <c r="C7" s="73">
        <f>DataT7c!D9</f>
        <v>0.25418952107429504</v>
      </c>
      <c r="D7" s="73">
        <f>DataT7c!E9</f>
        <v>0.70405858755111694</v>
      </c>
      <c r="E7" s="73">
        <f>DataT7c!F9</f>
        <v>0.84505873918533325</v>
      </c>
      <c r="F7" s="73">
        <f>DataT7c!G9</f>
        <v>1</v>
      </c>
      <c r="G7" s="73">
        <f>DataT7c!H9</f>
        <v>2.8340013027191162</v>
      </c>
      <c r="H7" s="73">
        <f>DataT7c!I9</f>
        <v>5.2258777618408203</v>
      </c>
      <c r="I7" s="73">
        <f>DataT7c!J9</f>
        <v>1.4134712219238281</v>
      </c>
      <c r="J7" s="73">
        <f>DataT7c!K9</f>
        <v>3.4243073463439941</v>
      </c>
    </row>
    <row r="8" spans="1:10" ht="43" customHeight="1" thickBot="1" x14ac:dyDescent="0.25">
      <c r="A8" s="22" t="str">
        <f>DataT7c!B10</f>
        <v>Russia &amp; Central Asia</v>
      </c>
      <c r="B8" s="73">
        <f>DataT7c!C10</f>
        <v>3.2267640344798565E-3</v>
      </c>
      <c r="C8" s="73">
        <f>DataT7c!D10</f>
        <v>0.38675940036773682</v>
      </c>
      <c r="D8" s="73">
        <f>DataT7c!E10</f>
        <v>0.26038265228271484</v>
      </c>
      <c r="E8" s="73">
        <f>DataT7c!F10</f>
        <v>0.66073036193847656</v>
      </c>
      <c r="F8" s="73">
        <f>DataT7c!G10</f>
        <v>1</v>
      </c>
      <c r="G8" s="73">
        <f>DataT7c!H10</f>
        <v>2.5822322368621826</v>
      </c>
      <c r="H8" s="73">
        <f>DataT7c!I10</f>
        <v>-1.9588135480880737</v>
      </c>
      <c r="I8" s="73">
        <f>DataT7c!J10</f>
        <v>5.5298981666564941</v>
      </c>
      <c r="J8" s="73">
        <f>DataT7c!K10</f>
        <v>8.6413488388061523</v>
      </c>
    </row>
    <row r="9" spans="1:10" ht="43" customHeight="1" thickBot="1" x14ac:dyDescent="0.25">
      <c r="A9" s="22" t="str">
        <f>DataT7c!B11</f>
        <v>South &amp; South-East Asia</v>
      </c>
      <c r="B9" s="53">
        <f>DataT7c!C11</f>
        <v>3.0061108991503716E-3</v>
      </c>
      <c r="C9" s="53">
        <f>DataT7c!D11</f>
        <v>0.41356220841407776</v>
      </c>
      <c r="D9" s="53">
        <f>DataT7c!E11</f>
        <v>0.63543277978897095</v>
      </c>
      <c r="E9" s="53">
        <f>DataT7c!F11</f>
        <v>0.94979643821716309</v>
      </c>
      <c r="F9" s="53">
        <f>DataT7c!G11</f>
        <v>1</v>
      </c>
      <c r="G9" s="53">
        <f>DataT7c!H11</f>
        <v>2.6145315170288086</v>
      </c>
      <c r="H9" s="53">
        <f>DataT7c!I11</f>
        <v>2.1707162857055664</v>
      </c>
      <c r="I9" s="53">
        <f>DataT7c!J11</f>
        <v>1.8303450345993042</v>
      </c>
      <c r="J9" s="53">
        <f>DataT7c!K11</f>
        <v>1.0354762077331543</v>
      </c>
    </row>
    <row r="10" spans="1:10" ht="43" customHeight="1" thickBot="1" x14ac:dyDescent="0.25">
      <c r="A10" s="22" t="str">
        <f>DataT7c!B12</f>
        <v>Sub-Saharan Africa</v>
      </c>
      <c r="B10" s="53">
        <f>DataT7c!C12</f>
        <v>2.2162522654980421E-3</v>
      </c>
      <c r="C10" s="53">
        <f>DataT7c!D12</f>
        <v>0.686370849609375</v>
      </c>
      <c r="D10" s="53">
        <f>DataT7c!E12</f>
        <v>0.49866348505020142</v>
      </c>
      <c r="E10" s="53">
        <f>DataT7c!F12</f>
        <v>0.83866417407989502</v>
      </c>
      <c r="F10" s="53">
        <f>DataT7c!G12</f>
        <v>1</v>
      </c>
      <c r="G10" s="53">
        <f>DataT7c!H12</f>
        <v>2.7536478042602539</v>
      </c>
      <c r="H10" s="53">
        <f>DataT7c!I12</f>
        <v>-1.5847417116165161</v>
      </c>
      <c r="I10" s="53">
        <f>DataT7c!J12</f>
        <v>2.8223907947540283</v>
      </c>
      <c r="J10" s="53">
        <f>DataT7c!K12</f>
        <v>3.5815443992614746</v>
      </c>
    </row>
    <row r="11" spans="1:10" ht="43" customHeight="1" thickBot="1" x14ac:dyDescent="0.25">
      <c r="A11" s="23" t="str">
        <f>DataT7c!B13</f>
        <v>World</v>
      </c>
      <c r="B11" s="74">
        <f>DataT7c!C13</f>
        <v>1.9296250538900495E-3</v>
      </c>
      <c r="C11" s="74">
        <f>DataT7c!D13</f>
        <v>0.29947540163993835</v>
      </c>
      <c r="D11" s="74">
        <f>DataT7c!E13</f>
        <v>0.69861239194869995</v>
      </c>
      <c r="E11" s="74">
        <f>DataT7c!F13</f>
        <v>0.87662148475646973</v>
      </c>
      <c r="F11" s="74">
        <f>DataT7c!G13</f>
        <v>1</v>
      </c>
      <c r="G11" s="74">
        <f>DataT7c!H13</f>
        <v>2.8169140815734863</v>
      </c>
      <c r="H11" s="74">
        <f>DataT7c!I13</f>
        <v>4.3262882232666016</v>
      </c>
      <c r="I11" s="74">
        <f>DataT7c!J13</f>
        <v>1.4449771642684937</v>
      </c>
      <c r="J11" s="74">
        <f>DataT7c!K13</f>
        <v>2.6685853004455566</v>
      </c>
    </row>
    <row r="12" spans="1:10" ht="15" customHeight="1" x14ac:dyDescent="0.2">
      <c r="A12" s="139" t="s">
        <v>680</v>
      </c>
      <c r="B12" s="140"/>
      <c r="C12" s="140"/>
      <c r="D12" s="140"/>
      <c r="E12" s="140"/>
      <c r="F12" s="140"/>
      <c r="G12" s="140"/>
      <c r="H12" s="140"/>
      <c r="I12" s="140"/>
      <c r="J12" s="141"/>
    </row>
    <row r="13" spans="1:10" ht="16" thickBot="1" x14ac:dyDescent="0.25">
      <c r="A13" s="142"/>
      <c r="B13" s="143"/>
      <c r="C13" s="143"/>
      <c r="D13" s="143"/>
      <c r="E13" s="143"/>
      <c r="F13" s="143"/>
      <c r="G13" s="143"/>
      <c r="H13" s="143"/>
      <c r="I13" s="143"/>
      <c r="J13" s="144"/>
    </row>
  </sheetData>
  <mergeCells count="2">
    <mergeCell ref="A1:J1"/>
    <mergeCell ref="A12:J13"/>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7835CB-1439-EB49-A9C4-F22D0DD8C600}">
  <sheetPr>
    <tabColor theme="8"/>
  </sheetPr>
  <dimension ref="A1:J13"/>
  <sheetViews>
    <sheetView workbookViewId="0">
      <selection activeCell="M13" sqref="M13"/>
    </sheetView>
  </sheetViews>
  <sheetFormatPr baseColWidth="10" defaultRowHeight="43" customHeight="1" x14ac:dyDescent="0.2"/>
  <cols>
    <col min="1" max="1" width="19.5" customWidth="1"/>
    <col min="2" max="6" width="13.83203125" customWidth="1"/>
    <col min="7" max="10" width="17.6640625" customWidth="1"/>
  </cols>
  <sheetData>
    <row r="1" spans="1:10" ht="17" thickBot="1" x14ac:dyDescent="0.25">
      <c r="A1" s="111" t="str">
        <f>DataT7d!B3</f>
        <v xml:space="preserve">Table 7d. Price index Growth  $ by World Regions (1980-2025) </v>
      </c>
      <c r="B1" s="112"/>
      <c r="C1" s="112"/>
      <c r="D1" s="112"/>
      <c r="E1" s="112"/>
      <c r="F1" s="112"/>
      <c r="G1" s="112"/>
      <c r="H1" s="112"/>
      <c r="I1" s="112"/>
      <c r="J1" s="113"/>
    </row>
    <row r="2" spans="1:10" ht="69" thickBot="1" x14ac:dyDescent="0.25">
      <c r="A2" s="21"/>
      <c r="B2" s="1" t="str">
        <f>DataT7d!C4</f>
        <v>1800 Price index   ($)</v>
      </c>
      <c r="C2" s="1" t="str">
        <f>DataT7d!D4</f>
        <v>1980 Price index   ($)</v>
      </c>
      <c r="D2" s="1" t="str">
        <f>DataT7d!E4</f>
        <v>2000 Price index   ($)</v>
      </c>
      <c r="E2" s="1" t="str">
        <f>DataT7d!F4</f>
        <v>2020 Price index   ($)</v>
      </c>
      <c r="F2" s="1" t="str">
        <f>DataT7d!G4</f>
        <v>2025 Price index   ($)</v>
      </c>
      <c r="G2" s="1" t="str">
        <f>DataT7d!H4</f>
        <v>Annual growth rate 1800-2025</v>
      </c>
      <c r="H2" s="1" t="str">
        <f>DataT7d!I4</f>
        <v>Annual growth rate 1980-2000</v>
      </c>
      <c r="I2" s="1" t="str">
        <f>DataT7d!J4</f>
        <v>Annual growth rate 2000-2025</v>
      </c>
      <c r="J2" s="1" t="str">
        <f>DataT7d!K4</f>
        <v>Annual growth rate 2020-2025</v>
      </c>
    </row>
    <row r="3" spans="1:10" ht="43" customHeight="1" thickBot="1" x14ac:dyDescent="0.25">
      <c r="A3" s="69" t="str">
        <f>DataT7d!B5</f>
        <v>East Asia</v>
      </c>
      <c r="B3" s="73">
        <f>DataT7d!C5</f>
        <v>1.8200267106294632E-2</v>
      </c>
      <c r="C3" s="73">
        <f>DataT7d!D5</f>
        <v>0.4635564386844635</v>
      </c>
      <c r="D3" s="73">
        <f>DataT7d!E5</f>
        <v>0.84461045265197754</v>
      </c>
      <c r="E3" s="73">
        <f>DataT7d!F5</f>
        <v>1.0294343233108521</v>
      </c>
      <c r="F3" s="73">
        <f>DataT7d!G5</f>
        <v>1</v>
      </c>
      <c r="G3" s="73">
        <f>DataT7d!H5</f>
        <v>1.7965332269668579</v>
      </c>
      <c r="H3" s="73">
        <f>DataT7d!I5</f>
        <v>3.0451822280883789</v>
      </c>
      <c r="I3" s="73">
        <f>DataT7d!J5</f>
        <v>0.67780584096908569</v>
      </c>
      <c r="J3" s="73">
        <f>DataT7d!K5</f>
        <v>-0.57850915193557739</v>
      </c>
    </row>
    <row r="4" spans="1:10" ht="43" customHeight="1" thickBot="1" x14ac:dyDescent="0.25">
      <c r="A4" s="69" t="str">
        <f>DataT7d!B6</f>
        <v>Europe</v>
      </c>
      <c r="B4" s="53">
        <f>DataT7d!C6</f>
        <v>2.5364289060235023E-2</v>
      </c>
      <c r="C4" s="53">
        <f>DataT7d!D6</f>
        <v>0.33403363823890686</v>
      </c>
      <c r="D4" s="53">
        <f>DataT7d!E6</f>
        <v>0.48533031344413757</v>
      </c>
      <c r="E4" s="53">
        <f>DataT7d!F6</f>
        <v>0.79334819316864014</v>
      </c>
      <c r="F4" s="53">
        <f>DataT7d!G6</f>
        <v>1</v>
      </c>
      <c r="G4" s="53">
        <f>DataT7d!H6</f>
        <v>1.6464799642562866</v>
      </c>
      <c r="H4" s="53">
        <f>DataT7d!I6</f>
        <v>1.8854951858520508</v>
      </c>
      <c r="I4" s="53">
        <f>DataT7d!J6</f>
        <v>2.9339179992675781</v>
      </c>
      <c r="J4" s="53">
        <f>DataT7d!K6</f>
        <v>4.7387127876281738</v>
      </c>
    </row>
    <row r="5" spans="1:10" ht="43" customHeight="1" thickBot="1" x14ac:dyDescent="0.25">
      <c r="A5" s="69" t="str">
        <f>DataT7d!B7</f>
        <v>Latin America</v>
      </c>
      <c r="B5" s="73">
        <f>DataT7d!C7</f>
        <v>2.4683170020580292E-2</v>
      </c>
      <c r="C5" s="73">
        <f>DataT7d!D7</f>
        <v>0.3352372944355011</v>
      </c>
      <c r="D5" s="73">
        <f>DataT7d!E7</f>
        <v>0.52162116765975952</v>
      </c>
      <c r="E5" s="73">
        <f>DataT7d!F7</f>
        <v>0.72255104780197144</v>
      </c>
      <c r="F5" s="73">
        <f>DataT7d!G7</f>
        <v>1</v>
      </c>
      <c r="G5" s="73">
        <f>DataT7d!H7</f>
        <v>1.6587779521942139</v>
      </c>
      <c r="H5" s="73">
        <f>DataT7d!I7</f>
        <v>2.2351276874542236</v>
      </c>
      <c r="I5" s="73">
        <f>DataT7d!J7</f>
        <v>2.6374354362487793</v>
      </c>
      <c r="J5" s="73">
        <f>DataT7d!K7</f>
        <v>6.7152023315429688</v>
      </c>
    </row>
    <row r="6" spans="1:10" ht="43" customHeight="1" thickBot="1" x14ac:dyDescent="0.25">
      <c r="A6" s="22" t="str">
        <f>DataT7d!B8</f>
        <v>MENA</v>
      </c>
      <c r="B6" s="73">
        <f>DataT7d!C8</f>
        <v>2.3783335462212563E-2</v>
      </c>
      <c r="C6" s="73">
        <f>DataT7d!D8</f>
        <v>0.40820720791816711</v>
      </c>
      <c r="D6" s="73">
        <f>DataT7d!E8</f>
        <v>0.46677970886230469</v>
      </c>
      <c r="E6" s="73">
        <f>DataT7d!F8</f>
        <v>0.75448125600814819</v>
      </c>
      <c r="F6" s="73">
        <f>DataT7d!G8</f>
        <v>1</v>
      </c>
      <c r="G6" s="73">
        <f>DataT7d!H8</f>
        <v>1.6755582094192505</v>
      </c>
      <c r="H6" s="73">
        <f>DataT7d!I8</f>
        <v>0.67266488075256348</v>
      </c>
      <c r="I6" s="73">
        <f>DataT7d!J8</f>
        <v>3.094505786895752</v>
      </c>
      <c r="J6" s="73">
        <f>DataT7d!K8</f>
        <v>5.7962584495544434</v>
      </c>
    </row>
    <row r="7" spans="1:10" ht="43" customHeight="1" thickBot="1" x14ac:dyDescent="0.25">
      <c r="A7" s="22" t="str">
        <f>DataT7d!B9</f>
        <v>North America &amp; Oceania</v>
      </c>
      <c r="B7" s="73">
        <f>DataT7d!C9</f>
        <v>2.4340277537703514E-2</v>
      </c>
      <c r="C7" s="73">
        <f>DataT7d!D9</f>
        <v>0.30734050273895264</v>
      </c>
      <c r="D7" s="73">
        <f>DataT7d!E9</f>
        <v>0.5517200231552124</v>
      </c>
      <c r="E7" s="73">
        <f>DataT7d!F9</f>
        <v>0.81893175840377808</v>
      </c>
      <c r="F7" s="73">
        <f>DataT7d!G9</f>
        <v>1</v>
      </c>
      <c r="G7" s="73">
        <f>DataT7d!H9</f>
        <v>1.6650986671447754</v>
      </c>
      <c r="H7" s="73">
        <f>DataT7d!I9</f>
        <v>2.9686331748962402</v>
      </c>
      <c r="I7" s="73">
        <f>DataT7d!J9</f>
        <v>2.4073789119720459</v>
      </c>
      <c r="J7" s="73">
        <f>DataT7d!K9</f>
        <v>4.0759677886962891</v>
      </c>
    </row>
    <row r="8" spans="1:10" ht="43" customHeight="1" thickBot="1" x14ac:dyDescent="0.25">
      <c r="A8" s="22" t="str">
        <f>DataT7d!B10</f>
        <v>Russia &amp; Central Asia</v>
      </c>
      <c r="B8" s="73">
        <f>DataT7d!C10</f>
        <v>4.22530397772789E-2</v>
      </c>
      <c r="C8" s="73">
        <f>DataT7d!D10</f>
        <v>0.46763074398040771</v>
      </c>
      <c r="D8" s="73">
        <f>DataT7d!E10</f>
        <v>0.20404313504695892</v>
      </c>
      <c r="E8" s="73">
        <f>DataT7d!F10</f>
        <v>0.64030230045318604</v>
      </c>
      <c r="F8" s="73">
        <f>DataT7d!G10</f>
        <v>1</v>
      </c>
      <c r="G8" s="73">
        <f>DataT7d!H10</f>
        <v>1.416191577911377</v>
      </c>
      <c r="H8" s="73">
        <f>DataT7d!I10</f>
        <v>-4.0619368553161621</v>
      </c>
      <c r="I8" s="73">
        <f>DataT7d!J10</f>
        <v>6.5641489028930664</v>
      </c>
      <c r="J8" s="73">
        <f>DataT7d!K10</f>
        <v>9.3258810043334961</v>
      </c>
    </row>
    <row r="9" spans="1:10" ht="43" customHeight="1" thickBot="1" x14ac:dyDescent="0.25">
      <c r="A9" s="22" t="str">
        <f>DataT7d!B11</f>
        <v>South &amp; South-East Asia</v>
      </c>
      <c r="B9" s="53">
        <f>DataT7d!C11</f>
        <v>3.9363682270050049E-2</v>
      </c>
      <c r="C9" s="53">
        <f>DataT7d!D11</f>
        <v>0.5000380277633667</v>
      </c>
      <c r="D9" s="53">
        <f>DataT7d!E11</f>
        <v>0.49794289469718933</v>
      </c>
      <c r="E9" s="53">
        <f>DataT7d!F11</f>
        <v>0.92043125629425049</v>
      </c>
      <c r="F9" s="53">
        <f>DataT7d!G11</f>
        <v>1</v>
      </c>
      <c r="G9" s="53">
        <f>DataT7d!H11</f>
        <v>1.4481236934661865</v>
      </c>
      <c r="H9" s="53">
        <f>DataT7d!I11</f>
        <v>-2.0991545170545578E-2</v>
      </c>
      <c r="I9" s="53">
        <f>DataT7d!J11</f>
        <v>2.8283383846282959</v>
      </c>
      <c r="J9" s="53">
        <f>DataT7d!K11</f>
        <v>1.6720846891403198</v>
      </c>
    </row>
    <row r="10" spans="1:10" ht="43" customHeight="1" thickBot="1" x14ac:dyDescent="0.25">
      <c r="A10" s="22" t="str">
        <f>DataT7d!B12</f>
        <v>Sub-Saharan Africa</v>
      </c>
      <c r="B10" s="53">
        <f>DataT7d!C12</f>
        <v>2.9020840302109718E-2</v>
      </c>
      <c r="C10" s="53">
        <f>DataT7d!D12</f>
        <v>0.8298909068107605</v>
      </c>
      <c r="D10" s="53">
        <f>DataT7d!E12</f>
        <v>0.39076665043830872</v>
      </c>
      <c r="E10" s="53">
        <f>DataT7d!F12</f>
        <v>0.81273490190505981</v>
      </c>
      <c r="F10" s="53">
        <f>DataT7d!G12</f>
        <v>1</v>
      </c>
      <c r="G10" s="53">
        <f>DataT7d!H12</f>
        <v>1.5856584310531616</v>
      </c>
      <c r="H10" s="53">
        <f>DataT7d!I12</f>
        <v>-3.6958894729614258</v>
      </c>
      <c r="I10" s="53">
        <f>DataT7d!J12</f>
        <v>3.8301067352294922</v>
      </c>
      <c r="J10" s="53">
        <f>DataT7d!K12</f>
        <v>4.2341952323913574</v>
      </c>
    </row>
    <row r="11" spans="1:10" ht="43" customHeight="1" thickBot="1" x14ac:dyDescent="0.25">
      <c r="A11" s="23" t="str">
        <f>DataT7d!B13</f>
        <v>World</v>
      </c>
      <c r="B11" s="74">
        <f>DataT7d!C13</f>
        <v>2.5267582386732101E-2</v>
      </c>
      <c r="C11" s="74">
        <f>DataT7d!D13</f>
        <v>0.36209565401077271</v>
      </c>
      <c r="D11" s="74">
        <f>DataT7d!E13</f>
        <v>0.54745227098464966</v>
      </c>
      <c r="E11" s="74">
        <f>DataT7d!F13</f>
        <v>0.84951847791671753</v>
      </c>
      <c r="F11" s="74">
        <f>DataT7d!G13</f>
        <v>1</v>
      </c>
      <c r="G11" s="74">
        <f>DataT7d!H13</f>
        <v>1.6482057571411133</v>
      </c>
      <c r="H11" s="74">
        <f>DataT7d!I13</f>
        <v>2.088341236114502</v>
      </c>
      <c r="I11" s="74">
        <f>DataT7d!J13</f>
        <v>2.4391932487487793</v>
      </c>
      <c r="J11" s="74">
        <f>DataT7d!K13</f>
        <v>3.3154885768890381</v>
      </c>
    </row>
    <row r="12" spans="1:10" ht="15" customHeight="1" x14ac:dyDescent="0.2">
      <c r="A12" s="139" t="s">
        <v>681</v>
      </c>
      <c r="B12" s="140"/>
      <c r="C12" s="140"/>
      <c r="D12" s="140"/>
      <c r="E12" s="140"/>
      <c r="F12" s="140"/>
      <c r="G12" s="140"/>
      <c r="H12" s="140"/>
      <c r="I12" s="140"/>
      <c r="J12" s="141"/>
    </row>
    <row r="13" spans="1:10" ht="16" thickBot="1" x14ac:dyDescent="0.25">
      <c r="A13" s="142"/>
      <c r="B13" s="143"/>
      <c r="C13" s="143"/>
      <c r="D13" s="143"/>
      <c r="E13" s="143"/>
      <c r="F13" s="143"/>
      <c r="G13" s="143"/>
      <c r="H13" s="143"/>
      <c r="I13" s="143"/>
      <c r="J13" s="144"/>
    </row>
  </sheetData>
  <mergeCells count="2">
    <mergeCell ref="A1:J1"/>
    <mergeCell ref="A12:J13"/>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88931F-83A8-864F-BB3A-6F4D3A9E84E6}">
  <sheetPr>
    <tabColor theme="8"/>
  </sheetPr>
  <dimension ref="A1:K62"/>
  <sheetViews>
    <sheetView workbookViewId="0">
      <pane ySplit="2" topLeftCell="A48" activePane="bottomLeft" state="frozen"/>
      <selection pane="bottomLeft" activeCell="F63" sqref="F63"/>
    </sheetView>
  </sheetViews>
  <sheetFormatPr baseColWidth="10" defaultRowHeight="32" customHeight="1" x14ac:dyDescent="0.2"/>
  <cols>
    <col min="1" max="1" width="15.5" customWidth="1"/>
    <col min="2" max="2" width="19.33203125" customWidth="1"/>
    <col min="3" max="7" width="15.6640625" customWidth="1"/>
    <col min="8" max="11" width="17.6640625" customWidth="1"/>
  </cols>
  <sheetData>
    <row r="1" spans="1:11" ht="32" customHeight="1" thickBot="1" x14ac:dyDescent="0.25">
      <c r="A1" s="111" t="str">
        <f>DataT8!B3</f>
        <v xml:space="preserve">Table 8. Price index Growth  €  by Core countries (1980-2025) </v>
      </c>
      <c r="B1" s="112"/>
      <c r="C1" s="112"/>
      <c r="D1" s="112"/>
      <c r="E1" s="112"/>
      <c r="F1" s="112"/>
      <c r="G1" s="112"/>
      <c r="H1" s="112"/>
      <c r="I1" s="112"/>
      <c r="J1" s="112"/>
      <c r="K1" s="113"/>
    </row>
    <row r="2" spans="1:11" ht="73" customHeight="1" thickBot="1" x14ac:dyDescent="0.25">
      <c r="A2" s="76" t="str">
        <f>DataT8!B4</f>
        <v>Region</v>
      </c>
      <c r="B2" s="1" t="str">
        <f>DataT8!C4</f>
        <v>Country</v>
      </c>
      <c r="C2" s="1" t="str">
        <f>DataT8!D4</f>
        <v>1800 Price index   (€)</v>
      </c>
      <c r="D2" s="1" t="str">
        <f>DataT8!E4</f>
        <v>1980 Price index   (€)</v>
      </c>
      <c r="E2" s="1" t="str">
        <f>DataT8!F4</f>
        <v>2000 Price index   (€)</v>
      </c>
      <c r="F2" s="1" t="str">
        <f>DataT8!G4</f>
        <v>2020 Price index   (€)</v>
      </c>
      <c r="G2" s="1" t="str">
        <f>DataT8!H4</f>
        <v>2025 Price index   (€)</v>
      </c>
      <c r="H2" s="1" t="str">
        <f>DataT8!I4</f>
        <v>Annual growth rate 1800-2025</v>
      </c>
      <c r="I2" s="1" t="str">
        <f>DataT8!J4</f>
        <v>Annual growth rate 1980-2000</v>
      </c>
      <c r="J2" s="1" t="str">
        <f>DataT8!K4</f>
        <v>Annual growth rate 2000-2025</v>
      </c>
      <c r="K2" s="1" t="str">
        <f>DataT8!L4</f>
        <v>Annual growth rate 2020-2025</v>
      </c>
    </row>
    <row r="3" spans="1:11" ht="32" customHeight="1" thickBot="1" x14ac:dyDescent="0.25">
      <c r="A3" s="154" t="str">
        <f>DataT8!B5</f>
        <v>East Asia</v>
      </c>
      <c r="B3" s="1" t="str">
        <f>DataT8!C5</f>
        <v>Other East Asia</v>
      </c>
      <c r="C3" s="182">
        <f>DataT8!D5</f>
        <v>1.551026594825089E-3</v>
      </c>
      <c r="D3" s="182">
        <f>DataT8!E5</f>
        <v>0.94521427154541016</v>
      </c>
      <c r="E3" s="182">
        <f>DataT8!F5</f>
        <v>0.91182923316955566</v>
      </c>
      <c r="F3" s="182">
        <f>DataT8!G5</f>
        <v>0.88764333724975586</v>
      </c>
      <c r="G3" s="182">
        <f>DataT8!H5</f>
        <v>1</v>
      </c>
      <c r="H3" s="182">
        <f>DataT8!I5</f>
        <v>2.9167673587799072</v>
      </c>
      <c r="I3" s="182">
        <f>DataT8!J5</f>
        <v>-0.17963305115699768</v>
      </c>
      <c r="J3" s="182">
        <f>DataT8!K5</f>
        <v>0.36989262700080872</v>
      </c>
      <c r="K3" s="182">
        <f>DataT8!L5</f>
        <v>2.4123425483703613</v>
      </c>
    </row>
    <row r="4" spans="1:11" ht="32" customHeight="1" thickBot="1" x14ac:dyDescent="0.25">
      <c r="A4" s="155"/>
      <c r="B4" s="1" t="str">
        <f>DataT8!C6</f>
        <v>South Korea</v>
      </c>
      <c r="C4" s="182">
        <f>DataT8!D6</f>
        <v>1.591101405210793E-3</v>
      </c>
      <c r="D4" s="182">
        <f>DataT8!E6</f>
        <v>0.30515170097351074</v>
      </c>
      <c r="E4" s="182">
        <f>DataT8!F6</f>
        <v>0.6144288182258606</v>
      </c>
      <c r="F4" s="182">
        <f>DataT8!G6</f>
        <v>0.83984231948852539</v>
      </c>
      <c r="G4" s="182">
        <f>DataT8!H6</f>
        <v>1</v>
      </c>
      <c r="H4" s="182">
        <f>DataT8!I6</f>
        <v>2.9050998687744141</v>
      </c>
      <c r="I4" s="182">
        <f>DataT8!J6</f>
        <v>3.5613706111907959</v>
      </c>
      <c r="J4" s="182">
        <f>DataT8!K6</f>
        <v>1.967350959777832</v>
      </c>
      <c r="K4" s="182">
        <f>DataT8!L6</f>
        <v>3.552466869354248</v>
      </c>
    </row>
    <row r="5" spans="1:11" ht="32" customHeight="1" thickBot="1" x14ac:dyDescent="0.25">
      <c r="A5" s="155"/>
      <c r="B5" s="1" t="str">
        <f>DataT8!C7</f>
        <v>China</v>
      </c>
      <c r="C5" s="182">
        <f>DataT8!D7</f>
        <v>1.5273588942363858E-3</v>
      </c>
      <c r="D5" s="182">
        <f>DataT8!E7</f>
        <v>0.30515167117118835</v>
      </c>
      <c r="E5" s="182">
        <f>DataT8!F7</f>
        <v>0.61442875862121582</v>
      </c>
      <c r="F5" s="182">
        <f>DataT8!G7</f>
        <v>0.83984220027923584</v>
      </c>
      <c r="G5" s="182">
        <f>DataT8!H7</f>
        <v>1</v>
      </c>
      <c r="H5" s="182">
        <f>DataT8!I7</f>
        <v>2.9238011837005615</v>
      </c>
      <c r="I5" s="182">
        <f>DataT8!J7</f>
        <v>3.5613706111907959</v>
      </c>
      <c r="J5" s="182">
        <f>DataT8!K7</f>
        <v>1.9673514366149902</v>
      </c>
      <c r="K5" s="182">
        <f>DataT8!L7</f>
        <v>3.5524697303771973</v>
      </c>
    </row>
    <row r="6" spans="1:11" ht="32" customHeight="1" thickBot="1" x14ac:dyDescent="0.25">
      <c r="A6" s="155"/>
      <c r="B6" s="1" t="str">
        <f>DataT8!C8</f>
        <v>Taiwan</v>
      </c>
      <c r="C6" s="182">
        <f>DataT8!D8</f>
        <v>1.5830459306016564E-3</v>
      </c>
      <c r="D6" s="182">
        <f>DataT8!E8</f>
        <v>0.30515170097351074</v>
      </c>
      <c r="E6" s="182">
        <f>DataT8!F8</f>
        <v>0.61442875862121582</v>
      </c>
      <c r="F6" s="182">
        <f>DataT8!G8</f>
        <v>0.83984225988388062</v>
      </c>
      <c r="G6" s="182">
        <f>DataT8!H8</f>
        <v>1</v>
      </c>
      <c r="H6" s="182">
        <f>DataT8!I8</f>
        <v>2.907421350479126</v>
      </c>
      <c r="I6" s="182">
        <f>DataT8!J8</f>
        <v>3.5613698959350586</v>
      </c>
      <c r="J6" s="182">
        <f>DataT8!K8</f>
        <v>1.9673514366149902</v>
      </c>
      <c r="K6" s="182">
        <f>DataT8!L8</f>
        <v>3.5524682998657227</v>
      </c>
    </row>
    <row r="7" spans="1:11" ht="32" customHeight="1" thickBot="1" x14ac:dyDescent="0.25">
      <c r="A7" s="156"/>
      <c r="B7" s="1" t="str">
        <f>DataT8!C9</f>
        <v>Japan</v>
      </c>
      <c r="C7" s="182">
        <f>DataT8!D9</f>
        <v>1.5956759452819824E-3</v>
      </c>
      <c r="D7" s="182">
        <f>DataT8!E9</f>
        <v>0.30515167117118835</v>
      </c>
      <c r="E7" s="182">
        <f>DataT8!F9</f>
        <v>0.61442875862121582</v>
      </c>
      <c r="F7" s="182">
        <f>DataT8!G9</f>
        <v>0.83984220027923584</v>
      </c>
      <c r="G7" s="182">
        <f>DataT8!H9</f>
        <v>1</v>
      </c>
      <c r="H7" s="182">
        <f>DataT8!I9</f>
        <v>2.9037868976593018</v>
      </c>
      <c r="I7" s="182">
        <f>DataT8!J9</f>
        <v>3.5613706111907959</v>
      </c>
      <c r="J7" s="182">
        <f>DataT8!K9</f>
        <v>1.9673514366149902</v>
      </c>
      <c r="K7" s="182">
        <f>DataT8!L9</f>
        <v>3.5524697303771973</v>
      </c>
    </row>
    <row r="8" spans="1:11" ht="32" customHeight="1" thickBot="1" x14ac:dyDescent="0.25">
      <c r="A8" s="154" t="str">
        <f>DataT8!B10</f>
        <v>Europe</v>
      </c>
      <c r="B8" s="1" t="str">
        <f>DataT8!C10</f>
        <v>Italy</v>
      </c>
      <c r="C8" s="182">
        <f>DataT8!D10</f>
        <v>1.5736367786303163E-3</v>
      </c>
      <c r="D8" s="182">
        <f>DataT8!E10</f>
        <v>0.30515167117118835</v>
      </c>
      <c r="E8" s="182">
        <f>DataT8!F10</f>
        <v>0.61442875862121582</v>
      </c>
      <c r="F8" s="182">
        <f>DataT8!G10</f>
        <v>0.83984220027923584</v>
      </c>
      <c r="G8" s="182">
        <f>DataT8!H10</f>
        <v>1</v>
      </c>
      <c r="H8" s="182">
        <f>DataT8!I10</f>
        <v>2.9101479053497314</v>
      </c>
      <c r="I8" s="182">
        <f>DataT8!J10</f>
        <v>3.5613706111907959</v>
      </c>
      <c r="J8" s="182">
        <f>DataT8!K10</f>
        <v>1.9673514366149902</v>
      </c>
      <c r="K8" s="182">
        <f>DataT8!L10</f>
        <v>3.5524697303771973</v>
      </c>
    </row>
    <row r="9" spans="1:11" ht="32" customHeight="1" thickBot="1" x14ac:dyDescent="0.25">
      <c r="A9" s="155"/>
      <c r="B9" s="1" t="str">
        <f>DataT8!C11</f>
        <v>Sweden</v>
      </c>
      <c r="C9" s="182">
        <f>DataT8!D11</f>
        <v>1.5618476318195462E-3</v>
      </c>
      <c r="D9" s="182">
        <f>DataT8!E11</f>
        <v>0.30515170097351074</v>
      </c>
      <c r="E9" s="182">
        <f>DataT8!F11</f>
        <v>0.61442875862121582</v>
      </c>
      <c r="F9" s="182">
        <f>DataT8!G11</f>
        <v>0.83984220027923584</v>
      </c>
      <c r="G9" s="182">
        <f>DataT8!H11</f>
        <v>1</v>
      </c>
      <c r="H9" s="182">
        <f>DataT8!I11</f>
        <v>2.9135873317718506</v>
      </c>
      <c r="I9" s="182">
        <f>DataT8!J11</f>
        <v>3.5613698959350586</v>
      </c>
      <c r="J9" s="182">
        <f>DataT8!K11</f>
        <v>1.9673514366149902</v>
      </c>
      <c r="K9" s="182">
        <f>DataT8!L11</f>
        <v>3.5524697303771973</v>
      </c>
    </row>
    <row r="10" spans="1:11" ht="32" customHeight="1" thickBot="1" x14ac:dyDescent="0.25">
      <c r="A10" s="155"/>
      <c r="B10" s="1" t="str">
        <f>DataT8!C12</f>
        <v>France</v>
      </c>
      <c r="C10" s="182">
        <f>DataT8!D12</f>
        <v>1.5609953552484512E-3</v>
      </c>
      <c r="D10" s="182">
        <f>DataT8!E12</f>
        <v>0.30515167117118835</v>
      </c>
      <c r="E10" s="182">
        <f>DataT8!F12</f>
        <v>0.6144288182258606</v>
      </c>
      <c r="F10" s="182">
        <f>DataT8!G12</f>
        <v>0.83984220027923584</v>
      </c>
      <c r="G10" s="182">
        <f>DataT8!H12</f>
        <v>1</v>
      </c>
      <c r="H10" s="182">
        <f>DataT8!I12</f>
        <v>2.9138369560241699</v>
      </c>
      <c r="I10" s="182">
        <f>DataT8!J12</f>
        <v>3.5613710880279541</v>
      </c>
      <c r="J10" s="182">
        <f>DataT8!K12</f>
        <v>1.967350959777832</v>
      </c>
      <c r="K10" s="182">
        <f>DataT8!L12</f>
        <v>3.5524697303771973</v>
      </c>
    </row>
    <row r="11" spans="1:11" ht="32" customHeight="1" thickBot="1" x14ac:dyDescent="0.25">
      <c r="A11" s="155"/>
      <c r="B11" s="1" t="str">
        <f>DataT8!C13</f>
        <v>United Kingdom</v>
      </c>
      <c r="C11" s="182">
        <f>DataT8!D13</f>
        <v>1.6001290641725063E-3</v>
      </c>
      <c r="D11" s="182">
        <f>DataT8!E13</f>
        <v>0.30515170097351074</v>
      </c>
      <c r="E11" s="182">
        <f>DataT8!F13</f>
        <v>0.61442875862121582</v>
      </c>
      <c r="F11" s="182">
        <f>DataT8!G13</f>
        <v>0.83984214067459106</v>
      </c>
      <c r="G11" s="182">
        <f>DataT8!H13</f>
        <v>1</v>
      </c>
      <c r="H11" s="182">
        <f>DataT8!I13</f>
        <v>2.9025123119354248</v>
      </c>
      <c r="I11" s="182">
        <f>DataT8!J13</f>
        <v>3.5613698959350586</v>
      </c>
      <c r="J11" s="182">
        <f>DataT8!K13</f>
        <v>1.9673514366149902</v>
      </c>
      <c r="K11" s="182">
        <f>DataT8!L13</f>
        <v>3.5524711608886719</v>
      </c>
    </row>
    <row r="12" spans="1:11" ht="32" customHeight="1" thickBot="1" x14ac:dyDescent="0.25">
      <c r="A12" s="155"/>
      <c r="B12" s="1" t="str">
        <f>DataT8!C14</f>
        <v>Other Western Europe</v>
      </c>
      <c r="C12" s="182">
        <f>DataT8!D14</f>
        <v>1.7223391914740205E-3</v>
      </c>
      <c r="D12" s="182">
        <f>DataT8!E14</f>
        <v>0.30867782235145569</v>
      </c>
      <c r="E12" s="182">
        <f>DataT8!F14</f>
        <v>0.62191927433013916</v>
      </c>
      <c r="F12" s="182">
        <f>DataT8!G14</f>
        <v>0.83551532030105591</v>
      </c>
      <c r="G12" s="182">
        <f>DataT8!H14</f>
        <v>1</v>
      </c>
      <c r="H12" s="182">
        <f>DataT8!I14</f>
        <v>2.8688576221466064</v>
      </c>
      <c r="I12" s="182">
        <f>DataT8!J14</f>
        <v>3.5646231174468994</v>
      </c>
      <c r="J12" s="182">
        <f>DataT8!K14</f>
        <v>1.9179404973983765</v>
      </c>
      <c r="K12" s="182">
        <f>DataT8!L14</f>
        <v>3.6595015525817871</v>
      </c>
    </row>
    <row r="13" spans="1:11" ht="32" customHeight="1" thickBot="1" x14ac:dyDescent="0.25">
      <c r="A13" s="155"/>
      <c r="B13" s="1" t="str">
        <f>DataT8!C15</f>
        <v>Germany</v>
      </c>
      <c r="C13" s="182">
        <f>DataT8!D15</f>
        <v>1.5893011586740613E-3</v>
      </c>
      <c r="D13" s="182">
        <f>DataT8!E15</f>
        <v>0.30515167117118835</v>
      </c>
      <c r="E13" s="182">
        <f>DataT8!F15</f>
        <v>0.6144288182258606</v>
      </c>
      <c r="F13" s="182">
        <f>DataT8!G15</f>
        <v>0.83984225988388062</v>
      </c>
      <c r="G13" s="182">
        <f>DataT8!H15</f>
        <v>1</v>
      </c>
      <c r="H13" s="182">
        <f>DataT8!I15</f>
        <v>2.9056177139282227</v>
      </c>
      <c r="I13" s="182">
        <f>DataT8!J15</f>
        <v>3.5613710880279541</v>
      </c>
      <c r="J13" s="182">
        <f>DataT8!K15</f>
        <v>1.967350959777832</v>
      </c>
      <c r="K13" s="182">
        <f>DataT8!L15</f>
        <v>3.5524682998657227</v>
      </c>
    </row>
    <row r="14" spans="1:11" ht="32" customHeight="1" thickBot="1" x14ac:dyDescent="0.25">
      <c r="A14" s="155"/>
      <c r="B14" s="1" t="str">
        <f>DataT8!C16</f>
        <v>Norway</v>
      </c>
      <c r="C14" s="182">
        <f>DataT8!D16</f>
        <v>1.5646473038941622E-3</v>
      </c>
      <c r="D14" s="182">
        <f>DataT8!E16</f>
        <v>0.30515164136886597</v>
      </c>
      <c r="E14" s="182">
        <f>DataT8!F16</f>
        <v>0.61442875862121582</v>
      </c>
      <c r="F14" s="182">
        <f>DataT8!G16</f>
        <v>0.83984220027923584</v>
      </c>
      <c r="G14" s="182">
        <f>DataT8!H16</f>
        <v>1</v>
      </c>
      <c r="H14" s="182">
        <f>DataT8!I16</f>
        <v>2.9127681255340576</v>
      </c>
      <c r="I14" s="182">
        <f>DataT8!J16</f>
        <v>3.5613710880279541</v>
      </c>
      <c r="J14" s="182">
        <f>DataT8!K16</f>
        <v>1.9673514366149902</v>
      </c>
      <c r="K14" s="182">
        <f>DataT8!L16</f>
        <v>3.5524697303771973</v>
      </c>
    </row>
    <row r="15" spans="1:11" ht="32" customHeight="1" thickBot="1" x14ac:dyDescent="0.25">
      <c r="A15" s="155"/>
      <c r="B15" s="1" t="str">
        <f>DataT8!C17</f>
        <v>Eastern Europe</v>
      </c>
      <c r="C15" s="182">
        <f>DataT8!D17</f>
        <v>1.7007762799039483E-3</v>
      </c>
      <c r="D15" s="182">
        <f>DataT8!E17</f>
        <v>0.30026373267173767</v>
      </c>
      <c r="E15" s="182">
        <f>DataT8!F17</f>
        <v>0.60870009660720825</v>
      </c>
      <c r="F15" s="182">
        <f>DataT8!G17</f>
        <v>0.83655267953872681</v>
      </c>
      <c r="G15" s="182">
        <f>DataT8!H17</f>
        <v>1</v>
      </c>
      <c r="H15" s="182">
        <f>DataT8!I17</f>
        <v>2.8746178150177002</v>
      </c>
      <c r="I15" s="182">
        <f>DataT8!J17</f>
        <v>3.5964860916137695</v>
      </c>
      <c r="J15" s="182">
        <f>DataT8!K17</f>
        <v>2.0055649280548096</v>
      </c>
      <c r="K15" s="182">
        <f>DataT8!L17</f>
        <v>3.6337804794311523</v>
      </c>
    </row>
    <row r="16" spans="1:11" ht="32" customHeight="1" thickBot="1" x14ac:dyDescent="0.25">
      <c r="A16" s="155"/>
      <c r="B16" s="1" t="str">
        <f>DataT8!C18</f>
        <v>Spain</v>
      </c>
      <c r="C16" s="182">
        <f>DataT8!D18</f>
        <v>1.5874705277383327E-3</v>
      </c>
      <c r="D16" s="182">
        <f>DataT8!E18</f>
        <v>0.30515167117118835</v>
      </c>
      <c r="E16" s="182">
        <f>DataT8!F18</f>
        <v>0.61442875862121582</v>
      </c>
      <c r="F16" s="182">
        <f>DataT8!G18</f>
        <v>0.83984220027923584</v>
      </c>
      <c r="G16" s="182">
        <f>DataT8!H18</f>
        <v>1</v>
      </c>
      <c r="H16" s="182">
        <f>DataT8!I18</f>
        <v>2.9061446189880371</v>
      </c>
      <c r="I16" s="182">
        <f>DataT8!J18</f>
        <v>3.5613706111907959</v>
      </c>
      <c r="J16" s="182">
        <f>DataT8!K18</f>
        <v>1.9673514366149902</v>
      </c>
      <c r="K16" s="182">
        <f>DataT8!L18</f>
        <v>3.5524697303771973</v>
      </c>
    </row>
    <row r="17" spans="1:11" ht="32" customHeight="1" thickBot="1" x14ac:dyDescent="0.25">
      <c r="A17" s="155"/>
      <c r="B17" s="1" t="str">
        <f>DataT8!C19</f>
        <v>Netherlands</v>
      </c>
      <c r="C17" s="182">
        <f>DataT8!D19</f>
        <v>1.5919366851449013E-3</v>
      </c>
      <c r="D17" s="182">
        <f>DataT8!E19</f>
        <v>0.30515170097351074</v>
      </c>
      <c r="E17" s="182">
        <f>DataT8!F19</f>
        <v>0.61442875862121582</v>
      </c>
      <c r="F17" s="182">
        <f>DataT8!G19</f>
        <v>0.83984214067459106</v>
      </c>
      <c r="G17" s="182">
        <f>DataT8!H19</f>
        <v>1</v>
      </c>
      <c r="H17" s="182">
        <f>DataT8!I19</f>
        <v>2.9048597812652588</v>
      </c>
      <c r="I17" s="182">
        <f>DataT8!J19</f>
        <v>3.5613698959350586</v>
      </c>
      <c r="J17" s="182">
        <f>DataT8!K19</f>
        <v>1.9673514366149902</v>
      </c>
      <c r="K17" s="182">
        <f>DataT8!L19</f>
        <v>3.5524711608886719</v>
      </c>
    </row>
    <row r="18" spans="1:11" ht="32" customHeight="1" thickBot="1" x14ac:dyDescent="0.25">
      <c r="A18" s="156"/>
      <c r="B18" s="1" t="str">
        <f>DataT8!C20</f>
        <v>Denmark</v>
      </c>
      <c r="C18" s="182">
        <f>DataT8!D20</f>
        <v>1.5665809623897076E-3</v>
      </c>
      <c r="D18" s="182">
        <f>DataT8!E20</f>
        <v>0.30515167117118835</v>
      </c>
      <c r="E18" s="182">
        <f>DataT8!F20</f>
        <v>0.61442875862121582</v>
      </c>
      <c r="F18" s="182">
        <f>DataT8!G20</f>
        <v>0.83984225988388062</v>
      </c>
      <c r="G18" s="182">
        <f>DataT8!H20</f>
        <v>1</v>
      </c>
      <c r="H18" s="182">
        <f>DataT8!I20</f>
        <v>2.912203311920166</v>
      </c>
      <c r="I18" s="182">
        <f>DataT8!J20</f>
        <v>3.5613706111907959</v>
      </c>
      <c r="J18" s="182">
        <f>DataT8!K20</f>
        <v>1.9673514366149902</v>
      </c>
      <c r="K18" s="182">
        <f>DataT8!L20</f>
        <v>3.5524682998657227</v>
      </c>
    </row>
    <row r="19" spans="1:11" ht="32" customHeight="1" thickBot="1" x14ac:dyDescent="0.25">
      <c r="A19" s="154" t="str">
        <f>DataT8!B21</f>
        <v>Latin America</v>
      </c>
      <c r="B19" s="1" t="str">
        <f>DataT8!C21</f>
        <v>Other Latin America</v>
      </c>
      <c r="C19" s="182">
        <f>DataT8!D21</f>
        <v>1.5958271687850356E-3</v>
      </c>
      <c r="D19" s="182">
        <f>DataT8!E21</f>
        <v>0.27937930822372437</v>
      </c>
      <c r="E19" s="182">
        <f>DataT8!F21</f>
        <v>0.57187700271606445</v>
      </c>
      <c r="F19" s="182">
        <f>DataT8!G21</f>
        <v>0.82461279630661011</v>
      </c>
      <c r="G19" s="182">
        <f>DataT8!H21</f>
        <v>1</v>
      </c>
      <c r="H19" s="182">
        <f>DataT8!I21</f>
        <v>2.9037435054779053</v>
      </c>
      <c r="I19" s="182">
        <f>DataT8!J21</f>
        <v>3.6466858386993408</v>
      </c>
      <c r="J19" s="182">
        <f>DataT8!K21</f>
        <v>2.2604959011077881</v>
      </c>
      <c r="K19" s="182">
        <f>DataT8!L21</f>
        <v>3.9321677684783936</v>
      </c>
    </row>
    <row r="20" spans="1:11" ht="32" customHeight="1" thickBot="1" x14ac:dyDescent="0.25">
      <c r="A20" s="155"/>
      <c r="B20" s="1" t="str">
        <f>DataT8!C22</f>
        <v>Chile</v>
      </c>
      <c r="C20" s="182">
        <f>DataT8!D22</f>
        <v>1.6360373701900244E-3</v>
      </c>
      <c r="D20" s="182">
        <f>DataT8!E22</f>
        <v>0.30515170097351074</v>
      </c>
      <c r="E20" s="182">
        <f>DataT8!F22</f>
        <v>0.61442875862121582</v>
      </c>
      <c r="F20" s="182">
        <f>DataT8!G22</f>
        <v>0.83984220027923584</v>
      </c>
      <c r="G20" s="182">
        <f>DataT8!H22</f>
        <v>1</v>
      </c>
      <c r="H20" s="182">
        <f>DataT8!I22</f>
        <v>2.8923630714416504</v>
      </c>
      <c r="I20" s="182">
        <f>DataT8!J22</f>
        <v>3.5613698959350586</v>
      </c>
      <c r="J20" s="182">
        <f>DataT8!K22</f>
        <v>1.9673514366149902</v>
      </c>
      <c r="K20" s="182">
        <f>DataT8!L22</f>
        <v>3.5524697303771973</v>
      </c>
    </row>
    <row r="21" spans="1:11" ht="32" customHeight="1" thickBot="1" x14ac:dyDescent="0.25">
      <c r="A21" s="155"/>
      <c r="B21" s="1" t="str">
        <f>DataT8!C23</f>
        <v>Mexico</v>
      </c>
      <c r="C21" s="182">
        <f>DataT8!D23</f>
        <v>1.6143153188750148E-3</v>
      </c>
      <c r="D21" s="182">
        <f>DataT8!E23</f>
        <v>0.30515167117118835</v>
      </c>
      <c r="E21" s="182">
        <f>DataT8!F23</f>
        <v>0.6144288182258606</v>
      </c>
      <c r="F21" s="182">
        <f>DataT8!G23</f>
        <v>0.83984214067459106</v>
      </c>
      <c r="G21" s="182">
        <f>DataT8!H23</f>
        <v>1</v>
      </c>
      <c r="H21" s="182">
        <f>DataT8!I23</f>
        <v>2.8984754085540771</v>
      </c>
      <c r="I21" s="182">
        <f>DataT8!J23</f>
        <v>3.5613710880279541</v>
      </c>
      <c r="J21" s="182">
        <f>DataT8!K23</f>
        <v>1.967350959777832</v>
      </c>
      <c r="K21" s="182">
        <f>DataT8!L23</f>
        <v>3.5524711608886719</v>
      </c>
    </row>
    <row r="22" spans="1:11" ht="32" customHeight="1" thickBot="1" x14ac:dyDescent="0.25">
      <c r="A22" s="155"/>
      <c r="B22" s="1" t="str">
        <f>DataT8!C24</f>
        <v>Argentina</v>
      </c>
      <c r="C22" s="182">
        <f>DataT8!D24</f>
        <v>2.1459613926708698E-3</v>
      </c>
      <c r="D22" s="182">
        <f>DataT8!E24</f>
        <v>0.30515170097351074</v>
      </c>
      <c r="E22" s="182">
        <f>DataT8!F24</f>
        <v>0.61442875862121582</v>
      </c>
      <c r="F22" s="182">
        <f>DataT8!G24</f>
        <v>0.83984220027923584</v>
      </c>
      <c r="G22" s="182">
        <f>DataT8!H24</f>
        <v>1</v>
      </c>
      <c r="H22" s="182">
        <f>DataT8!I24</f>
        <v>2.7683675289154053</v>
      </c>
      <c r="I22" s="182">
        <f>DataT8!J24</f>
        <v>3.5613698959350586</v>
      </c>
      <c r="J22" s="182">
        <f>DataT8!K24</f>
        <v>1.9673514366149902</v>
      </c>
      <c r="K22" s="182">
        <f>DataT8!L24</f>
        <v>3.5524697303771973</v>
      </c>
    </row>
    <row r="23" spans="1:11" ht="32" customHeight="1" thickBot="1" x14ac:dyDescent="0.25">
      <c r="A23" s="155"/>
      <c r="B23" s="1" t="str">
        <f>DataT8!C25</f>
        <v>Colombia</v>
      </c>
      <c r="C23" s="182">
        <f>DataT8!D25</f>
        <v>1.6265364829450846E-3</v>
      </c>
      <c r="D23" s="182">
        <f>DataT8!E25</f>
        <v>0.30515167117118835</v>
      </c>
      <c r="E23" s="182">
        <f>DataT8!F25</f>
        <v>0.61442887783050537</v>
      </c>
      <c r="F23" s="182">
        <f>DataT8!G25</f>
        <v>0.83984220027923584</v>
      </c>
      <c r="G23" s="182">
        <f>DataT8!H25</f>
        <v>1</v>
      </c>
      <c r="H23" s="182">
        <f>DataT8!I25</f>
        <v>2.8950264453887939</v>
      </c>
      <c r="I23" s="182">
        <f>DataT8!J25</f>
        <v>3.5613715648651123</v>
      </c>
      <c r="J23" s="182">
        <f>DataT8!K25</f>
        <v>1.9673506021499634</v>
      </c>
      <c r="K23" s="182">
        <f>DataT8!L25</f>
        <v>3.5524697303771973</v>
      </c>
    </row>
    <row r="24" spans="1:11" ht="32" customHeight="1" thickBot="1" x14ac:dyDescent="0.25">
      <c r="A24" s="156"/>
      <c r="B24" s="1" t="str">
        <f>DataT8!C26</f>
        <v>Brazil</v>
      </c>
      <c r="C24" s="182">
        <f>DataT8!D26</f>
        <v>1.6312396619468927E-3</v>
      </c>
      <c r="D24" s="182">
        <f>DataT8!E26</f>
        <v>0.30515170097351074</v>
      </c>
      <c r="E24" s="182">
        <f>DataT8!F26</f>
        <v>0.6144288182258606</v>
      </c>
      <c r="F24" s="182">
        <f>DataT8!G26</f>
        <v>0.83984225988388062</v>
      </c>
      <c r="G24" s="182">
        <f>DataT8!H26</f>
        <v>1</v>
      </c>
      <c r="H24" s="182">
        <f>DataT8!I26</f>
        <v>2.8937060832977295</v>
      </c>
      <c r="I24" s="182">
        <f>DataT8!J26</f>
        <v>3.5613706111907959</v>
      </c>
      <c r="J24" s="182">
        <f>DataT8!K26</f>
        <v>1.967350959777832</v>
      </c>
      <c r="K24" s="182">
        <f>DataT8!L26</f>
        <v>3.5524682998657227</v>
      </c>
    </row>
    <row r="25" spans="1:11" ht="32" customHeight="1" thickBot="1" x14ac:dyDescent="0.25">
      <c r="A25" s="154" t="str">
        <f>DataT8!B27</f>
        <v>MENA</v>
      </c>
      <c r="B25" s="1" t="str">
        <f>DataT8!C27</f>
        <v>Saudi Arabia</v>
      </c>
      <c r="C25" s="182">
        <f>DataT8!D27</f>
        <v>1.5032453229650855E-3</v>
      </c>
      <c r="D25" s="182">
        <f>DataT8!E27</f>
        <v>0.30515167117118835</v>
      </c>
      <c r="E25" s="182">
        <f>DataT8!F27</f>
        <v>0.6144288182258606</v>
      </c>
      <c r="F25" s="182">
        <f>DataT8!G27</f>
        <v>0.83984225988388062</v>
      </c>
      <c r="G25" s="182">
        <f>DataT8!H27</f>
        <v>1</v>
      </c>
      <c r="H25" s="182">
        <f>DataT8!I27</f>
        <v>2.9310810565948486</v>
      </c>
      <c r="I25" s="182">
        <f>DataT8!J27</f>
        <v>3.5613710880279541</v>
      </c>
      <c r="J25" s="182">
        <f>DataT8!K27</f>
        <v>1.967350959777832</v>
      </c>
      <c r="K25" s="182">
        <f>DataT8!L27</f>
        <v>3.5524682998657227</v>
      </c>
    </row>
    <row r="26" spans="1:11" ht="32" customHeight="1" thickBot="1" x14ac:dyDescent="0.25">
      <c r="A26" s="155"/>
      <c r="B26" s="1" t="str">
        <f>DataT8!C28</f>
        <v>Iran</v>
      </c>
      <c r="C26" s="182">
        <f>DataT8!D28</f>
        <v>2.305599395185709E-3</v>
      </c>
      <c r="D26" s="182">
        <f>DataT8!E28</f>
        <v>0.30515170097351074</v>
      </c>
      <c r="E26" s="182">
        <f>DataT8!F28</f>
        <v>0.61442875862121582</v>
      </c>
      <c r="F26" s="182">
        <f>DataT8!G28</f>
        <v>0.83984220027923584</v>
      </c>
      <c r="G26" s="182">
        <f>DataT8!H28</f>
        <v>1</v>
      </c>
      <c r="H26" s="182">
        <f>DataT8!I28</f>
        <v>2.7355997562408447</v>
      </c>
      <c r="I26" s="182">
        <f>DataT8!J28</f>
        <v>3.5613698959350586</v>
      </c>
      <c r="J26" s="182">
        <f>DataT8!K28</f>
        <v>1.9673514366149902</v>
      </c>
      <c r="K26" s="182">
        <f>DataT8!L28</f>
        <v>3.5524697303771973</v>
      </c>
    </row>
    <row r="27" spans="1:11" ht="32" customHeight="1" thickBot="1" x14ac:dyDescent="0.25">
      <c r="A27" s="155"/>
      <c r="B27" s="1" t="str">
        <f>DataT8!C29</f>
        <v>Egypt</v>
      </c>
      <c r="C27" s="182">
        <f>DataT8!D29</f>
        <v>1.9280285341665149E-3</v>
      </c>
      <c r="D27" s="182">
        <f>DataT8!E29</f>
        <v>0.30515170097351074</v>
      </c>
      <c r="E27" s="182">
        <f>DataT8!F29</f>
        <v>0.61442875862121582</v>
      </c>
      <c r="F27" s="182">
        <f>DataT8!G29</f>
        <v>0.83984220027923584</v>
      </c>
      <c r="G27" s="182">
        <f>DataT8!H29</f>
        <v>1</v>
      </c>
      <c r="H27" s="182">
        <f>DataT8!I29</f>
        <v>2.8172922134399414</v>
      </c>
      <c r="I27" s="182">
        <f>DataT8!J29</f>
        <v>3.5613698959350586</v>
      </c>
      <c r="J27" s="182">
        <f>DataT8!K29</f>
        <v>1.9673514366149902</v>
      </c>
      <c r="K27" s="182">
        <f>DataT8!L29</f>
        <v>3.5524697303771973</v>
      </c>
    </row>
    <row r="28" spans="1:11" ht="32" customHeight="1" thickBot="1" x14ac:dyDescent="0.25">
      <c r="A28" s="155"/>
      <c r="B28" s="1" t="str">
        <f>DataT8!C30</f>
        <v>Morocco</v>
      </c>
      <c r="C28" s="182">
        <f>DataT8!D30</f>
        <v>1.5725259436294436E-3</v>
      </c>
      <c r="D28" s="182">
        <f>DataT8!E30</f>
        <v>0.30515167117118835</v>
      </c>
      <c r="E28" s="182">
        <f>DataT8!F30</f>
        <v>0.61442875862121582</v>
      </c>
      <c r="F28" s="182">
        <f>DataT8!G30</f>
        <v>0.83984225988388062</v>
      </c>
      <c r="G28" s="182">
        <f>DataT8!H30</f>
        <v>1</v>
      </c>
      <c r="H28" s="182">
        <f>DataT8!I30</f>
        <v>2.9104709625244141</v>
      </c>
      <c r="I28" s="182">
        <f>DataT8!J30</f>
        <v>3.5613706111907959</v>
      </c>
      <c r="J28" s="182">
        <f>DataT8!K30</f>
        <v>1.9673514366149902</v>
      </c>
      <c r="K28" s="182">
        <f>DataT8!L30</f>
        <v>3.5524682998657227</v>
      </c>
    </row>
    <row r="29" spans="1:11" ht="32" customHeight="1" thickBot="1" x14ac:dyDescent="0.25">
      <c r="A29" s="155"/>
      <c r="B29" s="1" t="str">
        <f>DataT8!C31</f>
        <v>Turkiye</v>
      </c>
      <c r="C29" s="182">
        <f>DataT8!D31</f>
        <v>2.1048660855740309E-3</v>
      </c>
      <c r="D29" s="182">
        <f>DataT8!E31</f>
        <v>0.30515167117118835</v>
      </c>
      <c r="E29" s="182">
        <f>DataT8!F31</f>
        <v>0.61442875862121582</v>
      </c>
      <c r="F29" s="182">
        <f>DataT8!G31</f>
        <v>0.83984220027923584</v>
      </c>
      <c r="G29" s="182">
        <f>DataT8!H31</f>
        <v>1</v>
      </c>
      <c r="H29" s="182">
        <f>DataT8!I31</f>
        <v>2.7771995067596436</v>
      </c>
      <c r="I29" s="182">
        <f>DataT8!J31</f>
        <v>3.5613706111907959</v>
      </c>
      <c r="J29" s="182">
        <f>DataT8!K31</f>
        <v>1.9673514366149902</v>
      </c>
      <c r="K29" s="182">
        <f>DataT8!L31</f>
        <v>3.5524697303771973</v>
      </c>
    </row>
    <row r="30" spans="1:11" ht="32" customHeight="1" thickBot="1" x14ac:dyDescent="0.25">
      <c r="A30" s="155"/>
      <c r="B30" s="1" t="str">
        <f>DataT8!C32</f>
        <v>Other MENA</v>
      </c>
      <c r="C30" s="182">
        <f>DataT8!D32</f>
        <v>1.5898824203759432E-3</v>
      </c>
      <c r="D30" s="182">
        <f>DataT8!E32</f>
        <v>0.3608626127243042</v>
      </c>
      <c r="E30" s="182">
        <f>DataT8!F32</f>
        <v>0.65877079963684082</v>
      </c>
      <c r="F30" s="182">
        <f>DataT8!G32</f>
        <v>0.84996533393859863</v>
      </c>
      <c r="G30" s="182">
        <f>DataT8!H32</f>
        <v>1</v>
      </c>
      <c r="H30" s="182">
        <f>DataT8!I32</f>
        <v>2.9054503440856934</v>
      </c>
      <c r="I30" s="182">
        <f>DataT8!J32</f>
        <v>3.0551316738128662</v>
      </c>
      <c r="J30" s="182">
        <f>DataT8!K32</f>
        <v>1.68353271484375</v>
      </c>
      <c r="K30" s="182">
        <f>DataT8!L32</f>
        <v>3.3046231269836426</v>
      </c>
    </row>
    <row r="31" spans="1:11" ht="32" customHeight="1" thickBot="1" x14ac:dyDescent="0.25">
      <c r="A31" s="155"/>
      <c r="B31" s="1" t="str">
        <f>DataT8!C33</f>
        <v>Algeria</v>
      </c>
      <c r="C31" s="182">
        <f>DataT8!D33</f>
        <v>1.5457551926374435E-3</v>
      </c>
      <c r="D31" s="182">
        <f>DataT8!E33</f>
        <v>0.30515164136886597</v>
      </c>
      <c r="E31" s="182">
        <f>DataT8!F33</f>
        <v>0.61442875862121582</v>
      </c>
      <c r="F31" s="182">
        <f>DataT8!G33</f>
        <v>0.83984220027923584</v>
      </c>
      <c r="G31" s="182">
        <f>DataT8!H33</f>
        <v>1</v>
      </c>
      <c r="H31" s="182">
        <f>DataT8!I33</f>
        <v>2.9183247089385986</v>
      </c>
      <c r="I31" s="182">
        <f>DataT8!J33</f>
        <v>3.5613710880279541</v>
      </c>
      <c r="J31" s="182">
        <f>DataT8!K33</f>
        <v>1.9673514366149902</v>
      </c>
      <c r="K31" s="182">
        <f>DataT8!L33</f>
        <v>3.5524697303771973</v>
      </c>
    </row>
    <row r="32" spans="1:11" ht="32" customHeight="1" thickBot="1" x14ac:dyDescent="0.25">
      <c r="A32" s="156"/>
      <c r="B32" s="1" t="str">
        <f>DataT8!C34</f>
        <v>United Arab Emirates</v>
      </c>
      <c r="C32" s="182">
        <f>DataT8!D34</f>
        <v>1.509237801656127E-3</v>
      </c>
      <c r="D32" s="182">
        <f>DataT8!E34</f>
        <v>0.30515170097351074</v>
      </c>
      <c r="E32" s="182">
        <f>DataT8!F34</f>
        <v>0.61442875862121582</v>
      </c>
      <c r="F32" s="182">
        <f>DataT8!G34</f>
        <v>0.83984220027923584</v>
      </c>
      <c r="G32" s="182">
        <f>DataT8!H34</f>
        <v>1</v>
      </c>
      <c r="H32" s="182">
        <f>DataT8!I34</f>
        <v>2.9292609691619873</v>
      </c>
      <c r="I32" s="182">
        <f>DataT8!J34</f>
        <v>3.5613698959350586</v>
      </c>
      <c r="J32" s="182">
        <f>DataT8!K34</f>
        <v>1.9673514366149902</v>
      </c>
      <c r="K32" s="182">
        <f>DataT8!L34</f>
        <v>3.5524697303771973</v>
      </c>
    </row>
    <row r="33" spans="1:11" ht="32" customHeight="1" thickBot="1" x14ac:dyDescent="0.25">
      <c r="A33" s="154" t="str">
        <f>DataT8!B35</f>
        <v>North America &amp; Oceania</v>
      </c>
      <c r="B33" s="1" t="str">
        <f>DataT8!C35</f>
        <v>Other North America &amp; Oceania</v>
      </c>
      <c r="C33" s="182">
        <f>DataT8!D35</f>
        <v>1.5928206266835332E-3</v>
      </c>
      <c r="D33" s="182">
        <f>DataT8!E35</f>
        <v>0.2873363196849823</v>
      </c>
      <c r="E33" s="182">
        <f>DataT8!F35</f>
        <v>0.56538981199264526</v>
      </c>
      <c r="F33" s="182">
        <f>DataT8!G35</f>
        <v>0.815376877784729</v>
      </c>
      <c r="G33" s="182">
        <f>DataT8!H35</f>
        <v>1</v>
      </c>
      <c r="H33" s="182">
        <f>DataT8!I35</f>
        <v>2.9046058654785156</v>
      </c>
      <c r="I33" s="182">
        <f>DataT8!J35</f>
        <v>3.4422295093536377</v>
      </c>
      <c r="J33" s="182">
        <f>DataT8!K35</f>
        <v>2.3071722984313965</v>
      </c>
      <c r="K33" s="182">
        <f>DataT8!L35</f>
        <v>4.1665596961975098</v>
      </c>
    </row>
    <row r="34" spans="1:11" ht="32" customHeight="1" thickBot="1" x14ac:dyDescent="0.25">
      <c r="A34" s="155"/>
      <c r="B34" s="1" t="str">
        <f>DataT8!C36</f>
        <v>Canada</v>
      </c>
      <c r="C34" s="182">
        <f>DataT8!D36</f>
        <v>1.5822607092559338E-3</v>
      </c>
      <c r="D34" s="182">
        <f>DataT8!E36</f>
        <v>0.30515167117118835</v>
      </c>
      <c r="E34" s="182">
        <f>DataT8!F36</f>
        <v>0.61442875862121582</v>
      </c>
      <c r="F34" s="182">
        <f>DataT8!G36</f>
        <v>0.83984214067459106</v>
      </c>
      <c r="G34" s="182">
        <f>DataT8!H36</f>
        <v>1</v>
      </c>
      <c r="H34" s="182">
        <f>DataT8!I36</f>
        <v>2.9076480865478516</v>
      </c>
      <c r="I34" s="182">
        <f>DataT8!J36</f>
        <v>3.5613706111907959</v>
      </c>
      <c r="J34" s="182">
        <f>DataT8!K36</f>
        <v>1.9673514366149902</v>
      </c>
      <c r="K34" s="182">
        <f>DataT8!L36</f>
        <v>3.5524711608886719</v>
      </c>
    </row>
    <row r="35" spans="1:11" ht="32" customHeight="1" thickBot="1" x14ac:dyDescent="0.25">
      <c r="A35" s="155"/>
      <c r="B35" s="1" t="str">
        <f>DataT8!C37</f>
        <v>Australia</v>
      </c>
      <c r="C35" s="182">
        <f>DataT8!D37</f>
        <v>1.5843049623072147E-3</v>
      </c>
      <c r="D35" s="182">
        <f>DataT8!E37</f>
        <v>0.30515170097351074</v>
      </c>
      <c r="E35" s="182">
        <f>DataT8!F37</f>
        <v>0.61442875862121582</v>
      </c>
      <c r="F35" s="182">
        <f>DataT8!G37</f>
        <v>0.83984220027923584</v>
      </c>
      <c r="G35" s="182">
        <f>DataT8!H37</f>
        <v>1</v>
      </c>
      <c r="H35" s="182">
        <f>DataT8!I37</f>
        <v>2.9070577621459961</v>
      </c>
      <c r="I35" s="182">
        <f>DataT8!J37</f>
        <v>3.5613698959350586</v>
      </c>
      <c r="J35" s="182">
        <f>DataT8!K37</f>
        <v>1.9673514366149902</v>
      </c>
      <c r="K35" s="182">
        <f>DataT8!L37</f>
        <v>3.5524697303771973</v>
      </c>
    </row>
    <row r="36" spans="1:11" ht="32" customHeight="1" thickBot="1" x14ac:dyDescent="0.25">
      <c r="A36" s="155"/>
      <c r="B36" s="1" t="str">
        <f>DataT8!C38</f>
        <v>New Zealand</v>
      </c>
      <c r="C36" s="182">
        <f>DataT8!D38</f>
        <v>1.6032580751925707E-3</v>
      </c>
      <c r="D36" s="182">
        <f>DataT8!E38</f>
        <v>0.30515167117118835</v>
      </c>
      <c r="E36" s="182">
        <f>DataT8!F38</f>
        <v>0.6144288182258606</v>
      </c>
      <c r="F36" s="182">
        <f>DataT8!G38</f>
        <v>0.83984214067459106</v>
      </c>
      <c r="G36" s="182">
        <f>DataT8!H38</f>
        <v>1</v>
      </c>
      <c r="H36" s="182">
        <f>DataT8!I38</f>
        <v>2.9016187191009521</v>
      </c>
      <c r="I36" s="182">
        <f>DataT8!J38</f>
        <v>3.5613710880279541</v>
      </c>
      <c r="J36" s="182">
        <f>DataT8!K38</f>
        <v>1.967350959777832</v>
      </c>
      <c r="K36" s="182">
        <f>DataT8!L38</f>
        <v>3.5524711608886719</v>
      </c>
    </row>
    <row r="37" spans="1:11" ht="32" customHeight="1" thickBot="1" x14ac:dyDescent="0.25">
      <c r="A37" s="156"/>
      <c r="B37" s="1" t="str">
        <f>DataT8!C39</f>
        <v>USA</v>
      </c>
      <c r="C37" s="182">
        <f>DataT8!D39</f>
        <v>1.5866366447880864E-3</v>
      </c>
      <c r="D37" s="182">
        <f>DataT8!E39</f>
        <v>0.30515167117118835</v>
      </c>
      <c r="E37" s="182">
        <f>DataT8!F39</f>
        <v>0.61442875862121582</v>
      </c>
      <c r="F37" s="182">
        <f>DataT8!G39</f>
        <v>0.83984220027923584</v>
      </c>
      <c r="G37" s="182">
        <f>DataT8!H39</f>
        <v>1</v>
      </c>
      <c r="H37" s="182">
        <f>DataT8!I39</f>
        <v>2.9063849449157715</v>
      </c>
      <c r="I37" s="182">
        <f>DataT8!J39</f>
        <v>3.5613706111907959</v>
      </c>
      <c r="J37" s="182">
        <f>DataT8!K39</f>
        <v>1.9673514366149902</v>
      </c>
      <c r="K37" s="182">
        <f>DataT8!L39</f>
        <v>3.5524697303771973</v>
      </c>
    </row>
    <row r="38" spans="1:11" ht="32" customHeight="1" thickBot="1" x14ac:dyDescent="0.25">
      <c r="A38" s="154" t="str">
        <f>DataT8!B40</f>
        <v>Russia &amp; Central Asia</v>
      </c>
      <c r="B38" s="1" t="str">
        <f>DataT8!C40</f>
        <v>Other Russia &amp; Central Asia</v>
      </c>
      <c r="C38" s="182">
        <f>DataT8!D40</f>
        <v>1.6215197974815965E-3</v>
      </c>
      <c r="D38" s="182">
        <f>DataT8!E40</f>
        <v>0.31158354878425598</v>
      </c>
      <c r="E38" s="182">
        <f>DataT8!F40</f>
        <v>0.62458556890487671</v>
      </c>
      <c r="F38" s="182">
        <f>DataT8!G40</f>
        <v>0.8447607159614563</v>
      </c>
      <c r="G38" s="182">
        <f>DataT8!H40</f>
        <v>1</v>
      </c>
      <c r="H38" s="182">
        <f>DataT8!I40</f>
        <v>2.8964390754699707</v>
      </c>
      <c r="I38" s="182">
        <f>DataT8!J40</f>
        <v>3.5382621288299561</v>
      </c>
      <c r="J38" s="182">
        <f>DataT8!K40</f>
        <v>1.9005017280578613</v>
      </c>
      <c r="K38" s="182">
        <f>DataT8!L40</f>
        <v>3.4316036701202393</v>
      </c>
    </row>
    <row r="39" spans="1:11" ht="32" customHeight="1" thickBot="1" x14ac:dyDescent="0.25">
      <c r="A39" s="156"/>
      <c r="B39" s="1" t="str">
        <f>DataT8!C41</f>
        <v>Russia</v>
      </c>
      <c r="C39" s="182">
        <f>DataT8!D41</f>
        <v>1.6124197281897068E-3</v>
      </c>
      <c r="D39" s="182">
        <f>DataT8!E41</f>
        <v>0.30515167117118835</v>
      </c>
      <c r="E39" s="182">
        <f>DataT8!F41</f>
        <v>0.61442875862121582</v>
      </c>
      <c r="F39" s="182">
        <f>DataT8!G41</f>
        <v>0.83984214067459106</v>
      </c>
      <c r="G39" s="182">
        <f>DataT8!H41</f>
        <v>1</v>
      </c>
      <c r="H39" s="182">
        <f>DataT8!I41</f>
        <v>2.8990128040313721</v>
      </c>
      <c r="I39" s="182">
        <f>DataT8!J41</f>
        <v>3.5613706111907959</v>
      </c>
      <c r="J39" s="182">
        <f>DataT8!K41</f>
        <v>1.9673514366149902</v>
      </c>
      <c r="K39" s="182">
        <f>DataT8!L41</f>
        <v>3.5524711608886719</v>
      </c>
    </row>
    <row r="40" spans="1:11" ht="32" customHeight="1" thickBot="1" x14ac:dyDescent="0.25">
      <c r="A40" s="154" t="str">
        <f>DataT8!B42</f>
        <v>South &amp; South-East Asia</v>
      </c>
      <c r="B40" s="1" t="str">
        <f>DataT8!C42</f>
        <v>Bangladesh</v>
      </c>
      <c r="C40" s="182">
        <f>DataT8!D42</f>
        <v>1.6435261350125074E-3</v>
      </c>
      <c r="D40" s="182">
        <f>DataT8!E42</f>
        <v>0.30515167117118835</v>
      </c>
      <c r="E40" s="182">
        <f>DataT8!F42</f>
        <v>0.61442875862121582</v>
      </c>
      <c r="F40" s="182">
        <f>DataT8!G42</f>
        <v>0.83984220027923584</v>
      </c>
      <c r="G40" s="182">
        <f>DataT8!H42</f>
        <v>1</v>
      </c>
      <c r="H40" s="182">
        <f>DataT8!I42</f>
        <v>2.8902745246887207</v>
      </c>
      <c r="I40" s="182">
        <f>DataT8!J42</f>
        <v>3.5613706111907959</v>
      </c>
      <c r="J40" s="182">
        <f>DataT8!K42</f>
        <v>1.9673514366149902</v>
      </c>
      <c r="K40" s="182">
        <f>DataT8!L42</f>
        <v>3.5524697303771973</v>
      </c>
    </row>
    <row r="41" spans="1:11" ht="32" customHeight="1" thickBot="1" x14ac:dyDescent="0.25">
      <c r="A41" s="155"/>
      <c r="B41" s="1" t="str">
        <f>DataT8!C43</f>
        <v>India</v>
      </c>
      <c r="C41" s="182">
        <f>DataT8!D43</f>
        <v>1.5618243487551808E-3</v>
      </c>
      <c r="D41" s="182">
        <f>DataT8!E43</f>
        <v>0.30515170097351074</v>
      </c>
      <c r="E41" s="182">
        <f>DataT8!F43</f>
        <v>0.61442875862121582</v>
      </c>
      <c r="F41" s="182">
        <f>DataT8!G43</f>
        <v>0.83984220027923584</v>
      </c>
      <c r="G41" s="182">
        <f>DataT8!H43</f>
        <v>1</v>
      </c>
      <c r="H41" s="182">
        <f>DataT8!I43</f>
        <v>2.9135942459106445</v>
      </c>
      <c r="I41" s="182">
        <f>DataT8!J43</f>
        <v>3.5613698959350586</v>
      </c>
      <c r="J41" s="182">
        <f>DataT8!K43</f>
        <v>1.9673514366149902</v>
      </c>
      <c r="K41" s="182">
        <f>DataT8!L43</f>
        <v>3.5524697303771973</v>
      </c>
    </row>
    <row r="42" spans="1:11" ht="32" customHeight="1" thickBot="1" x14ac:dyDescent="0.25">
      <c r="A42" s="155"/>
      <c r="B42" s="1" t="str">
        <f>DataT8!C44</f>
        <v>Myanmar</v>
      </c>
      <c r="C42" s="182">
        <f>DataT8!D44</f>
        <v>1.6894448781386018E-3</v>
      </c>
      <c r="D42" s="182">
        <f>DataT8!E44</f>
        <v>0.30515167117118835</v>
      </c>
      <c r="E42" s="182">
        <f>DataT8!F44</f>
        <v>0.6144288182258606</v>
      </c>
      <c r="F42" s="182">
        <f>DataT8!G44</f>
        <v>0.83984231948852539</v>
      </c>
      <c r="G42" s="182">
        <f>DataT8!H44</f>
        <v>1</v>
      </c>
      <c r="H42" s="182">
        <f>DataT8!I44</f>
        <v>2.8776743412017822</v>
      </c>
      <c r="I42" s="182">
        <f>DataT8!J44</f>
        <v>3.5613710880279541</v>
      </c>
      <c r="J42" s="182">
        <f>DataT8!K44</f>
        <v>1.967350959777832</v>
      </c>
      <c r="K42" s="182">
        <f>DataT8!L44</f>
        <v>3.552466869354248</v>
      </c>
    </row>
    <row r="43" spans="1:11" ht="32" customHeight="1" thickBot="1" x14ac:dyDescent="0.25">
      <c r="A43" s="155"/>
      <c r="B43" s="1" t="str">
        <f>DataT8!C45</f>
        <v>Viet Nam</v>
      </c>
      <c r="C43" s="182">
        <f>DataT8!D45</f>
        <v>1.5942738391458988E-3</v>
      </c>
      <c r="D43" s="182">
        <f>DataT8!E45</f>
        <v>0.30515167117118835</v>
      </c>
      <c r="E43" s="182">
        <f>DataT8!F45</f>
        <v>0.61442869901657104</v>
      </c>
      <c r="F43" s="182">
        <f>DataT8!G45</f>
        <v>0.83984220027923584</v>
      </c>
      <c r="G43" s="182">
        <f>DataT8!H45</f>
        <v>1</v>
      </c>
      <c r="H43" s="182">
        <f>DataT8!I45</f>
        <v>2.904188871383667</v>
      </c>
      <c r="I43" s="182">
        <f>DataT8!J45</f>
        <v>3.5613698959350586</v>
      </c>
      <c r="J43" s="182">
        <f>DataT8!K45</f>
        <v>1.9673517942428589</v>
      </c>
      <c r="K43" s="182">
        <f>DataT8!L45</f>
        <v>3.5524697303771973</v>
      </c>
    </row>
    <row r="44" spans="1:11" ht="32" customHeight="1" thickBot="1" x14ac:dyDescent="0.25">
      <c r="A44" s="155"/>
      <c r="B44" s="1" t="str">
        <f>DataT8!C46</f>
        <v>Pakistan</v>
      </c>
      <c r="C44" s="182">
        <f>DataT8!D46</f>
        <v>1.6180819366127253E-3</v>
      </c>
      <c r="D44" s="182">
        <f>DataT8!E46</f>
        <v>0.30515170097351074</v>
      </c>
      <c r="E44" s="182">
        <f>DataT8!F46</f>
        <v>0.6144288182258606</v>
      </c>
      <c r="F44" s="182">
        <f>DataT8!G46</f>
        <v>0.83984225988388062</v>
      </c>
      <c r="G44" s="182">
        <f>DataT8!H46</f>
        <v>1</v>
      </c>
      <c r="H44" s="182">
        <f>DataT8!I46</f>
        <v>2.8974096775054932</v>
      </c>
      <c r="I44" s="182">
        <f>DataT8!J46</f>
        <v>3.5613706111907959</v>
      </c>
      <c r="J44" s="182">
        <f>DataT8!K46</f>
        <v>1.967350959777832</v>
      </c>
      <c r="K44" s="182">
        <f>DataT8!L46</f>
        <v>3.5524682998657227</v>
      </c>
    </row>
    <row r="45" spans="1:11" ht="39" customHeight="1" thickBot="1" x14ac:dyDescent="0.25">
      <c r="A45" s="155"/>
      <c r="B45" s="1" t="str">
        <f>DataT8!C47</f>
        <v>Other South &amp; South-East Asia</v>
      </c>
      <c r="C45" s="182">
        <f>DataT8!D47</f>
        <v>1.6182665713131428E-3</v>
      </c>
      <c r="D45" s="182">
        <f>DataT8!E47</f>
        <v>0.34603419899940491</v>
      </c>
      <c r="E45" s="182">
        <f>DataT8!F47</f>
        <v>0.60797774791717529</v>
      </c>
      <c r="F45" s="182">
        <f>DataT8!G47</f>
        <v>0.83605492115020752</v>
      </c>
      <c r="G45" s="182">
        <f>DataT8!H47</f>
        <v>1</v>
      </c>
      <c r="H45" s="182">
        <f>DataT8!I47</f>
        <v>2.8973574638366699</v>
      </c>
      <c r="I45" s="182">
        <f>DataT8!J47</f>
        <v>2.8580846786499023</v>
      </c>
      <c r="J45" s="182">
        <f>DataT8!K47</f>
        <v>2.0104098320007324</v>
      </c>
      <c r="K45" s="182">
        <f>DataT8!L47</f>
        <v>3.6461174488067627</v>
      </c>
    </row>
    <row r="46" spans="1:11" ht="32" customHeight="1" thickBot="1" x14ac:dyDescent="0.25">
      <c r="A46" s="155"/>
      <c r="B46" s="1" t="str">
        <f>DataT8!C48</f>
        <v>Indonesia</v>
      </c>
      <c r="C46" s="182">
        <f>DataT8!D48</f>
        <v>1.5794190112501383E-3</v>
      </c>
      <c r="D46" s="182">
        <f>DataT8!E48</f>
        <v>0.30515167117118835</v>
      </c>
      <c r="E46" s="182">
        <f>DataT8!F48</f>
        <v>0.6144288182258606</v>
      </c>
      <c r="F46" s="182">
        <f>DataT8!G48</f>
        <v>0.83984220027923584</v>
      </c>
      <c r="G46" s="182">
        <f>DataT8!H48</f>
        <v>1</v>
      </c>
      <c r="H46" s="182">
        <f>DataT8!I48</f>
        <v>2.9084703922271729</v>
      </c>
      <c r="I46" s="182">
        <f>DataT8!J48</f>
        <v>3.5613710880279541</v>
      </c>
      <c r="J46" s="182">
        <f>DataT8!K48</f>
        <v>1.967350959777832</v>
      </c>
      <c r="K46" s="182">
        <f>DataT8!L48</f>
        <v>3.5524697303771973</v>
      </c>
    </row>
    <row r="47" spans="1:11" ht="32" customHeight="1" thickBot="1" x14ac:dyDescent="0.25">
      <c r="A47" s="155"/>
      <c r="B47" s="1" t="str">
        <f>DataT8!C49</f>
        <v>Thailand</v>
      </c>
      <c r="C47" s="182">
        <f>DataT8!D49</f>
        <v>1.5298965154215693E-3</v>
      </c>
      <c r="D47" s="182">
        <f>DataT8!E49</f>
        <v>0.30515167117118835</v>
      </c>
      <c r="E47" s="182">
        <f>DataT8!F49</f>
        <v>0.61442875862121582</v>
      </c>
      <c r="F47" s="182">
        <f>DataT8!G49</f>
        <v>0.83984225988388062</v>
      </c>
      <c r="G47" s="182">
        <f>DataT8!H49</f>
        <v>1</v>
      </c>
      <c r="H47" s="182">
        <f>DataT8!I49</f>
        <v>2.923041820526123</v>
      </c>
      <c r="I47" s="182">
        <f>DataT8!J49</f>
        <v>3.5613706111907959</v>
      </c>
      <c r="J47" s="182">
        <f>DataT8!K49</f>
        <v>1.9673514366149902</v>
      </c>
      <c r="K47" s="182">
        <f>DataT8!L49</f>
        <v>3.5524682998657227</v>
      </c>
    </row>
    <row r="48" spans="1:11" ht="32" customHeight="1" thickBot="1" x14ac:dyDescent="0.25">
      <c r="A48" s="156"/>
      <c r="B48" s="1" t="str">
        <f>DataT8!C50</f>
        <v>Philippines</v>
      </c>
      <c r="C48" s="182">
        <f>DataT8!D50</f>
        <v>1.5654119197279215E-3</v>
      </c>
      <c r="D48" s="182">
        <f>DataT8!E50</f>
        <v>0.30515167117118835</v>
      </c>
      <c r="E48" s="182">
        <f>DataT8!F50</f>
        <v>0.61442875862121582</v>
      </c>
      <c r="F48" s="182">
        <f>DataT8!G50</f>
        <v>0.83984220027923584</v>
      </c>
      <c r="G48" s="182">
        <f>DataT8!H50</f>
        <v>1</v>
      </c>
      <c r="H48" s="182">
        <f>DataT8!I50</f>
        <v>2.9125447273254395</v>
      </c>
      <c r="I48" s="182">
        <f>DataT8!J50</f>
        <v>3.5613706111907959</v>
      </c>
      <c r="J48" s="182">
        <f>DataT8!K50</f>
        <v>1.9673514366149902</v>
      </c>
      <c r="K48" s="182">
        <f>DataT8!L50</f>
        <v>3.5524697303771973</v>
      </c>
    </row>
    <row r="49" spans="1:11" ht="32" customHeight="1" thickBot="1" x14ac:dyDescent="0.25">
      <c r="A49" s="154" t="str">
        <f>DataT8!B51</f>
        <v>Sub-Saharan Africa</v>
      </c>
      <c r="B49" s="1" t="str">
        <f>DataT8!C51</f>
        <v>Nigeria</v>
      </c>
      <c r="C49" s="182">
        <f>DataT8!D51</f>
        <v>1.7566757742315531E-3</v>
      </c>
      <c r="D49" s="182">
        <f>DataT8!E51</f>
        <v>0.30515170097351074</v>
      </c>
      <c r="E49" s="182">
        <f>DataT8!F51</f>
        <v>0.61442875862121582</v>
      </c>
      <c r="F49" s="182">
        <f>DataT8!G51</f>
        <v>0.83984220027923584</v>
      </c>
      <c r="G49" s="182">
        <f>DataT8!H51</f>
        <v>1</v>
      </c>
      <c r="H49" s="182">
        <f>DataT8!I51</f>
        <v>2.8598330020904541</v>
      </c>
      <c r="I49" s="182">
        <f>DataT8!J51</f>
        <v>3.5613698959350586</v>
      </c>
      <c r="J49" s="182">
        <f>DataT8!K51</f>
        <v>1.9673514366149902</v>
      </c>
      <c r="K49" s="182">
        <f>DataT8!L51</f>
        <v>3.5524697303771973</v>
      </c>
    </row>
    <row r="50" spans="1:11" ht="32" customHeight="1" thickBot="1" x14ac:dyDescent="0.25">
      <c r="A50" s="155"/>
      <c r="B50" s="1" t="str">
        <f>DataT8!C52</f>
        <v>Niger</v>
      </c>
      <c r="C50" s="182">
        <f>DataT8!D52</f>
        <v>1.5199868939816952E-3</v>
      </c>
      <c r="D50" s="182">
        <f>DataT8!E52</f>
        <v>0.30515170097351074</v>
      </c>
      <c r="E50" s="182">
        <f>DataT8!F52</f>
        <v>0.61442875862121582</v>
      </c>
      <c r="F50" s="182">
        <f>DataT8!G52</f>
        <v>0.83984214067459106</v>
      </c>
      <c r="G50" s="182">
        <f>DataT8!H52</f>
        <v>1</v>
      </c>
      <c r="H50" s="182">
        <f>DataT8!I52</f>
        <v>2.9260144233703613</v>
      </c>
      <c r="I50" s="182">
        <f>DataT8!J52</f>
        <v>3.5613698959350586</v>
      </c>
      <c r="J50" s="182">
        <f>DataT8!K52</f>
        <v>1.9673514366149902</v>
      </c>
      <c r="K50" s="182">
        <f>DataT8!L52</f>
        <v>3.5524711608886719</v>
      </c>
    </row>
    <row r="51" spans="1:11" ht="32" customHeight="1" thickBot="1" x14ac:dyDescent="0.25">
      <c r="A51" s="155"/>
      <c r="B51" s="1" t="str">
        <f>DataT8!C53</f>
        <v>Rwanda</v>
      </c>
      <c r="C51" s="182">
        <f>DataT8!D53</f>
        <v>1.6521420329809189E-3</v>
      </c>
      <c r="D51" s="182">
        <f>DataT8!E53</f>
        <v>0.30515167117118835</v>
      </c>
      <c r="E51" s="182">
        <f>DataT8!F53</f>
        <v>0.6144288182258606</v>
      </c>
      <c r="F51" s="182">
        <f>DataT8!G53</f>
        <v>0.83984225988388062</v>
      </c>
      <c r="G51" s="182">
        <f>DataT8!H53</f>
        <v>1</v>
      </c>
      <c r="H51" s="182">
        <f>DataT8!I53</f>
        <v>2.8878836631774902</v>
      </c>
      <c r="I51" s="182">
        <f>DataT8!J53</f>
        <v>3.5613710880279541</v>
      </c>
      <c r="J51" s="182">
        <f>DataT8!K53</f>
        <v>1.967350959777832</v>
      </c>
      <c r="K51" s="182">
        <f>DataT8!L53</f>
        <v>3.5524682998657227</v>
      </c>
    </row>
    <row r="52" spans="1:11" ht="32" customHeight="1" thickBot="1" x14ac:dyDescent="0.25">
      <c r="A52" s="155"/>
      <c r="B52" s="1" t="str">
        <f>DataT8!C54</f>
        <v>DR Congo</v>
      </c>
      <c r="C52" s="182">
        <f>DataT8!D54</f>
        <v>1.6739679267629981E-3</v>
      </c>
      <c r="D52" s="182">
        <f>DataT8!E54</f>
        <v>0.30515167117118835</v>
      </c>
      <c r="E52" s="182">
        <f>DataT8!F54</f>
        <v>0.61442875862121582</v>
      </c>
      <c r="F52" s="182">
        <f>DataT8!G54</f>
        <v>0.83984214067459106</v>
      </c>
      <c r="G52" s="182">
        <f>DataT8!H54</f>
        <v>1</v>
      </c>
      <c r="H52" s="182">
        <f>DataT8!I54</f>
        <v>2.8818824291229248</v>
      </c>
      <c r="I52" s="182">
        <f>DataT8!J54</f>
        <v>3.5613706111907959</v>
      </c>
      <c r="J52" s="182">
        <f>DataT8!K54</f>
        <v>1.9673514366149902</v>
      </c>
      <c r="K52" s="182">
        <f>DataT8!L54</f>
        <v>3.5524711608886719</v>
      </c>
    </row>
    <row r="53" spans="1:11" ht="32" customHeight="1" thickBot="1" x14ac:dyDescent="0.25">
      <c r="A53" s="155"/>
      <c r="B53" s="1" t="str">
        <f>DataT8!C55</f>
        <v>South Africa</v>
      </c>
      <c r="C53" s="182">
        <f>DataT8!D55</f>
        <v>1.5859099803492427E-3</v>
      </c>
      <c r="D53" s="182">
        <f>DataT8!E55</f>
        <v>0.30515167117118835</v>
      </c>
      <c r="E53" s="182">
        <f>DataT8!F55</f>
        <v>0.6144288182258606</v>
      </c>
      <c r="F53" s="182">
        <f>DataT8!G55</f>
        <v>0.83984225988388062</v>
      </c>
      <c r="G53" s="182">
        <f>DataT8!H55</f>
        <v>1</v>
      </c>
      <c r="H53" s="182">
        <f>DataT8!I55</f>
        <v>2.9065945148468018</v>
      </c>
      <c r="I53" s="182">
        <f>DataT8!J55</f>
        <v>3.5613710880279541</v>
      </c>
      <c r="J53" s="182">
        <f>DataT8!K55</f>
        <v>1.967350959777832</v>
      </c>
      <c r="K53" s="182">
        <f>DataT8!L55</f>
        <v>3.5524682998657227</v>
      </c>
    </row>
    <row r="54" spans="1:11" ht="32" customHeight="1" thickBot="1" x14ac:dyDescent="0.25">
      <c r="A54" s="155"/>
      <c r="B54" s="1" t="str">
        <f>DataT8!C56</f>
        <v>Ethiopia</v>
      </c>
      <c r="C54" s="182">
        <f>DataT8!D56</f>
        <v>1.8155123107135296E-3</v>
      </c>
      <c r="D54" s="182">
        <f>DataT8!E56</f>
        <v>0.30515170097351074</v>
      </c>
      <c r="E54" s="182">
        <f>DataT8!F56</f>
        <v>0.61442875862121582</v>
      </c>
      <c r="F54" s="182">
        <f>DataT8!G56</f>
        <v>0.83984225988388062</v>
      </c>
      <c r="G54" s="182">
        <f>DataT8!H56</f>
        <v>1</v>
      </c>
      <c r="H54" s="182">
        <f>DataT8!I56</f>
        <v>2.844773530960083</v>
      </c>
      <c r="I54" s="182">
        <f>DataT8!J56</f>
        <v>3.5613698959350586</v>
      </c>
      <c r="J54" s="182">
        <f>DataT8!K56</f>
        <v>1.9673514366149902</v>
      </c>
      <c r="K54" s="182">
        <f>DataT8!L56</f>
        <v>3.5524682998657227</v>
      </c>
    </row>
    <row r="55" spans="1:11" ht="32" customHeight="1" thickBot="1" x14ac:dyDescent="0.25">
      <c r="A55" s="155"/>
      <c r="B55" s="1" t="str">
        <f>DataT8!C57</f>
        <v>Cote d’Ivoire</v>
      </c>
      <c r="C55" s="182">
        <f>DataT8!D57</f>
        <v>1.5752648469060659E-3</v>
      </c>
      <c r="D55" s="182">
        <f>DataT8!E57</f>
        <v>0.30515170097351074</v>
      </c>
      <c r="E55" s="182">
        <f>DataT8!F57</f>
        <v>0.61442875862121582</v>
      </c>
      <c r="F55" s="182">
        <f>DataT8!G57</f>
        <v>0.83984220027923584</v>
      </c>
      <c r="G55" s="182">
        <f>DataT8!H57</f>
        <v>1</v>
      </c>
      <c r="H55" s="182">
        <f>DataT8!I57</f>
        <v>2.9096748828887939</v>
      </c>
      <c r="I55" s="182">
        <f>DataT8!J57</f>
        <v>3.5613698959350586</v>
      </c>
      <c r="J55" s="182">
        <f>DataT8!K57</f>
        <v>1.9673514366149902</v>
      </c>
      <c r="K55" s="182">
        <f>DataT8!L57</f>
        <v>3.5524697303771973</v>
      </c>
    </row>
    <row r="56" spans="1:11" ht="32" customHeight="1" thickBot="1" x14ac:dyDescent="0.25">
      <c r="A56" s="155"/>
      <c r="B56" s="1" t="str">
        <f>DataT8!C58</f>
        <v>Sudan</v>
      </c>
      <c r="C56" s="182">
        <f>DataT8!D58</f>
        <v>3.1430628150701523E-3</v>
      </c>
      <c r="D56" s="182">
        <f>DataT8!E58</f>
        <v>0.30515167117118835</v>
      </c>
      <c r="E56" s="182">
        <f>DataT8!F58</f>
        <v>0.61442875862121582</v>
      </c>
      <c r="F56" s="182">
        <f>DataT8!G58</f>
        <v>0.83984220027923584</v>
      </c>
      <c r="G56" s="182">
        <f>DataT8!H58</f>
        <v>1</v>
      </c>
      <c r="H56" s="182">
        <f>DataT8!I58</f>
        <v>2.5942156314849854</v>
      </c>
      <c r="I56" s="182">
        <f>DataT8!J58</f>
        <v>3.5613706111907959</v>
      </c>
      <c r="J56" s="182">
        <f>DataT8!K58</f>
        <v>1.9673514366149902</v>
      </c>
      <c r="K56" s="182">
        <f>DataT8!L58</f>
        <v>3.5524697303771973</v>
      </c>
    </row>
    <row r="57" spans="1:11" ht="32" customHeight="1" thickBot="1" x14ac:dyDescent="0.25">
      <c r="A57" s="155"/>
      <c r="B57" s="1" t="str">
        <f>DataT8!C59</f>
        <v>Kenya</v>
      </c>
      <c r="C57" s="182">
        <f>DataT8!D59</f>
        <v>1.5993008855730295E-3</v>
      </c>
      <c r="D57" s="182">
        <f>DataT8!E59</f>
        <v>0.30515167117118835</v>
      </c>
      <c r="E57" s="182">
        <f>DataT8!F59</f>
        <v>0.61442875862121582</v>
      </c>
      <c r="F57" s="182">
        <f>DataT8!G59</f>
        <v>0.83984214067459106</v>
      </c>
      <c r="G57" s="182">
        <f>DataT8!H59</f>
        <v>1</v>
      </c>
      <c r="H57" s="182">
        <f>DataT8!I59</f>
        <v>2.9027490615844727</v>
      </c>
      <c r="I57" s="182">
        <f>DataT8!J59</f>
        <v>3.5613706111907959</v>
      </c>
      <c r="J57" s="182">
        <f>DataT8!K59</f>
        <v>1.9673514366149902</v>
      </c>
      <c r="K57" s="182">
        <f>DataT8!L59</f>
        <v>3.5524711608886719</v>
      </c>
    </row>
    <row r="58" spans="1:11" ht="32" customHeight="1" thickBot="1" x14ac:dyDescent="0.25">
      <c r="A58" s="155"/>
      <c r="B58" s="1" t="str">
        <f>DataT8!C60</f>
        <v>Mali</v>
      </c>
      <c r="C58" s="182">
        <f>DataT8!D60</f>
        <v>1.5814361395314336E-3</v>
      </c>
      <c r="D58" s="182">
        <f>DataT8!E60</f>
        <v>0.30515170097351074</v>
      </c>
      <c r="E58" s="182">
        <f>DataT8!F60</f>
        <v>0.61442875862121582</v>
      </c>
      <c r="F58" s="182">
        <f>DataT8!G60</f>
        <v>0.83984214067459106</v>
      </c>
      <c r="G58" s="182">
        <f>DataT8!H60</f>
        <v>1</v>
      </c>
      <c r="H58" s="182">
        <f>DataT8!I60</f>
        <v>2.9078865051269531</v>
      </c>
      <c r="I58" s="182">
        <f>DataT8!J60</f>
        <v>3.5613698959350586</v>
      </c>
      <c r="J58" s="182">
        <f>DataT8!K60</f>
        <v>1.9673514366149902</v>
      </c>
      <c r="K58" s="182">
        <f>DataT8!L60</f>
        <v>3.5524711608886719</v>
      </c>
    </row>
    <row r="59" spans="1:11" ht="32" customHeight="1" thickBot="1" x14ac:dyDescent="0.25">
      <c r="A59" s="156"/>
      <c r="B59" s="1" t="str">
        <f>DataT8!C61</f>
        <v>Other Sub-Saharan Africa</v>
      </c>
      <c r="C59" s="182">
        <f>DataT8!D61</f>
        <v>2.2855126298964024E-3</v>
      </c>
      <c r="D59" s="182">
        <f>DataT8!E61</f>
        <v>0.32525724172592163</v>
      </c>
      <c r="E59" s="182">
        <f>DataT8!F61</f>
        <v>0.51476430892944336</v>
      </c>
      <c r="F59" s="182">
        <f>DataT8!G61</f>
        <v>0.80061691999435425</v>
      </c>
      <c r="G59" s="182">
        <f>DataT8!H61</f>
        <v>1</v>
      </c>
      <c r="H59" s="182">
        <f>DataT8!I61</f>
        <v>2.7395951747894287</v>
      </c>
      <c r="I59" s="182">
        <f>DataT8!J61</f>
        <v>2.3220124244689941</v>
      </c>
      <c r="J59" s="182">
        <f>DataT8!K61</f>
        <v>2.6917755603790283</v>
      </c>
      <c r="K59" s="182">
        <f>DataT8!L61</f>
        <v>4.5478358268737793</v>
      </c>
    </row>
    <row r="60" spans="1:11" ht="32" customHeight="1" thickBot="1" x14ac:dyDescent="0.25">
      <c r="A60" s="98" t="str">
        <f>DataT8!B62</f>
        <v>World</v>
      </c>
      <c r="B60" s="98" t="str">
        <f>DataT8!C62</f>
        <v>World</v>
      </c>
      <c r="C60" s="183">
        <f>DataT8!D62</f>
        <v>1.6282612923532724E-3</v>
      </c>
      <c r="D60" s="183">
        <f>DataT8!E62</f>
        <v>0.26889580488204956</v>
      </c>
      <c r="E60" s="183">
        <f>DataT8!F62</f>
        <v>0.53426259756088257</v>
      </c>
      <c r="F60" s="183">
        <f>DataT8!G62</f>
        <v>0.82272106409072876</v>
      </c>
      <c r="G60" s="183">
        <f>DataT8!H62</f>
        <v>1</v>
      </c>
      <c r="H60" s="183">
        <f>DataT8!I62</f>
        <v>2.8945417404174805</v>
      </c>
      <c r="I60" s="183">
        <f>DataT8!J62</f>
        <v>3.4924187660217285</v>
      </c>
      <c r="J60" s="183">
        <f>DataT8!K62</f>
        <v>2.5391726493835449</v>
      </c>
      <c r="K60" s="183">
        <f>DataT8!L62</f>
        <v>3.97991943359375</v>
      </c>
    </row>
    <row r="61" spans="1:11" ht="18" customHeight="1" x14ac:dyDescent="0.2">
      <c r="A61" s="139" t="s">
        <v>683</v>
      </c>
      <c r="B61" s="140"/>
      <c r="C61" s="140"/>
      <c r="D61" s="140"/>
      <c r="E61" s="140"/>
      <c r="F61" s="140"/>
      <c r="G61" s="140"/>
      <c r="H61" s="140"/>
      <c r="I61" s="140"/>
      <c r="J61" s="140"/>
      <c r="K61" s="141"/>
    </row>
    <row r="62" spans="1:11" ht="26" customHeight="1" thickBot="1" x14ac:dyDescent="0.25">
      <c r="A62" s="142"/>
      <c r="B62" s="143"/>
      <c r="C62" s="143"/>
      <c r="D62" s="143"/>
      <c r="E62" s="143"/>
      <c r="F62" s="143"/>
      <c r="G62" s="143"/>
      <c r="H62" s="143"/>
      <c r="I62" s="143"/>
      <c r="J62" s="143"/>
      <c r="K62" s="144"/>
    </row>
  </sheetData>
  <mergeCells count="10">
    <mergeCell ref="A38:A39"/>
    <mergeCell ref="A40:A48"/>
    <mergeCell ref="A49:A59"/>
    <mergeCell ref="A1:K1"/>
    <mergeCell ref="A3:A7"/>
    <mergeCell ref="A8:A18"/>
    <mergeCell ref="A19:A24"/>
    <mergeCell ref="A25:A32"/>
    <mergeCell ref="A33:A37"/>
    <mergeCell ref="A61:K62"/>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CBF52-ABE5-0E45-A245-9DC8CB13E89A}">
  <sheetPr>
    <tabColor rgb="FFFF0000"/>
  </sheetPr>
  <dimension ref="A1:G23"/>
  <sheetViews>
    <sheetView workbookViewId="0">
      <selection activeCell="I5" sqref="I5"/>
    </sheetView>
  </sheetViews>
  <sheetFormatPr baseColWidth="10" defaultRowHeight="15" x14ac:dyDescent="0.2"/>
  <cols>
    <col min="2" max="2" width="17" customWidth="1"/>
    <col min="3" max="3" width="16.5" customWidth="1"/>
    <col min="4" max="4" width="12.1640625" bestFit="1" customWidth="1"/>
    <col min="5" max="5" width="20.5" customWidth="1"/>
    <col min="6" max="6" width="22" customWidth="1"/>
    <col min="7" max="7" width="21.1640625" customWidth="1"/>
  </cols>
  <sheetData>
    <row r="1" spans="1:7" ht="17" thickBot="1" x14ac:dyDescent="0.25">
      <c r="A1" s="175" t="s">
        <v>704</v>
      </c>
      <c r="B1" s="176"/>
      <c r="C1" s="176"/>
      <c r="D1" s="176"/>
      <c r="E1" s="176"/>
      <c r="F1" s="176"/>
      <c r="G1" s="202"/>
    </row>
    <row r="2" spans="1:7" ht="69" thickBot="1" x14ac:dyDescent="0.25">
      <c r="A2" s="21"/>
      <c r="B2" s="1" t="str">
        <f>DataT9!C4</f>
        <v>Name of Country</v>
      </c>
      <c r="C2" s="1" t="str">
        <f>DataT9!D4</f>
        <v>Per capita national income   (PPP 2025 €)</v>
      </c>
      <c r="D2" s="1" t="str">
        <f>DataT9!E4</f>
        <v xml:space="preserve">Total Population </v>
      </c>
      <c r="E2" s="15" t="str">
        <f>DataT9!F4</f>
        <v>Net Foreign Income as % of Net Domestic Product (PPP)</v>
      </c>
      <c r="F2" s="15" t="str">
        <f>DataT9!M4</f>
        <v>Net Foreign Wealth as % of Net Domestic Product (PPP 2025 €)</v>
      </c>
      <c r="G2" s="15" t="str">
        <f>DataT9!G4</f>
        <v>Ratio between MER and PPP Per Capita National Income</v>
      </c>
    </row>
    <row r="3" spans="1:7" ht="18" thickBot="1" x14ac:dyDescent="0.25">
      <c r="A3" s="22">
        <f>DataT9!B5</f>
        <v>1</v>
      </c>
      <c r="B3" s="16" t="str">
        <f>DataT9!C5</f>
        <v>Monaco</v>
      </c>
      <c r="C3" s="52">
        <f>DataT9!D5</f>
        <v>169293.1875</v>
      </c>
      <c r="D3" s="52">
        <f>DataT9!E5</f>
        <v>38341</v>
      </c>
      <c r="E3" s="184">
        <f>DataT9!F5</f>
        <v>-0.28643760085105896</v>
      </c>
      <c r="F3" s="184">
        <f>DataT9!M5</f>
        <v>10.989471435546875</v>
      </c>
      <c r="G3" s="184">
        <f>DataT9!G5</f>
        <v>0.99974685907363892</v>
      </c>
    </row>
    <row r="4" spans="1:7" ht="18" thickBot="1" x14ac:dyDescent="0.25">
      <c r="A4" s="22">
        <f>DataT9!B6</f>
        <v>2</v>
      </c>
      <c r="B4" s="16" t="str">
        <f>DataT9!C6</f>
        <v>Liechtenstein</v>
      </c>
      <c r="C4" s="52">
        <f>DataT9!D6</f>
        <v>152139.9375</v>
      </c>
      <c r="D4" s="52">
        <f>DataT9!E6</f>
        <v>40128</v>
      </c>
      <c r="E4" s="184">
        <f>DataT9!F6</f>
        <v>0.26791957020759583</v>
      </c>
      <c r="F4" s="184">
        <f>DataT9!M6</f>
        <v>14.362680435180664</v>
      </c>
      <c r="G4" s="184">
        <f>DataT9!G6</f>
        <v>1.4142372608184814</v>
      </c>
    </row>
    <row r="5" spans="1:7" ht="18" thickBot="1" x14ac:dyDescent="0.25">
      <c r="A5" s="22">
        <f>DataT9!B7</f>
        <v>3</v>
      </c>
      <c r="B5" s="16" t="str">
        <f>DataT9!C7</f>
        <v>Luxembourg</v>
      </c>
      <c r="C5" s="52">
        <f>DataT9!D7</f>
        <v>127374.1875</v>
      </c>
      <c r="D5" s="52">
        <f>DataT9!E7</f>
        <v>680453</v>
      </c>
      <c r="E5" s="184">
        <f>DataT9!F7</f>
        <v>0.46338683366775513</v>
      </c>
      <c r="F5" s="184">
        <f>DataT9!M7</f>
        <v>6.8253231048583984</v>
      </c>
      <c r="G5" s="184">
        <f>DataT9!G7</f>
        <v>1.2885363101959229</v>
      </c>
    </row>
    <row r="6" spans="1:7" ht="18" thickBot="1" x14ac:dyDescent="0.25">
      <c r="A6" s="22">
        <f>DataT9!B8</f>
        <v>4</v>
      </c>
      <c r="B6" s="16" t="str">
        <f>DataT9!C8</f>
        <v>Bermuda</v>
      </c>
      <c r="C6" s="52">
        <f>DataT9!D8</f>
        <v>126125.984375</v>
      </c>
      <c r="D6" s="52">
        <f>DataT9!E8</f>
        <v>64555</v>
      </c>
      <c r="E6" s="184">
        <f>DataT9!F8</f>
        <v>0.59416759014129639</v>
      </c>
      <c r="F6" s="184">
        <f>DataT9!M8</f>
        <v>50.907005310058594</v>
      </c>
      <c r="G6" s="184">
        <f>DataT9!G8</f>
        <v>1.4313027858734131</v>
      </c>
    </row>
    <row r="7" spans="1:7" ht="18" thickBot="1" x14ac:dyDescent="0.25">
      <c r="A7" s="22">
        <f>DataT9!B9</f>
        <v>5</v>
      </c>
      <c r="B7" s="16" t="str">
        <f>DataT9!C9</f>
        <v>Guernsey</v>
      </c>
      <c r="C7" s="52">
        <f>DataT9!D9</f>
        <v>125265.890625</v>
      </c>
      <c r="D7" s="52">
        <f>DataT9!E9</f>
        <v>64477</v>
      </c>
      <c r="E7" s="184">
        <f>DataT9!F9</f>
        <v>0.92516762018203735</v>
      </c>
      <c r="F7" s="184">
        <f>DataT9!M9</f>
        <v>32.615653991699219</v>
      </c>
      <c r="G7" s="184">
        <f>DataT9!G9</f>
        <v>1.1858717203140259</v>
      </c>
    </row>
    <row r="8" spans="1:7" ht="18" thickBot="1" x14ac:dyDescent="0.25">
      <c r="A8" s="22">
        <f>DataT9!B10</f>
        <v>6</v>
      </c>
      <c r="B8" s="16" t="str">
        <f>DataT9!C10</f>
        <v>Jersey</v>
      </c>
      <c r="C8" s="52">
        <f>DataT9!D10</f>
        <v>121562.3203125</v>
      </c>
      <c r="D8" s="52">
        <f>DataT9!E10</f>
        <v>103989</v>
      </c>
      <c r="E8" s="184">
        <f>DataT9!F10</f>
        <v>0.89237743616104126</v>
      </c>
      <c r="F8" s="184">
        <f>DataT9!M10</f>
        <v>21.835508346557617</v>
      </c>
      <c r="G8" s="184">
        <f>DataT9!G10</f>
        <v>1.1858717203140259</v>
      </c>
    </row>
    <row r="9" spans="1:7" ht="18" thickBot="1" x14ac:dyDescent="0.25">
      <c r="A9" s="22">
        <f>DataT9!B11</f>
        <v>7</v>
      </c>
      <c r="B9" s="16" t="str">
        <f>DataT9!C11</f>
        <v>Singapore</v>
      </c>
      <c r="C9" s="52">
        <f>DataT9!D11</f>
        <v>107222.7890625</v>
      </c>
      <c r="D9" s="52">
        <f>DataT9!E11</f>
        <v>5870750</v>
      </c>
      <c r="E9" s="184">
        <f>DataT9!F11</f>
        <v>0.11621449887752533</v>
      </c>
      <c r="F9" s="184">
        <f>DataT9!M11</f>
        <v>2.2231130599975586</v>
      </c>
      <c r="G9" s="184">
        <f>DataT9!G11</f>
        <v>0.75498604774475098</v>
      </c>
    </row>
    <row r="10" spans="1:7" ht="18" thickBot="1" x14ac:dyDescent="0.25">
      <c r="A10" s="22">
        <f>DataT9!B12</f>
        <v>8</v>
      </c>
      <c r="B10" s="16" t="str">
        <f>DataT9!C12</f>
        <v>Cayman Islands</v>
      </c>
      <c r="C10" s="52">
        <f>DataT9!D12</f>
        <v>101111.3359375</v>
      </c>
      <c r="D10" s="52">
        <f>DataT9!E12</f>
        <v>75844</v>
      </c>
      <c r="E10" s="184">
        <f>DataT9!F12</f>
        <v>0.69566631317138672</v>
      </c>
      <c r="F10" s="184">
        <f>DataT9!M12</f>
        <v>-68.226409912109375</v>
      </c>
      <c r="G10" s="184">
        <f>DataT9!G12</f>
        <v>1.400154709815979</v>
      </c>
    </row>
    <row r="11" spans="1:7" ht="18" thickBot="1" x14ac:dyDescent="0.25">
      <c r="A11" s="22">
        <f>DataT9!B13</f>
        <v>9</v>
      </c>
      <c r="B11" s="55" t="str">
        <f>DataT9!C13</f>
        <v>Gibraltar</v>
      </c>
      <c r="C11" s="52">
        <f>DataT9!D13</f>
        <v>85969.3671875</v>
      </c>
      <c r="D11" s="52">
        <f>DataT9!E13</f>
        <v>40126</v>
      </c>
      <c r="E11" s="185">
        <f>DataT9!F13</f>
        <v>0.37258920073509216</v>
      </c>
      <c r="F11" s="184">
        <f>DataT9!M13</f>
        <v>8.1257047653198242</v>
      </c>
      <c r="G11" s="185">
        <f>DataT9!G13</f>
        <v>1.1858717203140259</v>
      </c>
    </row>
    <row r="12" spans="1:7" ht="18" thickBot="1" x14ac:dyDescent="0.25">
      <c r="A12" s="64">
        <f>DataT9!B14</f>
        <v>10</v>
      </c>
      <c r="B12" s="66" t="str">
        <f>DataT9!C14</f>
        <v>Macao</v>
      </c>
      <c r="C12" s="65">
        <f>DataT9!D14</f>
        <v>78131.4765625</v>
      </c>
      <c r="D12" s="65">
        <f>DataT9!E14</f>
        <v>722007</v>
      </c>
      <c r="E12" s="186">
        <f>DataT9!F14</f>
        <v>5.5550944060087204E-2</v>
      </c>
      <c r="F12" s="187">
        <f>DataT9!M14</f>
        <v>4.1023545265197754</v>
      </c>
      <c r="G12" s="186">
        <f>DataT9!G14</f>
        <v>0.68804389238357544</v>
      </c>
    </row>
    <row r="13" spans="1:7" ht="16" customHeight="1" thickBot="1" x14ac:dyDescent="0.25">
      <c r="A13" s="64">
        <f>DataT9!B15</f>
        <v>11</v>
      </c>
      <c r="B13" s="66" t="str">
        <f>DataT9!C15</f>
        <v>Anguilla</v>
      </c>
      <c r="C13" s="65">
        <f>DataT9!D15</f>
        <v>73923.9140625</v>
      </c>
      <c r="D13" s="65">
        <f>DataT9!E15</f>
        <v>14728</v>
      </c>
      <c r="E13" s="186">
        <f>DataT9!F15</f>
        <v>-3.3261410892009735E-2</v>
      </c>
      <c r="F13" s="187">
        <f>DataT9!M15</f>
        <v>-1.6918486356735229</v>
      </c>
      <c r="G13" s="186">
        <f>DataT9!G15</f>
        <v>0.30965313315391541</v>
      </c>
    </row>
    <row r="14" spans="1:7" ht="18" thickBot="1" x14ac:dyDescent="0.25">
      <c r="A14" s="64">
        <f>DataT9!B16</f>
        <v>12</v>
      </c>
      <c r="B14" s="66" t="str">
        <f>DataT9!C16</f>
        <v>Norway</v>
      </c>
      <c r="C14" s="65">
        <f>DataT9!D16</f>
        <v>69947.3046875</v>
      </c>
      <c r="D14" s="65">
        <f>DataT9!E16</f>
        <v>5623071</v>
      </c>
      <c r="E14" s="186">
        <f>DataT9!F16</f>
        <v>0.15726423263549805</v>
      </c>
      <c r="F14" s="187">
        <f>DataT9!M16</f>
        <v>4.0950531959533691</v>
      </c>
      <c r="G14" s="186">
        <f>DataT9!G16</f>
        <v>1.1006637811660767</v>
      </c>
    </row>
    <row r="15" spans="1:7" ht="18" thickBot="1" x14ac:dyDescent="0.25">
      <c r="A15" s="64">
        <f>DataT9!B17</f>
        <v>13</v>
      </c>
      <c r="B15" s="66" t="str">
        <f>DataT9!C17</f>
        <v>Qatar</v>
      </c>
      <c r="C15" s="65">
        <f>DataT9!D17</f>
        <v>69242.5390625</v>
      </c>
      <c r="D15" s="65">
        <f>DataT9!E17</f>
        <v>3115889</v>
      </c>
      <c r="E15" s="186">
        <f>DataT9!F17</f>
        <v>-2.9037849977612495E-2</v>
      </c>
      <c r="F15" s="187">
        <f>DataT9!M17</f>
        <v>3.4598767757415771</v>
      </c>
      <c r="G15" s="186">
        <f>DataT9!G17</f>
        <v>0.72564506530761719</v>
      </c>
    </row>
    <row r="16" spans="1:7" ht="18" thickBot="1" x14ac:dyDescent="0.25">
      <c r="A16" s="64">
        <f>DataT9!B18</f>
        <v>14</v>
      </c>
      <c r="B16" s="66" t="str">
        <f>DataT9!C18</f>
        <v>Isle of Man</v>
      </c>
      <c r="C16" s="65">
        <f>DataT9!D18</f>
        <v>63127.9921875</v>
      </c>
      <c r="D16" s="65">
        <f>DataT9!E18</f>
        <v>84118</v>
      </c>
      <c r="E16" s="186">
        <f>DataT9!F18</f>
        <v>-3.2232560217380524E-2</v>
      </c>
      <c r="F16" s="187">
        <f>DataT9!M18</f>
        <v>1.7868751287460327</v>
      </c>
      <c r="G16" s="186">
        <f>DataT9!G18</f>
        <v>1.2242249250411987</v>
      </c>
    </row>
    <row r="17" spans="1:7" ht="18" thickBot="1" x14ac:dyDescent="0.25">
      <c r="A17" s="64">
        <f>DataT9!B19</f>
        <v>15</v>
      </c>
      <c r="B17" s="66" t="str">
        <f>DataT9!C19</f>
        <v>Ireland</v>
      </c>
      <c r="C17" s="65">
        <f>DataT9!D19</f>
        <v>60958.421875</v>
      </c>
      <c r="D17" s="65">
        <f>DataT9!E19</f>
        <v>5308039</v>
      </c>
      <c r="E17" s="186">
        <f>DataT9!F19</f>
        <v>-0.25005197525024414</v>
      </c>
      <c r="F17" s="187">
        <f>DataT9!M19</f>
        <v>-0.40812557935714722</v>
      </c>
      <c r="G17" s="186">
        <f>DataT9!G19</f>
        <v>1.0893615484237671</v>
      </c>
    </row>
    <row r="18" spans="1:7" ht="18" thickBot="1" x14ac:dyDescent="0.25">
      <c r="A18" s="64">
        <f>DataT9!B20</f>
        <v>16</v>
      </c>
      <c r="B18" s="66" t="str">
        <f>DataT9!C20</f>
        <v>Hong Kong</v>
      </c>
      <c r="C18" s="65">
        <f>DataT9!D20</f>
        <v>56061.24609375</v>
      </c>
      <c r="D18" s="65">
        <f>DataT9!E20</f>
        <v>7396076</v>
      </c>
      <c r="E18" s="186">
        <f>DataT9!F20</f>
        <v>0.19739183783531189</v>
      </c>
      <c r="F18" s="187">
        <f>DataT9!M20</f>
        <v>6.76068115234375</v>
      </c>
      <c r="G18" s="186">
        <f>DataT9!G20</f>
        <v>0.87755590677261353</v>
      </c>
    </row>
    <row r="19" spans="1:7" ht="18" thickBot="1" x14ac:dyDescent="0.25">
      <c r="A19" s="64">
        <f>DataT9!B21</f>
        <v>17</v>
      </c>
      <c r="B19" s="66" t="str">
        <f>DataT9!C21</f>
        <v>Taiwan</v>
      </c>
      <c r="C19" s="65">
        <f>DataT9!D21</f>
        <v>55318.48046875</v>
      </c>
      <c r="D19" s="65">
        <f>DataT9!E21</f>
        <v>23112793</v>
      </c>
      <c r="E19" s="186">
        <f>DataT9!F21</f>
        <v>6.1520170420408249E-2</v>
      </c>
      <c r="F19" s="187">
        <f>DataT9!M21</f>
        <v>2.0188534259796143</v>
      </c>
      <c r="G19" s="186">
        <f>DataT9!G21</f>
        <v>0.58458143472671509</v>
      </c>
    </row>
    <row r="20" spans="1:7" ht="35" thickBot="1" x14ac:dyDescent="0.25">
      <c r="A20" s="64">
        <f>DataT9!B22</f>
        <v>18</v>
      </c>
      <c r="B20" s="66" t="str">
        <f>DataT9!C22</f>
        <v>United Arab Emirates</v>
      </c>
      <c r="C20" s="65">
        <f>DataT9!D22</f>
        <v>53610.1171875</v>
      </c>
      <c r="D20" s="65">
        <f>DataT9!E22</f>
        <v>11346000</v>
      </c>
      <c r="E20" s="186">
        <f>DataT9!F22</f>
        <v>4.2291291058063507E-2</v>
      </c>
      <c r="F20" s="187">
        <f>DataT9!M22</f>
        <v>2.7800033092498779</v>
      </c>
      <c r="G20" s="186">
        <f>DataT9!G22</f>
        <v>0.75419050455093384</v>
      </c>
    </row>
    <row r="21" spans="1:7" ht="35" thickBot="1" x14ac:dyDescent="0.25">
      <c r="A21" s="64">
        <f>DataT9!B23</f>
        <v>19</v>
      </c>
      <c r="B21" s="66" t="str">
        <f>DataT9!C23</f>
        <v>Brunei Darussalam</v>
      </c>
      <c r="C21" s="65">
        <f>DataT9!D23</f>
        <v>53175.62890625</v>
      </c>
      <c r="D21" s="65">
        <f>DataT9!E23</f>
        <v>466330</v>
      </c>
      <c r="E21" s="186">
        <f>DataT9!F23</f>
        <v>6.8277046084403992E-3</v>
      </c>
      <c r="F21" s="187">
        <f>DataT9!M23</f>
        <v>7.1705703735351562</v>
      </c>
      <c r="G21" s="186">
        <f>DataT9!G23</f>
        <v>0.47829276323318481</v>
      </c>
    </row>
    <row r="22" spans="1:7" ht="17" x14ac:dyDescent="0.2">
      <c r="A22" s="64">
        <f>DataT9!B24</f>
        <v>20</v>
      </c>
      <c r="B22" s="66" t="str">
        <f>DataT9!C24</f>
        <v>Montserrat</v>
      </c>
      <c r="C22" s="65">
        <f>DataT9!D24</f>
        <v>52928.58203125</v>
      </c>
      <c r="D22" s="65">
        <f>DataT9!E24</f>
        <v>4359</v>
      </c>
      <c r="E22" s="186">
        <f>DataT9!F24</f>
        <v>6.7814923822879791E-2</v>
      </c>
      <c r="F22" s="187">
        <f>DataT9!M24</f>
        <v>1.5361876487731934</v>
      </c>
      <c r="G22" s="186">
        <f>DataT9!G24</f>
        <v>0.29125025868415833</v>
      </c>
    </row>
    <row r="23" spans="1:7" ht="60" customHeight="1" thickBot="1" x14ac:dyDescent="0.25">
      <c r="A23" s="148" t="s">
        <v>684</v>
      </c>
      <c r="B23" s="149"/>
      <c r="C23" s="149"/>
      <c r="D23" s="149"/>
      <c r="E23" s="149"/>
      <c r="F23" s="149"/>
      <c r="G23" s="150"/>
    </row>
  </sheetData>
  <mergeCells count="2">
    <mergeCell ref="A23:G23"/>
    <mergeCell ref="A1:G1"/>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FF94B4-6FEC-AE45-8376-1D2CE0253DCC}">
  <sheetPr>
    <tabColor rgb="FFFF0000"/>
  </sheetPr>
  <dimension ref="A1:G24"/>
  <sheetViews>
    <sheetView workbookViewId="0">
      <selection activeCell="A2" sqref="A2"/>
    </sheetView>
  </sheetViews>
  <sheetFormatPr baseColWidth="10" defaultRowHeight="15" x14ac:dyDescent="0.2"/>
  <cols>
    <col min="2" max="2" width="21.5" customWidth="1"/>
    <col min="3" max="3" width="16.5" customWidth="1"/>
    <col min="4" max="4" width="22" customWidth="1"/>
    <col min="5" max="5" width="20.6640625" customWidth="1"/>
    <col min="6" max="6" width="21.83203125" customWidth="1"/>
    <col min="7" max="7" width="17" customWidth="1"/>
  </cols>
  <sheetData>
    <row r="1" spans="1:7" ht="17" thickBot="1" x14ac:dyDescent="0.25">
      <c r="A1" s="111" t="s">
        <v>703</v>
      </c>
      <c r="B1" s="112"/>
      <c r="C1" s="112"/>
      <c r="D1" s="112"/>
      <c r="E1" s="112"/>
      <c r="F1" s="112"/>
      <c r="G1" s="113"/>
    </row>
    <row r="2" spans="1:7" ht="103" thickBot="1" x14ac:dyDescent="0.25">
      <c r="A2" s="21"/>
      <c r="B2" s="15" t="s">
        <v>530</v>
      </c>
      <c r="C2" s="15" t="s">
        <v>516</v>
      </c>
      <c r="D2" s="15" t="s">
        <v>531</v>
      </c>
      <c r="E2" s="15" t="s">
        <v>534</v>
      </c>
      <c r="F2" s="15" t="s">
        <v>533</v>
      </c>
      <c r="G2" s="15" t="s">
        <v>532</v>
      </c>
    </row>
    <row r="3" spans="1:7" ht="17" thickBot="1" x14ac:dyDescent="0.25">
      <c r="A3" s="22">
        <f>DataT9!B5</f>
        <v>1</v>
      </c>
      <c r="B3" s="51" t="str">
        <f>DataT9!H5</f>
        <v>Taiwan</v>
      </c>
      <c r="C3" s="52">
        <f>DataT9!I5</f>
        <v>55318.48046875</v>
      </c>
      <c r="D3" s="60">
        <f>DataT9!J5/1000000</f>
        <v>23.112793</v>
      </c>
      <c r="E3" s="61">
        <f>DataT9!K5</f>
        <v>6.1520170420408249E-2</v>
      </c>
      <c r="F3" s="61">
        <f>DataT9!N5</f>
        <v>2.0188534259796143</v>
      </c>
      <c r="G3" s="62">
        <f>DataT9!L5</f>
        <v>0.58458143472671509</v>
      </c>
    </row>
    <row r="4" spans="1:7" ht="17" thickBot="1" x14ac:dyDescent="0.25">
      <c r="A4" s="22">
        <f>DataT9!B6</f>
        <v>2</v>
      </c>
      <c r="B4" s="51" t="str">
        <f>DataT9!H6</f>
        <v>United Arab Emirates</v>
      </c>
      <c r="C4" s="52">
        <f>DataT9!I6</f>
        <v>53610.1171875</v>
      </c>
      <c r="D4" s="60">
        <f>DataT9!J6/1000000</f>
        <v>11.346</v>
      </c>
      <c r="E4" s="61">
        <f>DataT9!K6</f>
        <v>4.2291291058063507E-2</v>
      </c>
      <c r="F4" s="61">
        <f>DataT9!N6</f>
        <v>2.7800033092498779</v>
      </c>
      <c r="G4" s="62">
        <f>DataT9!L6</f>
        <v>0.75419050455093384</v>
      </c>
    </row>
    <row r="5" spans="1:7" ht="17" thickBot="1" x14ac:dyDescent="0.25">
      <c r="A5" s="22">
        <f>DataT9!B7</f>
        <v>3</v>
      </c>
      <c r="B5" s="51" t="str">
        <f>DataT9!H7</f>
        <v>USA</v>
      </c>
      <c r="C5" s="52">
        <f>DataT9!I7</f>
        <v>49822.73828125</v>
      </c>
      <c r="D5" s="60">
        <f>DataT9!J7/1000000</f>
        <v>347.27580699999999</v>
      </c>
      <c r="E5" s="61">
        <f>DataT9!K7</f>
        <v>-2.5801826268434525E-3</v>
      </c>
      <c r="F5" s="61">
        <f>DataT9!N7</f>
        <v>-1.0444386005401611</v>
      </c>
      <c r="G5" s="62">
        <f>DataT9!L7</f>
        <v>1.2513751983642578</v>
      </c>
    </row>
    <row r="6" spans="1:7" ht="17" thickBot="1" x14ac:dyDescent="0.25">
      <c r="A6" s="22">
        <f>DataT9!B8</f>
        <v>4</v>
      </c>
      <c r="B6" s="51" t="str">
        <f>DataT9!H8</f>
        <v>Saudi Arabia</v>
      </c>
      <c r="C6" s="52">
        <f>DataT9!I8</f>
        <v>48551.51171875</v>
      </c>
      <c r="D6" s="60">
        <f>DataT9!J8/1000000</f>
        <v>34.566327999999999</v>
      </c>
      <c r="E6" s="61">
        <f>DataT9!K8</f>
        <v>2.3078816011548042E-3</v>
      </c>
      <c r="F6" s="61">
        <f>DataT9!N8</f>
        <v>1.5157818794250488</v>
      </c>
      <c r="G6" s="62">
        <f>DataT9!L8</f>
        <v>0.58542263507843018</v>
      </c>
    </row>
    <row r="7" spans="1:7" ht="17" thickBot="1" x14ac:dyDescent="0.25">
      <c r="A7" s="22">
        <f>DataT9!B9</f>
        <v>5</v>
      </c>
      <c r="B7" s="51" t="str">
        <f>DataT9!H9</f>
        <v>Netherlands</v>
      </c>
      <c r="C7" s="52">
        <f>DataT9!I9</f>
        <v>47596.3828125</v>
      </c>
      <c r="D7" s="60">
        <f>DataT9!J9/1000000</f>
        <v>18.346819</v>
      </c>
      <c r="E7" s="61">
        <f>DataT9!K9</f>
        <v>2.2173689678311348E-2</v>
      </c>
      <c r="F7" s="61">
        <f>DataT9!N9</f>
        <v>1.1486704349517822</v>
      </c>
      <c r="G7" s="62">
        <f>DataT9!L9</f>
        <v>1.1503196954727173</v>
      </c>
    </row>
    <row r="8" spans="1:7" ht="17" thickBot="1" x14ac:dyDescent="0.25">
      <c r="A8" s="22">
        <f>DataT9!B10</f>
        <v>6</v>
      </c>
      <c r="B8" s="51" t="str">
        <f>DataT9!H10</f>
        <v>Sweden</v>
      </c>
      <c r="C8" s="52">
        <f>DataT9!I10</f>
        <v>45212.1171875</v>
      </c>
      <c r="D8" s="60">
        <f>DataT9!J10/1000000</f>
        <v>10.656632999999999</v>
      </c>
      <c r="E8" s="61">
        <f>DataT9!K10</f>
        <v>9.3091696500778198E-2</v>
      </c>
      <c r="F8" s="61">
        <f>DataT9!N10</f>
        <v>0.81526529788970947</v>
      </c>
      <c r="G8" s="62">
        <f>DataT9!L10</f>
        <v>1.1068054437637329</v>
      </c>
    </row>
    <row r="9" spans="1:7" ht="17" thickBot="1" x14ac:dyDescent="0.25">
      <c r="A9" s="22">
        <f>DataT9!B11</f>
        <v>7</v>
      </c>
      <c r="B9" s="51" t="str">
        <f>DataT9!H11</f>
        <v>Canada</v>
      </c>
      <c r="C9" s="52">
        <f>DataT9!I11</f>
        <v>42177.09375</v>
      </c>
      <c r="D9" s="60">
        <f>DataT9!J11/1000000</f>
        <v>40.126722999999998</v>
      </c>
      <c r="E9" s="61">
        <f>DataT9!K11</f>
        <v>3.0857117846608162E-2</v>
      </c>
      <c r="F9" s="61">
        <f>DataT9!N11</f>
        <v>0.86337381601333618</v>
      </c>
      <c r="G9" s="62">
        <f>DataT9!L11</f>
        <v>1.0549728870391846</v>
      </c>
    </row>
    <row r="10" spans="1:7" ht="17" thickBot="1" x14ac:dyDescent="0.25">
      <c r="A10" s="22">
        <f>DataT9!B12</f>
        <v>8</v>
      </c>
      <c r="B10" s="51" t="str">
        <f>DataT9!H12</f>
        <v>Belgium</v>
      </c>
      <c r="C10" s="52">
        <f>DataT9!I12</f>
        <v>42068.8515625</v>
      </c>
      <c r="D10" s="60">
        <f>DataT9!J12/1000000</f>
        <v>11.758603000000001</v>
      </c>
      <c r="E10" s="61">
        <f>DataT9!K12</f>
        <v>2.9227472841739655E-2</v>
      </c>
      <c r="F10" s="61">
        <f>DataT9!N12</f>
        <v>0.79171377420425415</v>
      </c>
      <c r="G10" s="62">
        <f>DataT9!L12</f>
        <v>1.058205246925354</v>
      </c>
    </row>
    <row r="11" spans="1:7" ht="17" thickBot="1" x14ac:dyDescent="0.25">
      <c r="A11" s="22">
        <f>DataT9!B13</f>
        <v>9</v>
      </c>
      <c r="B11" s="51" t="str">
        <f>DataT9!H13</f>
        <v>Germany</v>
      </c>
      <c r="C11" s="52">
        <f>DataT9!I13</f>
        <v>41799.515625</v>
      </c>
      <c r="D11" s="60">
        <f>DataT9!J13/1000000</f>
        <v>84.075074999999998</v>
      </c>
      <c r="E11" s="61">
        <f>DataT9!K13</f>
        <v>4.7023799270391464E-2</v>
      </c>
      <c r="F11" s="61">
        <f>DataT9!N13</f>
        <v>0.8809056282043457</v>
      </c>
      <c r="G11" s="62">
        <f>DataT9!L13</f>
        <v>1.0649183988571167</v>
      </c>
    </row>
    <row r="12" spans="1:7" ht="17" thickBot="1" x14ac:dyDescent="0.25">
      <c r="A12" s="22">
        <f>DataT9!B14</f>
        <v>10</v>
      </c>
      <c r="B12" s="51" t="str">
        <f>DataT9!H14</f>
        <v>Australia</v>
      </c>
      <c r="C12" s="52">
        <f>DataT9!I14</f>
        <v>41624.9375</v>
      </c>
      <c r="D12" s="60">
        <f>DataT9!J14/1000000</f>
        <v>26.974025999999999</v>
      </c>
      <c r="E12" s="61">
        <f>DataT9!K14</f>
        <v>-1.3680905103683472E-2</v>
      </c>
      <c r="F12" s="61">
        <f>DataT9!N14</f>
        <v>-0.21125340461730957</v>
      </c>
      <c r="G12" s="62">
        <f>DataT9!L14</f>
        <v>1.1546173095703125</v>
      </c>
    </row>
    <row r="13" spans="1:7" ht="17" thickBot="1" x14ac:dyDescent="0.25">
      <c r="A13" s="22">
        <f>DataT9!B15</f>
        <v>11</v>
      </c>
      <c r="B13" s="51" t="str">
        <f>DataT9!H15</f>
        <v>United Kingdom</v>
      </c>
      <c r="C13" s="52">
        <f>DataT9!I15</f>
        <v>38187.03515625</v>
      </c>
      <c r="D13" s="60">
        <f>DataT9!J15/1000000</f>
        <v>69.551332000000002</v>
      </c>
      <c r="E13" s="61">
        <f>DataT9!K15</f>
        <v>2.0781757310032845E-2</v>
      </c>
      <c r="F13" s="61">
        <f>DataT9!N15</f>
        <v>5.2665058523416519E-2</v>
      </c>
      <c r="G13" s="62">
        <f>DataT9!L15</f>
        <v>1.1858717203140259</v>
      </c>
    </row>
    <row r="14" spans="1:7" ht="17" thickBot="1" x14ac:dyDescent="0.25">
      <c r="A14" s="22">
        <f>DataT9!B16</f>
        <v>12</v>
      </c>
      <c r="B14" s="51" t="str">
        <f>DataT9!H16</f>
        <v>France</v>
      </c>
      <c r="C14" s="52">
        <f>DataT9!I16</f>
        <v>37172.39453125</v>
      </c>
      <c r="D14" s="60">
        <f>DataT9!J16/1000000</f>
        <v>68.898116000000002</v>
      </c>
      <c r="E14" s="61">
        <f>DataT9!K16</f>
        <v>3.8339726626873016E-2</v>
      </c>
      <c r="F14" s="61">
        <f>DataT9!N16</f>
        <v>-0.23345911502838135</v>
      </c>
      <c r="G14" s="62">
        <f>DataT9!L16</f>
        <v>0.99082297086715698</v>
      </c>
    </row>
    <row r="15" spans="1:7" ht="17" thickBot="1" x14ac:dyDescent="0.25">
      <c r="A15" s="22">
        <f>DataT9!B17</f>
        <v>13</v>
      </c>
      <c r="B15" s="51" t="str">
        <f>DataT9!H17</f>
        <v>South Korea</v>
      </c>
      <c r="C15" s="52">
        <f>DataT9!I17</f>
        <v>35358.00390625</v>
      </c>
      <c r="D15" s="60">
        <f>DataT9!J17/1000000</f>
        <v>51.667028999999999</v>
      </c>
      <c r="E15" s="61">
        <f>DataT9!K17</f>
        <v>1.9520068541169167E-2</v>
      </c>
      <c r="F15" s="61">
        <f>DataT9!N17</f>
        <v>0.77059102058410645</v>
      </c>
      <c r="G15" s="62">
        <f>DataT9!L17</f>
        <v>0.73212653398513794</v>
      </c>
    </row>
    <row r="16" spans="1:7" ht="17" thickBot="1" x14ac:dyDescent="0.25">
      <c r="A16" s="22">
        <f>DataT9!B18</f>
        <v>14</v>
      </c>
      <c r="B16" s="51" t="str">
        <f>DataT9!H18</f>
        <v>Italy</v>
      </c>
      <c r="C16" s="52">
        <f>DataT9!I18</f>
        <v>34716.8515625</v>
      </c>
      <c r="D16" s="60">
        <f>DataT9!J18/1000000</f>
        <v>59.146259999999998</v>
      </c>
      <c r="E16" s="61">
        <f>DataT9!K18</f>
        <v>-2.4660388589836657E-4</v>
      </c>
      <c r="F16" s="61">
        <f>DataT9!N18</f>
        <v>0.10820485651493073</v>
      </c>
      <c r="G16" s="62">
        <f>DataT9!L18</f>
        <v>0.90017342567443848</v>
      </c>
    </row>
    <row r="17" spans="1:7" ht="17" thickBot="1" x14ac:dyDescent="0.25">
      <c r="A17" s="22">
        <f>DataT9!B19</f>
        <v>15</v>
      </c>
      <c r="B17" s="51" t="str">
        <f>DataT9!H19</f>
        <v>Spain</v>
      </c>
      <c r="C17" s="52">
        <f>DataT9!I19</f>
        <v>33523.9296875</v>
      </c>
      <c r="D17" s="60">
        <f>DataT9!J19/1000000</f>
        <v>47.889958</v>
      </c>
      <c r="E17" s="61">
        <f>DataT9!K19</f>
        <v>-2.1116859279572964E-3</v>
      </c>
      <c r="F17" s="61">
        <f>DataT9!N19</f>
        <v>-0.35272303223609924</v>
      </c>
      <c r="G17" s="62">
        <f>DataT9!L19</f>
        <v>0.87393677234649658</v>
      </c>
    </row>
    <row r="18" spans="1:7" ht="17" thickBot="1" x14ac:dyDescent="0.25">
      <c r="A18" s="22">
        <f>DataT9!B20</f>
        <v>16</v>
      </c>
      <c r="B18" s="51" t="str">
        <f>DataT9!H20</f>
        <v>Japan</v>
      </c>
      <c r="C18" s="52">
        <f>DataT9!I20</f>
        <v>30096.572265625</v>
      </c>
      <c r="D18" s="60">
        <f>DataT9!J20/1000000</f>
        <v>123.10347899999999</v>
      </c>
      <c r="E18" s="61">
        <f>DataT9!K20</f>
        <v>8.7730027735233307E-2</v>
      </c>
      <c r="F18" s="61">
        <f>DataT9!N20</f>
        <v>1.0303177833557129</v>
      </c>
      <c r="G18" s="62">
        <f>DataT9!L20</f>
        <v>0.81981289386749268</v>
      </c>
    </row>
    <row r="19" spans="1:7" ht="17" thickBot="1" x14ac:dyDescent="0.25">
      <c r="A19" s="22">
        <f>DataT9!B21</f>
        <v>17</v>
      </c>
      <c r="B19" s="51" t="str">
        <f>DataT9!H21</f>
        <v>Poland</v>
      </c>
      <c r="C19" s="52">
        <f>DataT9!I21</f>
        <v>29576.306640625</v>
      </c>
      <c r="D19" s="60">
        <f>DataT9!J21/1000000</f>
        <v>38.140909999999998</v>
      </c>
      <c r="E19" s="61">
        <f>DataT9!K21</f>
        <v>-5.2653919905424118E-2</v>
      </c>
      <c r="F19" s="61">
        <f>DataT9!N21</f>
        <v>-0.31971704959869385</v>
      </c>
      <c r="G19" s="62">
        <f>DataT9!L21</f>
        <v>0.61017525196075439</v>
      </c>
    </row>
    <row r="20" spans="1:7" ht="17" thickBot="1" x14ac:dyDescent="0.25">
      <c r="A20" s="22">
        <f>DataT9!B22</f>
        <v>18</v>
      </c>
      <c r="B20" s="51" t="str">
        <f>DataT9!H22</f>
        <v>Czechia</v>
      </c>
      <c r="C20" s="52">
        <f>DataT9!I22</f>
        <v>29225.3671875</v>
      </c>
      <c r="D20" s="60">
        <f>DataT9!J22/1000000</f>
        <v>10.609239000000001</v>
      </c>
      <c r="E20" s="61">
        <f>DataT9!K22</f>
        <v>-6.6495813429355621E-2</v>
      </c>
      <c r="F20" s="61">
        <f>DataT9!N22</f>
        <v>-2.7579620480537415E-2</v>
      </c>
      <c r="G20" s="62">
        <f>DataT9!L22</f>
        <v>0.80542612075805664</v>
      </c>
    </row>
    <row r="21" spans="1:7" ht="17" thickBot="1" x14ac:dyDescent="0.25">
      <c r="A21" s="22">
        <f>DataT9!B23</f>
        <v>19</v>
      </c>
      <c r="B21" s="51" t="str">
        <f>DataT9!H23</f>
        <v>Russia</v>
      </c>
      <c r="C21" s="52">
        <f>DataT9!I23</f>
        <v>29046.2265625</v>
      </c>
      <c r="D21" s="60">
        <f>DataT9!J23/1000000</f>
        <v>143.99739299999999</v>
      </c>
      <c r="E21" s="61">
        <f>DataT9!K23</f>
        <v>-9.3224914744496346E-3</v>
      </c>
      <c r="F21" s="61">
        <f>DataT9!N23</f>
        <v>0.35051229596138</v>
      </c>
      <c r="G21" s="62">
        <f>DataT9!L23</f>
        <v>0.4719395637512207</v>
      </c>
    </row>
    <row r="22" spans="1:7" ht="17" thickBot="1" x14ac:dyDescent="0.25">
      <c r="A22" s="22">
        <f>DataT9!B24</f>
        <v>20</v>
      </c>
      <c r="B22" s="51" t="str">
        <f>DataT9!H24</f>
        <v>Romania</v>
      </c>
      <c r="C22" s="52">
        <f>DataT9!I24</f>
        <v>28088.453125</v>
      </c>
      <c r="D22" s="60">
        <f>DataT9!J24/1000000</f>
        <v>18.908650000000002</v>
      </c>
      <c r="E22" s="61">
        <f>DataT9!K24</f>
        <v>-3.3614262938499451E-2</v>
      </c>
      <c r="F22" s="61">
        <f>DataT9!N24</f>
        <v>3.025144524872303E-2</v>
      </c>
      <c r="G22" s="62">
        <f>DataT9!L24</f>
        <v>0.60826432704925537</v>
      </c>
    </row>
    <row r="23" spans="1:7" x14ac:dyDescent="0.2">
      <c r="A23" s="114" t="s">
        <v>535</v>
      </c>
      <c r="B23" s="115"/>
      <c r="C23" s="115"/>
      <c r="D23" s="115"/>
      <c r="E23" s="115"/>
      <c r="F23" s="115"/>
      <c r="G23" s="116"/>
    </row>
    <row r="24" spans="1:7" ht="65" customHeight="1" thickBot="1" x14ac:dyDescent="0.25">
      <c r="A24" s="117"/>
      <c r="B24" s="118"/>
      <c r="C24" s="118"/>
      <c r="D24" s="118"/>
      <c r="E24" s="118"/>
      <c r="F24" s="118"/>
      <c r="G24" s="119"/>
    </row>
  </sheetData>
  <mergeCells count="2">
    <mergeCell ref="A1:G1"/>
    <mergeCell ref="A23:G24"/>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DCBF4-89B6-AA42-8069-9F64222B5C44}">
  <sheetPr>
    <tabColor rgb="FFFF0000"/>
  </sheetPr>
  <dimension ref="A1:G23"/>
  <sheetViews>
    <sheetView workbookViewId="0">
      <selection sqref="A1:G1"/>
    </sheetView>
  </sheetViews>
  <sheetFormatPr baseColWidth="10" defaultColWidth="13.5" defaultRowHeight="15" x14ac:dyDescent="0.2"/>
  <cols>
    <col min="3" max="3" width="18" customWidth="1"/>
    <col min="4" max="4" width="15" customWidth="1"/>
    <col min="5" max="5" width="21.1640625" customWidth="1"/>
    <col min="6" max="6" width="20.33203125" customWidth="1"/>
    <col min="7" max="7" width="20" customWidth="1"/>
  </cols>
  <sheetData>
    <row r="1" spans="1:7" ht="17" thickBot="1" x14ac:dyDescent="0.25">
      <c r="A1" s="111" t="str">
        <f>DataT10!B3</f>
        <v>Table 10. Bottom 10 Poorest Countries (2025)</v>
      </c>
      <c r="B1" s="112"/>
      <c r="C1" s="112"/>
      <c r="D1" s="112"/>
      <c r="E1" s="112"/>
      <c r="F1" s="112"/>
      <c r="G1" s="113"/>
    </row>
    <row r="2" spans="1:7" ht="69" thickBot="1" x14ac:dyDescent="0.25">
      <c r="A2" s="21"/>
      <c r="B2" s="1" t="str">
        <f>DataT10!C4</f>
        <v>Name of Country</v>
      </c>
      <c r="C2" s="1" t="str">
        <f>DataT10!D4</f>
        <v>Per capita national income   (PPP 2025 €)</v>
      </c>
      <c r="D2" s="1" t="str">
        <f>DataT10!E4</f>
        <v xml:space="preserve">Total Population </v>
      </c>
      <c r="E2" s="15" t="str">
        <f>DataT10!F4</f>
        <v>Net Foreign Income as % of Net Domestic Product (PPP)</v>
      </c>
      <c r="F2" s="15" t="str">
        <f>DataT10!G4</f>
        <v>Ratio between MER and PPP Per Capita National Income</v>
      </c>
      <c r="G2" s="15" t="str">
        <f>DataT10!M4</f>
        <v>Net Foreign Wealth as % of Net Domestic Product (PPP 2025 €)</v>
      </c>
    </row>
    <row r="3" spans="1:7" ht="18" thickBot="1" x14ac:dyDescent="0.25">
      <c r="A3" s="22" t="s">
        <v>519</v>
      </c>
      <c r="B3" s="16" t="str">
        <f>DataT10!C5</f>
        <v>Burundi</v>
      </c>
      <c r="C3" s="52">
        <f>DataT10!D5</f>
        <v>622.47052001953125</v>
      </c>
      <c r="D3" s="70">
        <f>DataT10!E5</f>
        <v>14390003</v>
      </c>
      <c r="E3" s="61">
        <f>DataT10!F5</f>
        <v>-9.6550006419420242E-3</v>
      </c>
      <c r="F3" s="61">
        <f>DataT10!G5</f>
        <v>0.49313724040985107</v>
      </c>
      <c r="G3" s="62">
        <f>DataT10!M5</f>
        <v>-0.87130123376846313</v>
      </c>
    </row>
    <row r="4" spans="1:7" ht="18" thickBot="1" x14ac:dyDescent="0.25">
      <c r="A4" s="22" t="s">
        <v>520</v>
      </c>
      <c r="B4" s="51" t="str">
        <f>DataT10!C6</f>
        <v>Yemen</v>
      </c>
      <c r="C4" s="52">
        <f>DataT10!D6</f>
        <v>709.0682373046875</v>
      </c>
      <c r="D4" s="70">
        <f>DataT10!E6</f>
        <v>41773878</v>
      </c>
      <c r="E4" s="61">
        <f>DataT10!F6</f>
        <v>-7.7636376954615116E-4</v>
      </c>
      <c r="F4" s="61">
        <f>DataT10!G6</f>
        <v>0.94936615228652954</v>
      </c>
      <c r="G4" s="62">
        <f>DataT10!M6</f>
        <v>-7.7065490186214447E-2</v>
      </c>
    </row>
    <row r="5" spans="1:7" ht="52" thickBot="1" x14ac:dyDescent="0.25">
      <c r="A5" s="22" t="s">
        <v>521</v>
      </c>
      <c r="B5" s="16" t="str">
        <f>DataT10!C7</f>
        <v>Central African Republic</v>
      </c>
      <c r="C5" s="52">
        <f>DataT10!D7</f>
        <v>828.11175537109375</v>
      </c>
      <c r="D5" s="70">
        <f>DataT10!E7</f>
        <v>5513282</v>
      </c>
      <c r="E5" s="61">
        <f>DataT10!F7</f>
        <v>1.0976120829582214E-3</v>
      </c>
      <c r="F5" s="61">
        <f>DataT10!G7</f>
        <v>0.55026501417160034</v>
      </c>
      <c r="G5" s="62">
        <f>DataT10!M7</f>
        <v>-0.56045663356781006</v>
      </c>
    </row>
    <row r="6" spans="1:7" ht="18" thickBot="1" x14ac:dyDescent="0.25">
      <c r="A6" s="22" t="s">
        <v>522</v>
      </c>
      <c r="B6" s="16" t="str">
        <f>DataT10!C8</f>
        <v>Mozambique</v>
      </c>
      <c r="C6" s="52">
        <f>DataT10!D8</f>
        <v>879.02142333984375</v>
      </c>
      <c r="D6" s="70">
        <f>DataT10!E8</f>
        <v>35631653</v>
      </c>
      <c r="E6" s="61">
        <f>DataT10!F8</f>
        <v>-0.13149820268154144</v>
      </c>
      <c r="F6" s="61">
        <f>DataT10!G8</f>
        <v>0.46290618181228638</v>
      </c>
      <c r="G6" s="62">
        <f>DataT10!M8</f>
        <v>-3.4795238971710205</v>
      </c>
    </row>
    <row r="7" spans="1:7" ht="18" thickBot="1" x14ac:dyDescent="0.25">
      <c r="A7" s="22" t="s">
        <v>523</v>
      </c>
      <c r="B7" s="51" t="str">
        <f>DataT10!C9</f>
        <v>Sudan</v>
      </c>
      <c r="C7" s="52">
        <f>DataT10!D9</f>
        <v>916.88299560546875</v>
      </c>
      <c r="D7" s="70">
        <f>DataT10!E9</f>
        <v>51662147</v>
      </c>
      <c r="E7" s="61">
        <f>DataT10!F9</f>
        <v>-2.3580461740493774E-2</v>
      </c>
      <c r="F7" s="61">
        <f>DataT10!G9</f>
        <v>1.9754630327224731</v>
      </c>
      <c r="G7" s="62">
        <f>DataT10!M9</f>
        <v>-0.68874287605285645</v>
      </c>
    </row>
    <row r="8" spans="1:7" ht="18" thickBot="1" x14ac:dyDescent="0.25">
      <c r="A8" s="22" t="s">
        <v>524</v>
      </c>
      <c r="B8" s="51" t="str">
        <f>DataT10!C10</f>
        <v>Somalia</v>
      </c>
      <c r="C8" s="52">
        <f>DataT10!D10</f>
        <v>969.49273681640625</v>
      </c>
      <c r="D8" s="70">
        <f>DataT10!E10</f>
        <v>19654739</v>
      </c>
      <c r="E8" s="61">
        <f>DataT10!F10</f>
        <v>3.0611632391810417E-3</v>
      </c>
      <c r="F8" s="61">
        <f>DataT10!G10</f>
        <v>0.52909529209136963</v>
      </c>
      <c r="G8" s="62">
        <f>DataT10!M10</f>
        <v>-0.52980178594589233</v>
      </c>
    </row>
    <row r="9" spans="1:7" ht="18" thickBot="1" x14ac:dyDescent="0.25">
      <c r="A9" s="22" t="s">
        <v>525</v>
      </c>
      <c r="B9" s="63" t="str">
        <f>DataT10!C11</f>
        <v>Malawi</v>
      </c>
      <c r="C9" s="52">
        <f>DataT10!D11</f>
        <v>1163.8697509765625</v>
      </c>
      <c r="D9" s="52">
        <f>DataT10!E11</f>
        <v>22216120</v>
      </c>
      <c r="E9" s="61">
        <f>DataT10!F11</f>
        <v>-1.7456613481044769E-2</v>
      </c>
      <c r="F9" s="61">
        <f>DataT10!G11</f>
        <v>0.44583719968795776</v>
      </c>
      <c r="G9" s="54">
        <f>DataT10!M11</f>
        <v>-0.34621450304985046</v>
      </c>
    </row>
    <row r="10" spans="1:7" ht="18" thickBot="1" x14ac:dyDescent="0.25">
      <c r="A10" s="22" t="s">
        <v>526</v>
      </c>
      <c r="B10" s="63" t="str">
        <f>DataT10!C12</f>
        <v>DR Congo</v>
      </c>
      <c r="C10" s="52">
        <f>DataT10!D12</f>
        <v>1174.8968505859375</v>
      </c>
      <c r="D10" s="52">
        <f>DataT10!E12</f>
        <v>112832473</v>
      </c>
      <c r="E10" s="61">
        <f>DataT10!F12</f>
        <v>-3.9706144481897354E-2</v>
      </c>
      <c r="F10" s="61">
        <f>DataT10!G12</f>
        <v>0.47532013058662415</v>
      </c>
      <c r="G10" s="54">
        <f>DataT10!M12</f>
        <v>-0.50321322679519653</v>
      </c>
    </row>
    <row r="11" spans="1:7" ht="18" thickBot="1" x14ac:dyDescent="0.25">
      <c r="A11" s="22" t="s">
        <v>527</v>
      </c>
      <c r="B11" s="55" t="str">
        <f>DataT10!C13</f>
        <v>Madagascar</v>
      </c>
      <c r="C11" s="52">
        <f>DataT10!D13</f>
        <v>1177.4119873046875</v>
      </c>
      <c r="D11" s="52">
        <f>DataT10!E13</f>
        <v>32740678</v>
      </c>
      <c r="E11" s="61">
        <f>DataT10!F13</f>
        <v>-3.612188994884491E-2</v>
      </c>
      <c r="F11" s="61">
        <f>DataT10!G13</f>
        <v>0.39191344380378723</v>
      </c>
      <c r="G11" s="54">
        <f>DataT10!M13</f>
        <v>-0.39437830448150635</v>
      </c>
    </row>
    <row r="12" spans="1:7" ht="18" thickBot="1" x14ac:dyDescent="0.25">
      <c r="A12" s="64" t="s">
        <v>528</v>
      </c>
      <c r="B12" s="55" t="str">
        <f>DataT10!C14</f>
        <v>Niger</v>
      </c>
      <c r="C12" s="52">
        <f>DataT10!D14</f>
        <v>1268.602783203125</v>
      </c>
      <c r="D12" s="52">
        <f>DataT10!E14</f>
        <v>27917831</v>
      </c>
      <c r="E12" s="61">
        <f>DataT10!F14</f>
        <v>-2.0950449630618095E-2</v>
      </c>
      <c r="F12" s="61">
        <f>DataT10!G14</f>
        <v>0.43841049075126648</v>
      </c>
      <c r="G12" s="54">
        <f>DataT10!M14</f>
        <v>-0.95463085174560547</v>
      </c>
    </row>
    <row r="13" spans="1:7" ht="18" thickBot="1" x14ac:dyDescent="0.25">
      <c r="A13" s="22" t="s">
        <v>555</v>
      </c>
      <c r="B13" s="55" t="str">
        <f>DataT10!C15</f>
        <v>Liberia</v>
      </c>
      <c r="C13" s="52">
        <f>DataT10!D15</f>
        <v>1309.9129638671875</v>
      </c>
      <c r="D13" s="52">
        <f>DataT10!E15</f>
        <v>5731206</v>
      </c>
      <c r="E13" s="61">
        <f>DataT10!F15</f>
        <v>-7.5491391122341156E-2</v>
      </c>
      <c r="F13" s="61">
        <f>DataT10!G15</f>
        <v>0.54056811332702637</v>
      </c>
      <c r="G13" s="54">
        <f>DataT10!M15</f>
        <v>-0.64391547441482544</v>
      </c>
    </row>
    <row r="14" spans="1:7" ht="18" thickBot="1" x14ac:dyDescent="0.25">
      <c r="A14" s="22" t="s">
        <v>556</v>
      </c>
      <c r="B14" s="55" t="str">
        <f>DataT10!C16</f>
        <v>Afghanistan</v>
      </c>
      <c r="C14" s="52">
        <f>DataT10!D16</f>
        <v>1407.8302001953125</v>
      </c>
      <c r="D14" s="52">
        <f>DataT10!E16</f>
        <v>43844111</v>
      </c>
      <c r="E14" s="61">
        <f>DataT10!F16</f>
        <v>9.7350962460041046E-3</v>
      </c>
      <c r="F14" s="61">
        <f>DataT10!G16</f>
        <v>0.24501165747642517</v>
      </c>
      <c r="G14" s="54">
        <f>DataT10!M16</f>
        <v>2.5141606107354164E-2</v>
      </c>
    </row>
    <row r="15" spans="1:7" ht="18" thickBot="1" x14ac:dyDescent="0.25">
      <c r="A15" s="22" t="s">
        <v>557</v>
      </c>
      <c r="B15" s="55" t="str">
        <f>DataT10!C17</f>
        <v>Eritrea</v>
      </c>
      <c r="C15" s="52">
        <f>DataT10!D17</f>
        <v>1517.9412841796875</v>
      </c>
      <c r="D15" s="52">
        <f>DataT10!E17</f>
        <v>3607003</v>
      </c>
      <c r="E15" s="61">
        <f>DataT10!F17</f>
        <v>-6.8583292886614799E-3</v>
      </c>
      <c r="F15" s="61">
        <f>DataT10!G17</f>
        <v>0.23008748888969421</v>
      </c>
      <c r="G15" s="54">
        <f>DataT10!M17</f>
        <v>-0.68408435583114624</v>
      </c>
    </row>
    <row r="16" spans="1:7" ht="35" thickBot="1" x14ac:dyDescent="0.25">
      <c r="A16" s="22" t="s">
        <v>558</v>
      </c>
      <c r="B16" s="55" t="str">
        <f>DataT10!C18</f>
        <v>Solomon Islands</v>
      </c>
      <c r="C16" s="52">
        <f>DataT10!D18</f>
        <v>1669.0172119140625</v>
      </c>
      <c r="D16" s="52">
        <f>DataT10!E18</f>
        <v>838645</v>
      </c>
      <c r="E16" s="61">
        <f>DataT10!F18</f>
        <v>-8.2497019320726395E-3</v>
      </c>
      <c r="F16" s="61">
        <f>DataT10!G18</f>
        <v>0.91903781890869141</v>
      </c>
      <c r="G16" s="54">
        <f>DataT10!M18</f>
        <v>-6.7023776471614838E-2</v>
      </c>
    </row>
    <row r="17" spans="1:7" ht="35" thickBot="1" x14ac:dyDescent="0.25">
      <c r="A17" s="22" t="s">
        <v>559</v>
      </c>
      <c r="B17" s="55" t="str">
        <f>DataT10!C19</f>
        <v>Guinea-Bissau</v>
      </c>
      <c r="C17" s="52">
        <f>DataT10!D19</f>
        <v>1690.253173828125</v>
      </c>
      <c r="D17" s="52">
        <f>DataT10!E19</f>
        <v>2249515</v>
      </c>
      <c r="E17" s="61">
        <f>DataT10!F19</f>
        <v>-1.9505058880895376E-3</v>
      </c>
      <c r="F17" s="61">
        <f>DataT10!G19</f>
        <v>0.47569000720977783</v>
      </c>
      <c r="G17" s="54">
        <f>DataT10!M19</f>
        <v>-0.43470531702041626</v>
      </c>
    </row>
    <row r="18" spans="1:7" ht="18" thickBot="1" x14ac:dyDescent="0.25">
      <c r="A18" s="22" t="s">
        <v>560</v>
      </c>
      <c r="B18" s="55" t="str">
        <f>DataT10!C20</f>
        <v>Burkina Faso</v>
      </c>
      <c r="C18" s="52">
        <f>DataT10!D20</f>
        <v>1818.962158203125</v>
      </c>
      <c r="D18" s="52">
        <f>DataT10!E20</f>
        <v>24074580</v>
      </c>
      <c r="E18" s="61">
        <f>DataT10!F20</f>
        <v>-5.3782336413860321E-2</v>
      </c>
      <c r="F18" s="61">
        <f>DataT10!G20</f>
        <v>0.48323267698287964</v>
      </c>
      <c r="G18" s="54">
        <f>DataT10!M20</f>
        <v>-0.3804340660572052</v>
      </c>
    </row>
    <row r="19" spans="1:7" ht="18" thickBot="1" x14ac:dyDescent="0.25">
      <c r="A19" s="22" t="s">
        <v>561</v>
      </c>
      <c r="B19" s="55" t="str">
        <f>DataT10!C21</f>
        <v>Chad</v>
      </c>
      <c r="C19" s="52">
        <f>DataT10!D21</f>
        <v>1873.5333251953125</v>
      </c>
      <c r="D19" s="52">
        <f>DataT10!E21</f>
        <v>21003705</v>
      </c>
      <c r="E19" s="61">
        <f>DataT10!F21</f>
        <v>1.4860848896205425E-3</v>
      </c>
      <c r="F19" s="61">
        <f>DataT10!G21</f>
        <v>0.45588994026184082</v>
      </c>
      <c r="G19" s="54">
        <f>DataT10!M21</f>
        <v>-0.61020797491073608</v>
      </c>
    </row>
    <row r="20" spans="1:7" ht="18" thickBot="1" x14ac:dyDescent="0.25">
      <c r="A20" s="22" t="s">
        <v>562</v>
      </c>
      <c r="B20" s="55" t="str">
        <f>DataT10!C22</f>
        <v>Venezuela</v>
      </c>
      <c r="C20" s="52">
        <f>DataT10!D22</f>
        <v>1912.2821044921875</v>
      </c>
      <c r="D20" s="52">
        <f>DataT10!E22</f>
        <v>28516896</v>
      </c>
      <c r="E20" s="61">
        <f>DataT10!F22</f>
        <v>-0.13735437393188477</v>
      </c>
      <c r="F20" s="61">
        <f>DataT10!G22</f>
        <v>0.80865716934204102</v>
      </c>
      <c r="G20" s="54">
        <f>DataT10!M22</f>
        <v>2.5168530941009521</v>
      </c>
    </row>
    <row r="21" spans="1:7" ht="18" thickBot="1" x14ac:dyDescent="0.25">
      <c r="A21" s="22" t="s">
        <v>563</v>
      </c>
      <c r="B21" s="55" t="str">
        <f>DataT10!C23</f>
        <v>South Sudan</v>
      </c>
      <c r="C21" s="52">
        <f>DataT10!D23</f>
        <v>1950.6634521484375</v>
      </c>
      <c r="D21" s="52">
        <f>DataT10!E23</f>
        <v>12188788</v>
      </c>
      <c r="E21" s="61">
        <f>DataT10!F23</f>
        <v>-8.7614618241786957E-2</v>
      </c>
      <c r="F21" s="61">
        <f>DataT10!G23</f>
        <v>13.594289779663086</v>
      </c>
      <c r="G21" s="54">
        <f>DataT10!M23</f>
        <v>-6.3684163615107536E-3</v>
      </c>
    </row>
    <row r="22" spans="1:7" ht="18" thickBot="1" x14ac:dyDescent="0.25">
      <c r="A22" s="22" t="s">
        <v>564</v>
      </c>
      <c r="B22" s="55" t="str">
        <f>DataT10!C24</f>
        <v>Haiti</v>
      </c>
      <c r="C22" s="52">
        <f>DataT10!D24</f>
        <v>2065.39501953125</v>
      </c>
      <c r="D22" s="52">
        <f>DataT10!E24</f>
        <v>11906095</v>
      </c>
      <c r="E22" s="61">
        <f>DataT10!F24</f>
        <v>8.3492667181417346E-4</v>
      </c>
      <c r="F22" s="61">
        <f>DataT10!G24</f>
        <v>1.0489652156829834</v>
      </c>
      <c r="G22" s="54">
        <f>DataT10!M24</f>
        <v>1.2041295878589153E-2</v>
      </c>
    </row>
    <row r="23" spans="1:7" ht="74" customHeight="1" thickBot="1" x14ac:dyDescent="0.25">
      <c r="A23" s="148" t="s">
        <v>529</v>
      </c>
      <c r="B23" s="149"/>
      <c r="C23" s="149"/>
      <c r="D23" s="149"/>
      <c r="E23" s="149"/>
      <c r="F23" s="149"/>
      <c r="G23" s="150"/>
    </row>
  </sheetData>
  <mergeCells count="2">
    <mergeCell ref="A23:G23"/>
    <mergeCell ref="A1:G1"/>
  </mergeCells>
  <phoneticPr fontId="15"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DFEA0E-2FC2-3344-900A-CF8ADAC508B9}">
  <sheetPr>
    <tabColor rgb="FFFF0000"/>
  </sheetPr>
  <dimension ref="A1:K14"/>
  <sheetViews>
    <sheetView zoomScale="83" workbookViewId="0">
      <selection activeCell="E17" sqref="E17"/>
    </sheetView>
  </sheetViews>
  <sheetFormatPr baseColWidth="10" defaultRowHeight="32" customHeight="1" x14ac:dyDescent="0.2"/>
  <cols>
    <col min="1" max="8" width="18.33203125" customWidth="1"/>
    <col min="9" max="9" width="14.5" customWidth="1"/>
    <col min="10" max="10" width="15" customWidth="1"/>
  </cols>
  <sheetData>
    <row r="1" spans="1:11" ht="19" thickBot="1" x14ac:dyDescent="0.25">
      <c r="A1" s="194" t="str">
        <f>DataT11!B3</f>
        <v>Table 11. Top 10 Largest Economies (2025)</v>
      </c>
      <c r="B1" s="195"/>
      <c r="C1" s="195"/>
      <c r="D1" s="195"/>
      <c r="E1" s="195"/>
      <c r="F1" s="195"/>
      <c r="G1" s="195"/>
      <c r="H1" s="195"/>
      <c r="I1" s="195"/>
      <c r="J1" s="196"/>
    </row>
    <row r="2" spans="1:11" ht="69" thickBot="1" x14ac:dyDescent="0.25">
      <c r="A2" s="21"/>
      <c r="B2" s="16" t="str">
        <f>DataT11!B4</f>
        <v>Name of Country</v>
      </c>
      <c r="C2" s="16" t="str">
        <f>DataT11!C4</f>
        <v>National income        (PPP 2025 billions €)</v>
      </c>
      <c r="D2" s="16" t="str">
        <f>DataT11!D4</f>
        <v>Total Population (millions)</v>
      </c>
      <c r="E2" s="16" t="str">
        <f>DataT11!E4</f>
        <v xml:space="preserve">Per Capita National Income
(PPP 2025 €)
</v>
      </c>
      <c r="F2" s="16" t="str">
        <f>DataT11!F4</f>
        <v>National income        (MER 2025 billions €)</v>
      </c>
      <c r="G2" s="16" t="str">
        <f>DataT11!G4</f>
        <v>Ranking
National income        (MER 2025 billions €)</v>
      </c>
      <c r="H2" s="16" t="str">
        <f>DataT11!H4</f>
        <v>Ratio MER/PPP National Income</v>
      </c>
      <c r="I2" s="16" t="str">
        <f>DataT11!I4</f>
        <v>Net Foreign Income as % NDP (MER 2025 $)</v>
      </c>
      <c r="J2" s="16" t="str">
        <f>DataT11!J4</f>
        <v>Net Foreign Wealth as % NDP (MER 2025 $)</v>
      </c>
      <c r="K2" s="58"/>
    </row>
    <row r="3" spans="1:11" ht="32" customHeight="1" thickBot="1" x14ac:dyDescent="0.25">
      <c r="A3" s="22" t="s">
        <v>519</v>
      </c>
      <c r="B3" s="51" t="str">
        <f>DataT11!B5</f>
        <v>China</v>
      </c>
      <c r="C3" s="52">
        <f>DataT11!C5</f>
        <v>22490.373046875</v>
      </c>
      <c r="D3" s="52">
        <f>DataT11!D5</f>
        <v>1416.096094</v>
      </c>
      <c r="E3" s="52">
        <f>DataT11!E5</f>
        <v>15881.955078125</v>
      </c>
      <c r="F3" s="52">
        <f>DataT11!F5</f>
        <v>13339.5908203125</v>
      </c>
      <c r="G3" s="52">
        <f>DataT11!G5</f>
        <v>2</v>
      </c>
      <c r="H3" s="54">
        <f>DataT11!H5</f>
        <v>0.59312444925308228</v>
      </c>
      <c r="I3" s="48">
        <f>DataT11!I5</f>
        <v>-1.6812274232506752E-2</v>
      </c>
      <c r="J3" s="48">
        <f>DataT11!J5</f>
        <v>0.24408727884292603</v>
      </c>
      <c r="K3" s="58"/>
    </row>
    <row r="4" spans="1:11" ht="32" customHeight="1" thickBot="1" x14ac:dyDescent="0.25">
      <c r="A4" s="22" t="s">
        <v>520</v>
      </c>
      <c r="B4" s="51" t="str">
        <f>DataT11!B6</f>
        <v>USA</v>
      </c>
      <c r="C4" s="52">
        <f>DataT11!C6</f>
        <v>17302.232421875</v>
      </c>
      <c r="D4" s="52">
        <f>DataT11!D6</f>
        <v>347.27580699999999</v>
      </c>
      <c r="E4" s="52">
        <f>DataT11!E6</f>
        <v>49822.73828125</v>
      </c>
      <c r="F4" s="52">
        <f>DataT11!F6</f>
        <v>21651.58203125</v>
      </c>
      <c r="G4" s="52">
        <f>DataT11!G6</f>
        <v>1</v>
      </c>
      <c r="H4" s="54">
        <f>DataT11!H6</f>
        <v>1.2513751983642578</v>
      </c>
      <c r="I4" s="48">
        <f>DataT11!I6</f>
        <v>-2.5801826268434525E-3</v>
      </c>
      <c r="J4" s="48">
        <f>DataT11!J6</f>
        <v>-1.0471404790878296</v>
      </c>
      <c r="K4" s="58"/>
    </row>
    <row r="5" spans="1:11" ht="32" customHeight="1" thickBot="1" x14ac:dyDescent="0.25">
      <c r="A5" s="22" t="s">
        <v>521</v>
      </c>
      <c r="B5" s="51" t="str">
        <f>DataT11!B7</f>
        <v>India</v>
      </c>
      <c r="C5" s="52">
        <f>DataT11!C7</f>
        <v>10239.841796875</v>
      </c>
      <c r="D5" s="52">
        <f>DataT11!D7</f>
        <v>1463.8655249999999</v>
      </c>
      <c r="E5" s="52">
        <f>DataT11!E7</f>
        <v>6995.06982421875</v>
      </c>
      <c r="F5" s="52">
        <f>DataT11!F7</f>
        <v>3037.35498046875</v>
      </c>
      <c r="G5" s="52">
        <f>DataT11!G7</f>
        <v>6</v>
      </c>
      <c r="H5" s="54">
        <f>DataT11!H7</f>
        <v>0.29662129282951355</v>
      </c>
      <c r="I5" s="48">
        <f>DataT11!I7</f>
        <v>-2.9733315110206604E-2</v>
      </c>
      <c r="J5" s="48">
        <f>DataT11!J7</f>
        <v>-0.37669509649276733</v>
      </c>
      <c r="K5" s="58"/>
    </row>
    <row r="6" spans="1:11" ht="32" customHeight="1" thickBot="1" x14ac:dyDescent="0.25">
      <c r="A6" s="44" t="s">
        <v>522</v>
      </c>
      <c r="B6" s="55" t="str">
        <f>DataT11!B8</f>
        <v>Russia</v>
      </c>
      <c r="C6" s="52">
        <f>DataT11!C8</f>
        <v>4182.5810546875</v>
      </c>
      <c r="D6" s="52">
        <f>DataT11!D8</f>
        <v>143.99739299999999</v>
      </c>
      <c r="E6" s="52">
        <f>DataT11!E8</f>
        <v>29046.2265625</v>
      </c>
      <c r="F6" s="52">
        <f>DataT11!F8</f>
        <v>1973.9254150390625</v>
      </c>
      <c r="G6" s="52">
        <f>DataT11!G8</f>
        <v>8</v>
      </c>
      <c r="H6" s="54">
        <f>DataT11!H8</f>
        <v>0.4719395637512207</v>
      </c>
      <c r="I6" s="48">
        <f>DataT11!I8</f>
        <v>-9.3224924057722092E-3</v>
      </c>
      <c r="J6" s="48">
        <f>DataT11!J8</f>
        <v>0.35381072759628296</v>
      </c>
      <c r="K6" s="57"/>
    </row>
    <row r="7" spans="1:11" ht="32" customHeight="1" thickBot="1" x14ac:dyDescent="0.25">
      <c r="A7" s="22" t="s">
        <v>523</v>
      </c>
      <c r="B7" s="51" t="str">
        <f>DataT11!B9</f>
        <v>Japan</v>
      </c>
      <c r="C7" s="52">
        <f>DataT11!C9</f>
        <v>3704.992919921875</v>
      </c>
      <c r="D7" s="52">
        <f>DataT11!D9</f>
        <v>123.10347899999999</v>
      </c>
      <c r="E7" s="52">
        <f>DataT11!E9</f>
        <v>30096.572265625</v>
      </c>
      <c r="F7" s="52">
        <f>DataT11!F9</f>
        <v>3037.40087890625</v>
      </c>
      <c r="G7" s="52">
        <f>DataT11!G9</f>
        <v>5</v>
      </c>
      <c r="H7" s="54">
        <f>DataT11!H9</f>
        <v>0.81981289386749268</v>
      </c>
      <c r="I7" s="48">
        <f>DataT11!I9</f>
        <v>8.7730027735233307E-2</v>
      </c>
      <c r="J7" s="48">
        <f>DataT11!J9</f>
        <v>0.94721829891204834</v>
      </c>
      <c r="K7" s="58"/>
    </row>
    <row r="8" spans="1:11" ht="32" customHeight="1" thickBot="1" x14ac:dyDescent="0.25">
      <c r="A8" s="22" t="s">
        <v>524</v>
      </c>
      <c r="B8" s="51" t="str">
        <f>DataT11!B10</f>
        <v>Germany</v>
      </c>
      <c r="C8" s="52">
        <f>DataT11!C10</f>
        <v>3514.29736328125</v>
      </c>
      <c r="D8" s="52">
        <f>DataT11!D10</f>
        <v>84.075074999999998</v>
      </c>
      <c r="E8" s="52">
        <f>DataT11!E10</f>
        <v>41799.515625</v>
      </c>
      <c r="F8" s="52">
        <f>DataT11!F10</f>
        <v>3742.440185546875</v>
      </c>
      <c r="G8" s="52">
        <f>DataT11!G10</f>
        <v>3</v>
      </c>
      <c r="H8" s="54">
        <f>DataT11!H10</f>
        <v>1.0649183988571167</v>
      </c>
      <c r="I8" s="48">
        <f>DataT11!I10</f>
        <v>4.7023802995681763E-2</v>
      </c>
      <c r="J8" s="48">
        <f>DataT11!J10</f>
        <v>0.8413425087928772</v>
      </c>
      <c r="K8" s="58"/>
    </row>
    <row r="9" spans="1:11" ht="32" customHeight="1" thickBot="1" x14ac:dyDescent="0.25">
      <c r="A9" s="22" t="s">
        <v>525</v>
      </c>
      <c r="B9" s="51" t="str">
        <f>DataT11!B11</f>
        <v>Brazil</v>
      </c>
      <c r="C9" s="52">
        <f>DataT11!C11</f>
        <v>2788.72607421875</v>
      </c>
      <c r="D9" s="52">
        <f>DataT11!D11</f>
        <v>212.81240500000001</v>
      </c>
      <c r="E9" s="52">
        <f>DataT11!E11</f>
        <v>13104.15234375</v>
      </c>
      <c r="F9" s="52">
        <f>DataT11!F11</f>
        <v>1640.5810546875</v>
      </c>
      <c r="G9" s="52">
        <f>DataT11!G11</f>
        <v>11</v>
      </c>
      <c r="H9" s="54">
        <f>DataT11!H11</f>
        <v>0.58829045295715332</v>
      </c>
      <c r="I9" s="48">
        <f>DataT11!I11</f>
        <v>-4.1555073112249374E-2</v>
      </c>
      <c r="J9" s="48">
        <f>DataT11!J11</f>
        <v>-0.40258303284645081</v>
      </c>
      <c r="K9" s="58"/>
    </row>
    <row r="10" spans="1:11" ht="32" customHeight="1" thickBot="1" x14ac:dyDescent="0.25">
      <c r="A10" s="22" t="s">
        <v>526</v>
      </c>
      <c r="B10" s="51" t="str">
        <f>DataT11!B12</f>
        <v>Indonesia</v>
      </c>
      <c r="C10" s="52">
        <f>DataT11!C12</f>
        <v>2786.113037109375</v>
      </c>
      <c r="D10" s="52">
        <f>DataT11!D12</f>
        <v>285.72123599999998</v>
      </c>
      <c r="E10" s="52">
        <f>DataT11!E12</f>
        <v>9751.158203125</v>
      </c>
      <c r="F10" s="52">
        <f>DataT11!F12</f>
        <v>1018.913330078125</v>
      </c>
      <c r="G10" s="52">
        <f>DataT11!G12</f>
        <v>17</v>
      </c>
      <c r="H10" s="54">
        <f>DataT11!H12</f>
        <v>0.36571139097213745</v>
      </c>
      <c r="I10" s="48">
        <f>DataT11!I12</f>
        <v>-3.0268160626292229E-2</v>
      </c>
      <c r="J10" s="48">
        <f>DataT11!J12</f>
        <v>-0.18300607800483704</v>
      </c>
      <c r="K10" s="58"/>
    </row>
    <row r="11" spans="1:11" ht="32" customHeight="1" thickBot="1" x14ac:dyDescent="0.25">
      <c r="A11" s="22" t="s">
        <v>527</v>
      </c>
      <c r="B11" s="51" t="str">
        <f>DataT11!B13</f>
        <v>United Kingdom</v>
      </c>
      <c r="C11" s="52">
        <f>DataT11!C13</f>
        <v>2655.959228515625</v>
      </c>
      <c r="D11" s="52">
        <f>DataT11!D13</f>
        <v>69.551332000000002</v>
      </c>
      <c r="E11" s="52">
        <f>DataT11!E13</f>
        <v>38187.03515625</v>
      </c>
      <c r="F11" s="52">
        <f>DataT11!F13</f>
        <v>3149.626953125</v>
      </c>
      <c r="G11" s="52">
        <f>DataT11!G13</f>
        <v>4</v>
      </c>
      <c r="H11" s="54">
        <f>DataT11!H13</f>
        <v>1.1858717203140259</v>
      </c>
      <c r="I11" s="48">
        <f>DataT11!I13</f>
        <v>2.0781759172677994E-2</v>
      </c>
      <c r="J11" s="48">
        <f>DataT11!J13</f>
        <v>5.15928715467453E-2</v>
      </c>
      <c r="K11" s="58"/>
    </row>
    <row r="12" spans="1:11" ht="32" customHeight="1" thickBot="1" x14ac:dyDescent="0.25">
      <c r="A12" s="22" t="s">
        <v>528</v>
      </c>
      <c r="B12" s="16" t="str">
        <f>DataT11!B14</f>
        <v>France</v>
      </c>
      <c r="C12" s="52">
        <f>DataT11!C14</f>
        <v>2561.10791015625</v>
      </c>
      <c r="D12" s="52">
        <f>DataT11!D14</f>
        <v>68.898116000000002</v>
      </c>
      <c r="E12" s="52">
        <f>DataT11!E14</f>
        <v>37172.39453125</v>
      </c>
      <c r="F12" s="52">
        <f>DataT11!F14</f>
        <v>2537.604248046875</v>
      </c>
      <c r="G12" s="52">
        <f>DataT11!G14</f>
        <v>7</v>
      </c>
      <c r="H12" s="54">
        <f>DataT11!H14</f>
        <v>0.99082297086715698</v>
      </c>
      <c r="I12" s="48">
        <f>DataT11!I14</f>
        <v>3.8339726626873016E-2</v>
      </c>
      <c r="J12" s="48">
        <f>DataT11!J14</f>
        <v>-0.22483885288238525</v>
      </c>
      <c r="K12" s="57"/>
    </row>
    <row r="13" spans="1:11" ht="20" customHeight="1" x14ac:dyDescent="0.2">
      <c r="A13" s="188" t="s">
        <v>685</v>
      </c>
      <c r="B13" s="189"/>
      <c r="C13" s="189"/>
      <c r="D13" s="189"/>
      <c r="E13" s="189"/>
      <c r="F13" s="189"/>
      <c r="G13" s="189"/>
      <c r="H13" s="189"/>
      <c r="I13" s="189"/>
      <c r="J13" s="190"/>
    </row>
    <row r="14" spans="1:11" ht="21" customHeight="1" thickBot="1" x14ac:dyDescent="0.25">
      <c r="A14" s="191"/>
      <c r="B14" s="192"/>
      <c r="C14" s="192"/>
      <c r="D14" s="192"/>
      <c r="E14" s="192"/>
      <c r="F14" s="192"/>
      <c r="G14" s="192"/>
      <c r="H14" s="192"/>
      <c r="I14" s="192"/>
      <c r="J14" s="193"/>
    </row>
  </sheetData>
  <mergeCells count="2">
    <mergeCell ref="A13:J14"/>
    <mergeCell ref="A1:J1"/>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29D477-19BD-D242-8DAB-E41B4AB0C52D}">
  <sheetPr>
    <tabColor rgb="FF00B050"/>
  </sheetPr>
  <dimension ref="A1:M14"/>
  <sheetViews>
    <sheetView workbookViewId="0">
      <selection activeCell="A13" sqref="A13:M14"/>
    </sheetView>
  </sheetViews>
  <sheetFormatPr baseColWidth="10" defaultRowHeight="15" x14ac:dyDescent="0.2"/>
  <cols>
    <col min="1" max="13" width="16" customWidth="1"/>
  </cols>
  <sheetData>
    <row r="1" spans="1:13" ht="17" thickBot="1" x14ac:dyDescent="0.25">
      <c r="A1" s="163" t="str">
        <f>DataT12a!B2</f>
        <v>Table 12a. Current Account by World Region € (2025)</v>
      </c>
      <c r="B1" s="164"/>
      <c r="C1" s="164"/>
      <c r="D1" s="164"/>
      <c r="E1" s="164"/>
      <c r="F1" s="164"/>
      <c r="G1" s="164"/>
      <c r="H1" s="164"/>
      <c r="I1" s="164"/>
      <c r="J1" s="164"/>
      <c r="K1" s="164"/>
      <c r="L1" s="164"/>
      <c r="M1" s="165"/>
    </row>
    <row r="2" spans="1:13" ht="17" thickBot="1" x14ac:dyDescent="0.25">
      <c r="A2" s="51"/>
      <c r="B2" s="160" t="str">
        <f>DataT12a!C3</f>
        <v>PPP 2025  billions €</v>
      </c>
      <c r="C2" s="161"/>
      <c r="D2" s="161"/>
      <c r="E2" s="161"/>
      <c r="F2" s="161"/>
      <c r="G2" s="162"/>
      <c r="H2" s="160" t="str">
        <f>DataT12a!I3</f>
        <v>MER billions €</v>
      </c>
      <c r="I2" s="161"/>
      <c r="J2" s="161"/>
      <c r="K2" s="161"/>
      <c r="L2" s="161"/>
      <c r="M2" s="162"/>
    </row>
    <row r="3" spans="1:13" s="78" customFormat="1" ht="82" customHeight="1" thickBot="1" x14ac:dyDescent="0.25">
      <c r="A3" s="16" t="str">
        <f>DataT12a!B4</f>
        <v>Region</v>
      </c>
      <c r="B3" s="16" t="str">
        <f>DataT12a!C4</f>
        <v xml:space="preserve"> Net foreign capital income</v>
      </c>
      <c r="C3" s="16" t="str">
        <f>DataT12a!D4</f>
        <v>Net foreign labor income</v>
      </c>
      <c r="D3" s="16" t="str">
        <f>DataT12a!E4</f>
        <v>Trade balance</v>
      </c>
      <c r="E3" s="16" t="str">
        <f>DataT12a!F4</f>
        <v xml:space="preserve"> Foreign subsidies less taxes on production and imports</v>
      </c>
      <c r="F3" s="16" t="str">
        <f>DataT12a!G4</f>
        <v>Net foreign transfers</v>
      </c>
      <c r="G3" s="19" t="str">
        <f>DataT12a!H4</f>
        <v>Current Account</v>
      </c>
      <c r="H3" s="16" t="str">
        <f>DataT12a!I4</f>
        <v xml:space="preserve"> Net foreign capital income</v>
      </c>
      <c r="I3" s="16" t="str">
        <f>DataT12a!J4</f>
        <v>Net foreign labor income</v>
      </c>
      <c r="J3" s="16" t="str">
        <f>DataT12a!K4</f>
        <v>Trade balance</v>
      </c>
      <c r="K3" s="16" t="str">
        <f>DataT12a!L4</f>
        <v xml:space="preserve"> Foreign subsidies less taxes on production and imports</v>
      </c>
      <c r="L3" s="16" t="str">
        <f>DataT12a!M4</f>
        <v>Net foreign transfers</v>
      </c>
      <c r="M3" s="19" t="str">
        <f>DataT12a!N4</f>
        <v>Current Account</v>
      </c>
    </row>
    <row r="4" spans="1:13" ht="17" thickBot="1" x14ac:dyDescent="0.25">
      <c r="A4" s="51" t="str">
        <f>DataT12a!B5</f>
        <v>East Asia</v>
      </c>
      <c r="B4" s="52">
        <f>DataT12a!C5</f>
        <v>113.682010624</v>
      </c>
      <c r="C4" s="52">
        <f>DataT12a!D5</f>
        <v>-52.401314176</v>
      </c>
      <c r="D4" s="52">
        <f>DataT12a!E5</f>
        <v>1350.1173848799999</v>
      </c>
      <c r="E4" s="52">
        <f>DataT12a!F5</f>
        <v>2.7543929303125001</v>
      </c>
      <c r="F4" s="52">
        <f>DataT12a!G5</f>
        <v>-99.377801344000005</v>
      </c>
      <c r="G4" s="71">
        <f>DataT12a!H5</f>
        <v>1314.774657664</v>
      </c>
      <c r="H4" s="52">
        <f>DataT12a!I5</f>
        <v>175.98095225599999</v>
      </c>
      <c r="I4" s="52">
        <f>DataT12a!J5</f>
        <v>-33.449965384000002</v>
      </c>
      <c r="J4" s="52">
        <f>DataT12a!K5</f>
        <v>777.20953919999999</v>
      </c>
      <c r="K4" s="52">
        <f>DataT12a!L5</f>
        <v>2.13563062228125</v>
      </c>
      <c r="L4" s="52">
        <f>DataT12a!M5</f>
        <v>-66.271866287999998</v>
      </c>
      <c r="M4" s="71">
        <f>DataT12a!N5</f>
        <v>855.60424664599998</v>
      </c>
    </row>
    <row r="5" spans="1:13" ht="17" thickBot="1" x14ac:dyDescent="0.25">
      <c r="A5" s="51" t="str">
        <f>DataT12a!B6</f>
        <v>Europe</v>
      </c>
      <c r="B5" s="52">
        <f>DataT12a!C6</f>
        <v>191.868734746</v>
      </c>
      <c r="C5" s="52">
        <f>DataT12a!D6</f>
        <v>29.111317572375</v>
      </c>
      <c r="D5" s="52">
        <f>DataT12a!E6</f>
        <v>190.897256336</v>
      </c>
      <c r="E5" s="52">
        <f>DataT12a!F6</f>
        <v>18.516192721296875</v>
      </c>
      <c r="F5" s="52">
        <f>DataT12a!G6</f>
        <v>-150.920471214</v>
      </c>
      <c r="G5" s="71">
        <f>DataT12a!H6</f>
        <v>279.47301836849999</v>
      </c>
      <c r="H5" s="52">
        <f>DataT12a!I6</f>
        <v>314.88760343199999</v>
      </c>
      <c r="I5" s="52">
        <f>DataT12a!J6</f>
        <v>2.4812472682500002</v>
      </c>
      <c r="J5" s="52">
        <f>DataT12a!K6</f>
        <v>249.458916784</v>
      </c>
      <c r="K5" s="52">
        <f>DataT12a!L6</f>
        <v>15.699171366023437</v>
      </c>
      <c r="L5" s="52">
        <f>DataT12a!M6</f>
        <v>-170.70599058400001</v>
      </c>
      <c r="M5" s="71">
        <f>DataT12a!N6</f>
        <v>411.82094697799999</v>
      </c>
    </row>
    <row r="6" spans="1:13" ht="17" thickBot="1" x14ac:dyDescent="0.25">
      <c r="A6" s="51" t="str">
        <f>DataT12a!B7</f>
        <v>Latin America</v>
      </c>
      <c r="B6" s="52">
        <f>DataT12a!C7</f>
        <v>-322.17423892199997</v>
      </c>
      <c r="C6" s="52">
        <f>DataT12a!D7</f>
        <v>4.3155091877031246</v>
      </c>
      <c r="D6" s="52">
        <f>DataT12a!E7</f>
        <v>-100.13482349212499</v>
      </c>
      <c r="E6" s="52">
        <f>DataT12a!F7</f>
        <v>-4.545382188046875</v>
      </c>
      <c r="F6" s="52">
        <f>DataT12a!G7</f>
        <v>210.85450935074999</v>
      </c>
      <c r="G6" s="71">
        <f>DataT12a!H7</f>
        <v>-211.68443106999999</v>
      </c>
      <c r="H6" s="52">
        <f>DataT12a!I7</f>
        <v>-188.53756764625001</v>
      </c>
      <c r="I6" s="52">
        <f>DataT12a!J7</f>
        <v>2.3960720476757813</v>
      </c>
      <c r="J6" s="52">
        <f>DataT12a!K7</f>
        <v>-56.445070034375</v>
      </c>
      <c r="K6" s="52">
        <f>DataT12a!L7</f>
        <v>-2.187907870765625</v>
      </c>
      <c r="L6" s="52">
        <f>DataT12a!M7</f>
        <v>128.46445619175</v>
      </c>
      <c r="M6" s="71">
        <f>DataT12a!N7</f>
        <v>-116.310012726</v>
      </c>
    </row>
    <row r="7" spans="1:13" ht="17" thickBot="1" x14ac:dyDescent="0.25">
      <c r="A7" s="51" t="str">
        <f>DataT12a!B8</f>
        <v>MENA</v>
      </c>
      <c r="B7" s="52">
        <f>DataT12a!C8</f>
        <v>-91.583513663999994</v>
      </c>
      <c r="C7" s="52">
        <f>DataT12a!D8</f>
        <v>13.681688582</v>
      </c>
      <c r="D7" s="52">
        <f>DataT12a!E8</f>
        <v>126.084296064</v>
      </c>
      <c r="E7" s="52">
        <f>DataT12a!F8</f>
        <v>2.2955035776406252</v>
      </c>
      <c r="F7" s="52">
        <f>DataT12a!G8</f>
        <v>23.732599488000002</v>
      </c>
      <c r="G7" s="71">
        <f>DataT12a!H8</f>
        <v>74.210564735999995</v>
      </c>
      <c r="H7" s="52">
        <f>DataT12a!I8</f>
        <v>-21.919561512000001</v>
      </c>
      <c r="I7" s="52">
        <f>DataT12a!J8</f>
        <v>5.5041955409999996</v>
      </c>
      <c r="J7" s="52">
        <f>DataT12a!K8</f>
        <v>154.88052985600001</v>
      </c>
      <c r="K7" s="52">
        <f>DataT12a!L8</f>
        <v>2.0932069917148439</v>
      </c>
      <c r="L7" s="52">
        <f>DataT12a!M8</f>
        <v>-46.461652112000003</v>
      </c>
      <c r="M7" s="71">
        <f>DataT12a!N8</f>
        <v>94.096718784000004</v>
      </c>
    </row>
    <row r="8" spans="1:13" ht="17" thickBot="1" x14ac:dyDescent="0.25">
      <c r="A8" s="51" t="str">
        <f>DataT12a!B9</f>
        <v>North America &amp; Oceania</v>
      </c>
      <c r="B8" s="52">
        <f>DataT12a!C9</f>
        <v>22.3096618961875</v>
      </c>
      <c r="C8" s="52">
        <f>DataT12a!D9</f>
        <v>-13.6439938145</v>
      </c>
      <c r="D8" s="52">
        <f>DataT12a!E9</f>
        <v>-790.64721494399998</v>
      </c>
      <c r="E8" s="52">
        <f>DataT12a!F9</f>
        <v>-19.169648210921874</v>
      </c>
      <c r="F8" s="52">
        <f>DataT12a!G9</f>
        <v>-140.33282155381249</v>
      </c>
      <c r="G8" s="71">
        <f>DataT12a!H9</f>
        <v>-941.48406650724996</v>
      </c>
      <c r="H8" s="52">
        <f>DataT12a!I9</f>
        <v>20.690199866218752</v>
      </c>
      <c r="I8" s="52">
        <f>DataT12a!J9</f>
        <v>-16.209920938562501</v>
      </c>
      <c r="J8" s="52">
        <f>DataT12a!K9</f>
        <v>-981.97827183200002</v>
      </c>
      <c r="K8" s="52">
        <f>DataT12a!L9</f>
        <v>-23.684674852171874</v>
      </c>
      <c r="L8" s="52">
        <f>DataT12a!M9</f>
        <v>-176.08359261156249</v>
      </c>
      <c r="M8" s="71">
        <f>DataT12a!N9</f>
        <v>-1177.26629788425</v>
      </c>
    </row>
    <row r="9" spans="1:13" ht="17" thickBot="1" x14ac:dyDescent="0.25">
      <c r="A9" s="51" t="str">
        <f>DataT12a!B10</f>
        <v>Russia &amp; Central Asia</v>
      </c>
      <c r="B9" s="52">
        <f>DataT12a!C10</f>
        <v>-127.96141228800001</v>
      </c>
      <c r="C9" s="52">
        <f>DataT12a!D10</f>
        <v>51.368140384</v>
      </c>
      <c r="D9" s="52">
        <f>DataT12a!E10</f>
        <v>-88.741652736000006</v>
      </c>
      <c r="E9" s="52">
        <f>DataT12a!F10</f>
        <v>-0.77699326999999996</v>
      </c>
      <c r="F9" s="52">
        <f>DataT12a!G10</f>
        <v>68.418878320000005</v>
      </c>
      <c r="G9" s="71">
        <f>DataT12a!H10</f>
        <v>-97.693042816000002</v>
      </c>
      <c r="H9" s="52">
        <f>DataT12a!I10</f>
        <v>-53.218631455999997</v>
      </c>
      <c r="I9" s="52">
        <f>DataT12a!J10</f>
        <v>20.998923951999998</v>
      </c>
      <c r="J9" s="52">
        <f>DataT12a!K10</f>
        <v>-27.455713088</v>
      </c>
      <c r="K9" s="52">
        <f>DataT12a!L10</f>
        <v>-0.39441260849999998</v>
      </c>
      <c r="L9" s="52">
        <f>DataT12a!M10</f>
        <v>24.328062471999999</v>
      </c>
      <c r="M9" s="71">
        <f>DataT12a!N10</f>
        <v>-35.74177152</v>
      </c>
    </row>
    <row r="10" spans="1:13" ht="17" thickBot="1" x14ac:dyDescent="0.25">
      <c r="A10" s="51" t="str">
        <f>DataT12a!B11</f>
        <v>South &amp; South-East Asia</v>
      </c>
      <c r="B10" s="52">
        <f>DataT12a!C11</f>
        <v>-562.222757688</v>
      </c>
      <c r="C10" s="52">
        <f>DataT12a!D11</f>
        <v>14.414238281499999</v>
      </c>
      <c r="D10" s="52">
        <f>DataT12a!E11</f>
        <v>-401.03083801600002</v>
      </c>
      <c r="E10" s="52">
        <f>DataT12a!F11</f>
        <v>16.332666042</v>
      </c>
      <c r="F10" s="52">
        <f>DataT12a!G11</f>
        <v>557.39732309600004</v>
      </c>
      <c r="G10" s="71">
        <f>DataT12a!H11</f>
        <v>-375.10936908799999</v>
      </c>
      <c r="H10" s="52">
        <f>DataT12a!I11</f>
        <v>-154.01688568399999</v>
      </c>
      <c r="I10" s="52">
        <f>DataT12a!J11</f>
        <v>3.4577293103125002</v>
      </c>
      <c r="J10" s="52">
        <f>DataT12a!K11</f>
        <v>-31.990298624000001</v>
      </c>
      <c r="K10" s="52">
        <f>DataT12a!L11</f>
        <v>5.5400709201874996</v>
      </c>
      <c r="L10" s="52">
        <f>DataT12a!M11</f>
        <v>177.43235648300001</v>
      </c>
      <c r="M10" s="71">
        <f>DataT12a!N11</f>
        <v>0.42295981599999999</v>
      </c>
    </row>
    <row r="11" spans="1:13" ht="17" thickBot="1" x14ac:dyDescent="0.25">
      <c r="A11" s="51" t="str">
        <f>DataT12a!B12</f>
        <v>Sub-Saharan Africa</v>
      </c>
      <c r="B11" s="52">
        <f>DataT12a!C12</f>
        <v>-142.58034715287499</v>
      </c>
      <c r="C11" s="52">
        <f>DataT12a!D12</f>
        <v>3.5889550408124999</v>
      </c>
      <c r="D11" s="52">
        <f>DataT12a!E12</f>
        <v>-161.082344656</v>
      </c>
      <c r="E11" s="52">
        <f>DataT12a!F12</f>
        <v>2.6097244759296876</v>
      </c>
      <c r="F11" s="52">
        <f>DataT12a!G12</f>
        <v>194.13284899199999</v>
      </c>
      <c r="G11" s="71">
        <f>DataT12a!H12</f>
        <v>-103.331159023</v>
      </c>
      <c r="H11" s="52">
        <f>DataT12a!I12</f>
        <v>-93.866102949093744</v>
      </c>
      <c r="I11" s="52">
        <f>DataT12a!J12</f>
        <v>14.821717310546875</v>
      </c>
      <c r="J11" s="52">
        <f>DataT12a!K12</f>
        <v>-83.679596152000002</v>
      </c>
      <c r="K11" s="52">
        <f>DataT12a!L12</f>
        <v>0.79891582205468747</v>
      </c>
      <c r="L11" s="52">
        <f>DataT12a!M12</f>
        <v>129.29823228800001</v>
      </c>
      <c r="M11" s="71">
        <f>DataT12a!N12</f>
        <v>-32.626834442000003</v>
      </c>
    </row>
    <row r="12" spans="1:13" ht="17" thickBot="1" x14ac:dyDescent="0.25">
      <c r="A12" s="77" t="str">
        <f>DataT12a!B13</f>
        <v>World</v>
      </c>
      <c r="B12" s="71">
        <f>DataT12a!C13</f>
        <v>-918.66186244868754</v>
      </c>
      <c r="C12" s="71">
        <f>DataT12a!D13</f>
        <v>50.434541057890627</v>
      </c>
      <c r="D12" s="71">
        <f>DataT12a!E13</f>
        <v>125.462063435875</v>
      </c>
      <c r="E12" s="71">
        <f>DataT12a!F13</f>
        <v>18.016456078210936</v>
      </c>
      <c r="F12" s="71">
        <f>DataT12a!G13</f>
        <v>663.90506513493744</v>
      </c>
      <c r="G12" s="71">
        <f>DataT12a!H13</f>
        <v>-60.843827735749997</v>
      </c>
      <c r="H12" s="71">
        <f>DataT12a!I13</f>
        <v>6.3068749999999996E-6</v>
      </c>
      <c r="I12" s="71">
        <f>DataT12a!J13</f>
        <v>-8.9277734374999995E-7</v>
      </c>
      <c r="J12" s="71">
        <f>DataT12a!K13</f>
        <v>3.6109624999999999E-5</v>
      </c>
      <c r="K12" s="71">
        <f>DataT12a!L13</f>
        <v>3.9082421874999998E-7</v>
      </c>
      <c r="L12" s="71">
        <f>DataT12a!M13</f>
        <v>5.8391874999999999E-6</v>
      </c>
      <c r="M12" s="71">
        <f>DataT12a!N13</f>
        <v>-4.434825E-5</v>
      </c>
    </row>
    <row r="13" spans="1:13" ht="15" customHeight="1" x14ac:dyDescent="0.2">
      <c r="A13" s="166" t="s">
        <v>686</v>
      </c>
      <c r="B13" s="167"/>
      <c r="C13" s="167"/>
      <c r="D13" s="167"/>
      <c r="E13" s="167"/>
      <c r="F13" s="167"/>
      <c r="G13" s="167"/>
      <c r="H13" s="167"/>
      <c r="I13" s="167"/>
      <c r="J13" s="167"/>
      <c r="K13" s="167"/>
      <c r="L13" s="167"/>
      <c r="M13" s="168"/>
    </row>
    <row r="14" spans="1:13" ht="32" customHeight="1" thickBot="1" x14ac:dyDescent="0.25">
      <c r="A14" s="157"/>
      <c r="B14" s="158"/>
      <c r="C14" s="158"/>
      <c r="D14" s="158"/>
      <c r="E14" s="158"/>
      <c r="F14" s="158"/>
      <c r="G14" s="158"/>
      <c r="H14" s="158"/>
      <c r="I14" s="158"/>
      <c r="J14" s="158"/>
      <c r="K14" s="158"/>
      <c r="L14" s="158"/>
      <c r="M14" s="159"/>
    </row>
  </sheetData>
  <mergeCells count="4">
    <mergeCell ref="B2:G2"/>
    <mergeCell ref="H2:M2"/>
    <mergeCell ref="A1:M1"/>
    <mergeCell ref="A13:M14"/>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881CE1-5E85-E74A-989B-33263C16A6E1}">
  <sheetPr>
    <tabColor rgb="FF00B050"/>
  </sheetPr>
  <dimension ref="A1:M14"/>
  <sheetViews>
    <sheetView workbookViewId="0">
      <selection sqref="A1:M1"/>
    </sheetView>
  </sheetViews>
  <sheetFormatPr baseColWidth="10" defaultRowHeight="15" x14ac:dyDescent="0.2"/>
  <cols>
    <col min="1" max="1" width="26.5" customWidth="1"/>
    <col min="2" max="13" width="15.83203125" customWidth="1"/>
  </cols>
  <sheetData>
    <row r="1" spans="1:13" ht="17" thickBot="1" x14ac:dyDescent="0.25">
      <c r="A1" s="163" t="str">
        <f>DataT12b!B2</f>
        <v>Table 12b. Current Account by World Region $ (2025)</v>
      </c>
      <c r="B1" s="164"/>
      <c r="C1" s="164"/>
      <c r="D1" s="164"/>
      <c r="E1" s="164"/>
      <c r="F1" s="164"/>
      <c r="G1" s="164"/>
      <c r="H1" s="164"/>
      <c r="I1" s="164"/>
      <c r="J1" s="164"/>
      <c r="K1" s="164"/>
      <c r="L1" s="164"/>
      <c r="M1" s="165"/>
    </row>
    <row r="2" spans="1:13" ht="17" thickBot="1" x14ac:dyDescent="0.25">
      <c r="A2" s="51"/>
      <c r="B2" s="160" t="str">
        <f>DataT12b!C3</f>
        <v>PPP 2025  billions $</v>
      </c>
      <c r="C2" s="161"/>
      <c r="D2" s="161"/>
      <c r="E2" s="161"/>
      <c r="F2" s="161"/>
      <c r="G2" s="162"/>
      <c r="H2" s="160" t="str">
        <f>DataT12b!I3</f>
        <v>MER billions $</v>
      </c>
      <c r="I2" s="161"/>
      <c r="J2" s="161"/>
      <c r="K2" s="161"/>
      <c r="L2" s="161"/>
      <c r="M2" s="162"/>
    </row>
    <row r="3" spans="1:13" ht="86" thickBot="1" x14ac:dyDescent="0.25">
      <c r="A3" s="16" t="str">
        <f>DataT12b!B4</f>
        <v>Region</v>
      </c>
      <c r="B3" s="16" t="str">
        <f>DataT12b!C4</f>
        <v xml:space="preserve"> Net foreign capital income</v>
      </c>
      <c r="C3" s="16" t="str">
        <f>DataT12b!D4</f>
        <v>Net foreign labor income</v>
      </c>
      <c r="D3" s="16" t="str">
        <f>DataT12b!E4</f>
        <v>Trade balance</v>
      </c>
      <c r="E3" s="16" t="str">
        <f>DataT12b!F4</f>
        <v xml:space="preserve"> Foreign subsidies less taxes on production and imports</v>
      </c>
      <c r="F3" s="16" t="str">
        <f>DataT12b!G4</f>
        <v>Net foreign transfers</v>
      </c>
      <c r="G3" s="19" t="str">
        <f>DataT12b!H4</f>
        <v>Current Account</v>
      </c>
      <c r="H3" s="16" t="str">
        <f>DataT12b!I4</f>
        <v xml:space="preserve"> Net foreign capital income</v>
      </c>
      <c r="I3" s="16" t="str">
        <f>DataT12b!J4</f>
        <v>Net foreign labor income</v>
      </c>
      <c r="J3" s="16" t="str">
        <f>DataT12b!K4</f>
        <v>Trade balance</v>
      </c>
      <c r="K3" s="16" t="str">
        <f>DataT12b!L4</f>
        <v xml:space="preserve"> Foreign subsidies less taxes on production and imports</v>
      </c>
      <c r="L3" s="16" t="str">
        <f>DataT12b!M4</f>
        <v>Net foreign transfers</v>
      </c>
      <c r="M3" s="19" t="str">
        <f>DataT12b!N4</f>
        <v>Current Account</v>
      </c>
    </row>
    <row r="4" spans="1:13" ht="17" thickBot="1" x14ac:dyDescent="0.25">
      <c r="A4" s="51" t="str">
        <f>DataT12b!B5</f>
        <v>East Asia</v>
      </c>
      <c r="B4" s="52">
        <f>DataT12b!C5</f>
        <v>167.67149312000001</v>
      </c>
      <c r="C4" s="52">
        <f>DataT12b!D5</f>
        <v>-77.287558207999993</v>
      </c>
      <c r="D4" s="52">
        <f>DataT12b!E5</f>
        <v>1991.310291456</v>
      </c>
      <c r="E4" s="52">
        <f>DataT12b!F5</f>
        <v>4.0624994243749999</v>
      </c>
      <c r="F4" s="52">
        <f>DataT12b!G5</f>
        <v>-146.573956864</v>
      </c>
      <c r="G4" s="71">
        <f>DataT12b!H5</f>
        <v>1939.1827903999999</v>
      </c>
      <c r="H4" s="52">
        <f>DataT12b!I5</f>
        <v>207.41757958400001</v>
      </c>
      <c r="I4" s="52">
        <f>DataT12b!J5</f>
        <v>-39.425348767999999</v>
      </c>
      <c r="J4" s="52">
        <f>DataT12b!K5</f>
        <v>916.04753691200006</v>
      </c>
      <c r="K4" s="52">
        <f>DataT12b!L5</f>
        <v>2.5171321125000001</v>
      </c>
      <c r="L4" s="52">
        <f>DataT12b!M5</f>
        <v>-78.110441359999996</v>
      </c>
      <c r="M4" s="71">
        <f>DataT12b!N5</f>
        <v>1008.446418432</v>
      </c>
    </row>
    <row r="5" spans="1:13" ht="17" thickBot="1" x14ac:dyDescent="0.25">
      <c r="A5" s="51" t="str">
        <f>DataT12b!B6</f>
        <v>Europe</v>
      </c>
      <c r="B5" s="52">
        <f>DataT12b!C6</f>
        <v>282.99034840799999</v>
      </c>
      <c r="C5" s="52">
        <f>DataT12b!D6</f>
        <v>42.936761704250003</v>
      </c>
      <c r="D5" s="52">
        <f>DataT12b!E6</f>
        <v>281.55748305600002</v>
      </c>
      <c r="E5" s="52">
        <f>DataT12b!F6</f>
        <v>27.309837424062501</v>
      </c>
      <c r="F5" s="52">
        <f>DataT12b!G6</f>
        <v>-222.59509371999999</v>
      </c>
      <c r="G5" s="71">
        <f>DataT12b!H6</f>
        <v>412.19934272400002</v>
      </c>
      <c r="H5" s="52">
        <f>DataT12b!I6</f>
        <v>371.13803137600001</v>
      </c>
      <c r="I5" s="52">
        <f>DataT12b!J6</f>
        <v>2.9244878607499998</v>
      </c>
      <c r="J5" s="52">
        <f>DataT12b!K6</f>
        <v>294.02139780800002</v>
      </c>
      <c r="K5" s="52">
        <f>DataT12b!L6</f>
        <v>18.503616827257812</v>
      </c>
      <c r="L5" s="52">
        <f>DataT12b!M6</f>
        <v>-201.200310968</v>
      </c>
      <c r="M5" s="71">
        <f>DataT12b!N6</f>
        <v>485.38721494800001</v>
      </c>
    </row>
    <row r="6" spans="1:13" ht="17" thickBot="1" x14ac:dyDescent="0.25">
      <c r="A6" s="51" t="str">
        <f>DataT12b!B7</f>
        <v>Latin America</v>
      </c>
      <c r="B6" s="52">
        <f>DataT12b!C7</f>
        <v>-475.18010151999999</v>
      </c>
      <c r="C6" s="52">
        <f>DataT12b!D7</f>
        <v>6.3650153756875003</v>
      </c>
      <c r="D6" s="52">
        <f>DataT12b!E7</f>
        <v>-147.69050176425</v>
      </c>
      <c r="E6" s="52">
        <f>DataT12b!F7</f>
        <v>-6.7040590461757814</v>
      </c>
      <c r="F6" s="52">
        <f>DataT12b!G7</f>
        <v>310.99278206775</v>
      </c>
      <c r="G6" s="71">
        <f>DataT12b!H7</f>
        <v>-312.21685560399999</v>
      </c>
      <c r="H6" s="52">
        <f>DataT12b!I7</f>
        <v>-222.21725614549999</v>
      </c>
      <c r="I6" s="52">
        <f>DataT12b!J7</f>
        <v>2.8240979518515625</v>
      </c>
      <c r="J6" s="52">
        <f>DataT12b!K7</f>
        <v>-66.528220830999999</v>
      </c>
      <c r="K6" s="52">
        <f>DataT12b!L7</f>
        <v>-2.5787481450859375</v>
      </c>
      <c r="L6" s="52">
        <f>DataT12b!M7</f>
        <v>151.41289627762501</v>
      </c>
      <c r="M6" s="71">
        <f>DataT12b!N7</f>
        <v>-137.08723330399999</v>
      </c>
    </row>
    <row r="7" spans="1:13" ht="17" thickBot="1" x14ac:dyDescent="0.25">
      <c r="A7" s="51" t="str">
        <f>DataT12b!B8</f>
        <v>MENA</v>
      </c>
      <c r="B7" s="52">
        <f>DataT12b!C8</f>
        <v>-135.07803948</v>
      </c>
      <c r="C7" s="52">
        <f>DataT12b!D8</f>
        <v>20.17934782</v>
      </c>
      <c r="D7" s="52">
        <f>DataT12b!E8</f>
        <v>185.96380441599999</v>
      </c>
      <c r="E7" s="52">
        <f>DataT12b!F8</f>
        <v>3.3856761872812502</v>
      </c>
      <c r="F7" s="52">
        <f>DataT12b!G8</f>
        <v>35.003600927999997</v>
      </c>
      <c r="G7" s="71">
        <f>DataT12b!H8</f>
        <v>109.454388224</v>
      </c>
      <c r="H7" s="52">
        <f>DataT12b!I8</f>
        <v>-25.835194024</v>
      </c>
      <c r="I7" s="52">
        <f>DataT12b!J8</f>
        <v>6.4874459079999998</v>
      </c>
      <c r="J7" s="52">
        <f>DataT12b!K8</f>
        <v>182.54784972799999</v>
      </c>
      <c r="K7" s="52">
        <f>DataT12b!L8</f>
        <v>2.4671299892734373</v>
      </c>
      <c r="L7" s="52">
        <f>DataT12b!M8</f>
        <v>-54.761399648000001</v>
      </c>
      <c r="M7" s="71">
        <f>DataT12b!N8</f>
        <v>110.905824512</v>
      </c>
    </row>
    <row r="8" spans="1:13" ht="17" thickBot="1" x14ac:dyDescent="0.25">
      <c r="A8" s="51" t="str">
        <f>DataT12b!B9</f>
        <v>North America &amp; Oceania</v>
      </c>
      <c r="B8" s="52">
        <f>DataT12b!C9</f>
        <v>32.904883002875003</v>
      </c>
      <c r="C8" s="52">
        <f>DataT12b!D9</f>
        <v>-20.123751545375001</v>
      </c>
      <c r="D8" s="52">
        <f>DataT12b!E9</f>
        <v>-1166.138655904</v>
      </c>
      <c r="E8" s="52">
        <f>DataT12b!F9</f>
        <v>-28.273629217468748</v>
      </c>
      <c r="F8" s="52">
        <f>DataT12b!G9</f>
        <v>-206.979192262</v>
      </c>
      <c r="G8" s="71">
        <f>DataT12b!H9</f>
        <v>-1388.6103258897499</v>
      </c>
      <c r="H8" s="52">
        <f>DataT12b!I9</f>
        <v>24.386223598031251</v>
      </c>
      <c r="I8" s="52">
        <f>DataT12b!J9</f>
        <v>-19.105603379624998</v>
      </c>
      <c r="J8" s="52">
        <f>DataT12b!K9</f>
        <v>-1157.3954881679999</v>
      </c>
      <c r="K8" s="52">
        <f>DataT12b!L9</f>
        <v>-27.915621949578124</v>
      </c>
      <c r="L8" s="52">
        <f>DataT12b!M9</f>
        <v>-207.53856060300001</v>
      </c>
      <c r="M8" s="71">
        <f>DataT12b!N9</f>
        <v>-1387.5690372515</v>
      </c>
    </row>
    <row r="9" spans="1:13" ht="17" thickBot="1" x14ac:dyDescent="0.25">
      <c r="A9" s="51" t="str">
        <f>DataT12b!B10</f>
        <v>Russia &amp; Central Asia</v>
      </c>
      <c r="B9" s="52">
        <f>DataT12b!C10</f>
        <v>-188.73238841599999</v>
      </c>
      <c r="C9" s="52">
        <f>DataT12b!D10</f>
        <v>75.763714367999995</v>
      </c>
      <c r="D9" s="52">
        <f>DataT12b!E10</f>
        <v>-130.88652236799999</v>
      </c>
      <c r="E9" s="52">
        <f>DataT12b!F10</f>
        <v>-1.146000176</v>
      </c>
      <c r="F9" s="52">
        <f>DataT12b!G10</f>
        <v>100.912133904</v>
      </c>
      <c r="G9" s="71">
        <f>DataT12b!H10</f>
        <v>-144.08907468800001</v>
      </c>
      <c r="H9" s="52">
        <f>DataT12b!I10</f>
        <v>-62.725421504000003</v>
      </c>
      <c r="I9" s="52">
        <f>DataT12b!J10</f>
        <v>24.750098688000001</v>
      </c>
      <c r="J9" s="52">
        <f>DataT12b!K10</f>
        <v>-32.360306303999998</v>
      </c>
      <c r="K9" s="52">
        <f>DataT12b!L10</f>
        <v>-0.464869068</v>
      </c>
      <c r="L9" s="52">
        <f>DataT12b!M10</f>
        <v>28.673941888000002</v>
      </c>
      <c r="M9" s="71">
        <f>DataT12b!N10</f>
        <v>-42.126557120000001</v>
      </c>
    </row>
    <row r="10" spans="1:13" ht="17" thickBot="1" x14ac:dyDescent="0.25">
      <c r="A10" s="51" t="str">
        <f>DataT12b!B11</f>
        <v>South &amp; South-East Asia</v>
      </c>
      <c r="B10" s="52">
        <f>DataT12b!C11</f>
        <v>-829.23161196800004</v>
      </c>
      <c r="C10" s="52">
        <f>DataT12b!D11</f>
        <v>21.259799657999999</v>
      </c>
      <c r="D10" s="52">
        <f>DataT12b!E11</f>
        <v>-591.48698227199998</v>
      </c>
      <c r="E10" s="52">
        <f>DataT12b!F11</f>
        <v>24.089318260999999</v>
      </c>
      <c r="F10" s="52">
        <f>DataT12b!G11</f>
        <v>822.11446419200001</v>
      </c>
      <c r="G10" s="71">
        <f>DataT12b!H11</f>
        <v>-553.25502681600005</v>
      </c>
      <c r="H10" s="52">
        <f>DataT12b!I11</f>
        <v>-181.529924016</v>
      </c>
      <c r="I10" s="52">
        <f>DataT12b!J11</f>
        <v>4.0754063575000004</v>
      </c>
      <c r="J10" s="52">
        <f>DataT12b!K11</f>
        <v>-37.704940223999998</v>
      </c>
      <c r="K10" s="52">
        <f>DataT12b!L11</f>
        <v>6.5297294691249999</v>
      </c>
      <c r="L10" s="52">
        <f>DataT12b!M11</f>
        <v>209.128254336</v>
      </c>
      <c r="M10" s="71">
        <f>DataT12b!N11</f>
        <v>0.49850815199999998</v>
      </c>
    </row>
    <row r="11" spans="1:13" ht="17" thickBot="1" x14ac:dyDescent="0.25">
      <c r="A11" s="51" t="str">
        <f>DataT12b!B12</f>
        <v>Sub-Saharan Africa</v>
      </c>
      <c r="B11" s="52">
        <f>DataT12b!C12</f>
        <v>-210.29409480312501</v>
      </c>
      <c r="C11" s="52">
        <f>DataT12b!D12</f>
        <v>5.2934087583749996</v>
      </c>
      <c r="D11" s="52">
        <f>DataT12b!E12</f>
        <v>-237.58300063999999</v>
      </c>
      <c r="E11" s="52">
        <f>DataT12b!F12</f>
        <v>3.84912558575</v>
      </c>
      <c r="F11" s="52">
        <f>DataT12b!G12</f>
        <v>286.32973823200001</v>
      </c>
      <c r="G11" s="71">
        <f>DataT12b!H12</f>
        <v>-152.404826214</v>
      </c>
      <c r="H11" s="52">
        <f>DataT12b!I12</f>
        <v>-110.6340164595625</v>
      </c>
      <c r="I11" s="52">
        <f>DataT12b!J12</f>
        <v>17.469417685453124</v>
      </c>
      <c r="J11" s="52">
        <f>DataT12b!K12</f>
        <v>-98.627826303999996</v>
      </c>
      <c r="K11" s="52">
        <f>DataT12b!L12</f>
        <v>0.94163132926562498</v>
      </c>
      <c r="L11" s="52">
        <f>DataT12b!M12</f>
        <v>152.395614876</v>
      </c>
      <c r="M11" s="71">
        <f>DataT12b!N12</f>
        <v>-38.455179563999998</v>
      </c>
    </row>
    <row r="12" spans="1:13" ht="17" thickBot="1" x14ac:dyDescent="0.25">
      <c r="A12" s="77" t="str">
        <f>DataT12b!B13</f>
        <v>World</v>
      </c>
      <c r="B12" s="71">
        <f>DataT12b!C13</f>
        <v>-1354.94951165625</v>
      </c>
      <c r="C12" s="71">
        <f>DataT12b!D13</f>
        <v>74.3867379309375</v>
      </c>
      <c r="D12" s="71">
        <f>DataT12b!E13</f>
        <v>185.04591597974999</v>
      </c>
      <c r="E12" s="71">
        <f>DataT12b!F13</f>
        <v>26.57276844282422</v>
      </c>
      <c r="F12" s="71">
        <f>DataT12b!G13</f>
        <v>979.20447647774995</v>
      </c>
      <c r="G12" s="71">
        <f>DataT12b!H13</f>
        <v>-89.739587863750003</v>
      </c>
      <c r="H12" s="71">
        <f>DataT12b!I13</f>
        <v>2.2408968750000001E-5</v>
      </c>
      <c r="I12" s="71">
        <f>DataT12b!J13</f>
        <v>2.3039296875E-6</v>
      </c>
      <c r="J12" s="71">
        <f>DataT12b!K13</f>
        <v>2.6170000000000001E-6</v>
      </c>
      <c r="K12" s="71">
        <f>DataT12b!L13</f>
        <v>5.6475781249999999E-7</v>
      </c>
      <c r="L12" s="71">
        <f>DataT12b!M13</f>
        <v>-5.2013749999999998E-6</v>
      </c>
      <c r="M12" s="71">
        <f>DataT12b!N13</f>
        <v>-4.1195500000000002E-5</v>
      </c>
    </row>
    <row r="13" spans="1:13" ht="22" customHeight="1" x14ac:dyDescent="0.2">
      <c r="A13" s="166" t="s">
        <v>687</v>
      </c>
      <c r="B13" s="167"/>
      <c r="C13" s="167"/>
      <c r="D13" s="167"/>
      <c r="E13" s="167"/>
      <c r="F13" s="167"/>
      <c r="G13" s="167"/>
      <c r="H13" s="167"/>
      <c r="I13" s="167"/>
      <c r="J13" s="167"/>
      <c r="K13" s="167"/>
      <c r="L13" s="167"/>
      <c r="M13" s="168"/>
    </row>
    <row r="14" spans="1:13" ht="24" customHeight="1" thickBot="1" x14ac:dyDescent="0.25">
      <c r="A14" s="157"/>
      <c r="B14" s="158"/>
      <c r="C14" s="158"/>
      <c r="D14" s="158"/>
      <c r="E14" s="158"/>
      <c r="F14" s="158"/>
      <c r="G14" s="158"/>
      <c r="H14" s="158"/>
      <c r="I14" s="158"/>
      <c r="J14" s="158"/>
      <c r="K14" s="158"/>
      <c r="L14" s="158"/>
      <c r="M14" s="159"/>
    </row>
  </sheetData>
  <mergeCells count="4">
    <mergeCell ref="A1:M1"/>
    <mergeCell ref="H2:M2"/>
    <mergeCell ref="B2:G2"/>
    <mergeCell ref="A13:M14"/>
  </mergeCell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8579B0-4DFB-6D49-9DF5-CE7CB8A43420}">
  <sheetPr>
    <tabColor rgb="FF00B050"/>
  </sheetPr>
  <dimension ref="A1:K13"/>
  <sheetViews>
    <sheetView workbookViewId="0">
      <selection activeCell="A14" sqref="A14"/>
    </sheetView>
  </sheetViews>
  <sheetFormatPr baseColWidth="10" defaultRowHeight="15" x14ac:dyDescent="0.2"/>
  <cols>
    <col min="1" max="1" width="27.5" style="59" customWidth="1"/>
    <col min="2" max="2" width="17.5" style="59" customWidth="1"/>
    <col min="3" max="3" width="18.5" style="59" customWidth="1"/>
    <col min="4" max="4" width="17.83203125" style="59" customWidth="1"/>
    <col min="5" max="11" width="16.6640625" style="59" customWidth="1"/>
  </cols>
  <sheetData>
    <row r="1" spans="1:11" ht="17" thickBot="1" x14ac:dyDescent="0.25">
      <c r="A1" s="169" t="str">
        <f>DataT13a!B3</f>
        <v xml:space="preserve">Table 13a. Net foreing Assets €  by World Regions (1980-2025) </v>
      </c>
      <c r="B1" s="170"/>
      <c r="C1" s="170"/>
      <c r="D1" s="170"/>
      <c r="E1" s="170"/>
      <c r="F1" s="170"/>
      <c r="G1" s="170"/>
      <c r="H1" s="170"/>
      <c r="I1" s="170"/>
      <c r="J1" s="170"/>
      <c r="K1" s="171"/>
    </row>
    <row r="2" spans="1:11" ht="52" thickBot="1" x14ac:dyDescent="0.25">
      <c r="A2" s="51" t="str">
        <f>DataT13a!B4</f>
        <v>Region</v>
      </c>
      <c r="B2" s="102" t="str">
        <f>DataT13a!C4</f>
        <v xml:space="preserve"> 1800 Net Foreign Assets</v>
      </c>
      <c r="C2" s="102" t="str">
        <f>DataT13a!D4</f>
        <v xml:space="preserve"> 1980 Net Foreign Assets</v>
      </c>
      <c r="D2" s="102" t="str">
        <f>DataT13a!E4</f>
        <v>2000 Net Foreign Assets</v>
      </c>
      <c r="E2" s="102" t="str">
        <f>DataT13a!F4</f>
        <v>2020 Net Foreign Assets</v>
      </c>
      <c r="F2" s="102" t="str">
        <f>DataT13a!G4</f>
        <v>2025 Net Foreign Assets</v>
      </c>
      <c r="G2" s="102" t="str">
        <f>DataT13a!H4</f>
        <v xml:space="preserve"> 1800 Net Foreign Assets as % of NDP</v>
      </c>
      <c r="H2" s="102" t="str">
        <f>DataT13a!I4</f>
        <v xml:space="preserve"> 1980 Net Foreign Assets  as % of NDP</v>
      </c>
      <c r="I2" s="102" t="str">
        <f>DataT13a!J4</f>
        <v>2000 Net Foreign Assets  as % of NDP</v>
      </c>
      <c r="J2" s="102" t="str">
        <f>DataT13a!K4</f>
        <v>2020 Net Foreign Assets  as % of NDP</v>
      </c>
      <c r="K2" s="102" t="str">
        <f>DataT13a!L4</f>
        <v>2025 Net Foreign Assets  as % of NDP</v>
      </c>
    </row>
    <row r="3" spans="1:11" ht="17" thickBot="1" x14ac:dyDescent="0.25">
      <c r="A3" s="51" t="str">
        <f>DataT13a!B5</f>
        <v>East Asia</v>
      </c>
      <c r="B3" s="52">
        <f>DataT13a!C5</f>
        <v>0</v>
      </c>
      <c r="C3" s="52">
        <f>DataT13a!D5</f>
        <v>21.65736198425293</v>
      </c>
      <c r="D3" s="52">
        <f>DataT13a!E5</f>
        <v>1876.620849609375</v>
      </c>
      <c r="E3" s="52">
        <f>DataT13a!F5</f>
        <v>9184.96484375</v>
      </c>
      <c r="F3" s="52">
        <f>DataT13a!G5</f>
        <v>10736.9013671875</v>
      </c>
      <c r="G3" s="103">
        <f>DataT13a!H5</f>
        <v>0</v>
      </c>
      <c r="H3" s="103">
        <f>DataT13a!I5</f>
        <v>2.3237744346261024E-2</v>
      </c>
      <c r="I3" s="103">
        <f>DataT13a!J5</f>
        <v>0.30194512009620667</v>
      </c>
      <c r="J3" s="103">
        <f>DataT13a!K5</f>
        <v>0.56580442190170288</v>
      </c>
      <c r="K3" s="103">
        <f>DataT13a!L5</f>
        <v>0.57262367010116577</v>
      </c>
    </row>
    <row r="4" spans="1:11" ht="17" thickBot="1" x14ac:dyDescent="0.25">
      <c r="A4" s="51" t="str">
        <f>DataT13a!B6</f>
        <v>Europe</v>
      </c>
      <c r="B4" s="52">
        <f>DataT13a!C6</f>
        <v>7.1272514760494232E-3</v>
      </c>
      <c r="C4" s="52">
        <f>DataT13a!D6</f>
        <v>122.91727447509766</v>
      </c>
      <c r="D4" s="52">
        <f>DataT13a!E6</f>
        <v>492.26773071289062</v>
      </c>
      <c r="E4" s="52">
        <f>DataT13a!F6</f>
        <v>4218.404296875</v>
      </c>
      <c r="F4" s="52">
        <f>DataT13a!G6</f>
        <v>7665.48779296875</v>
      </c>
      <c r="G4" s="103">
        <f>DataT13a!H6</f>
        <v>1.8664512783288956E-2</v>
      </c>
      <c r="H4" s="103">
        <f>DataT13a!I6</f>
        <v>4.9125123769044876E-2</v>
      </c>
      <c r="I4" s="103">
        <f>DataT13a!J6</f>
        <v>5.6538909673690796E-2</v>
      </c>
      <c r="J4" s="103">
        <f>DataT13a!K6</f>
        <v>0.30209815502166748</v>
      </c>
      <c r="K4" s="103">
        <f>DataT13a!L6</f>
        <v>0.38977977633476257</v>
      </c>
    </row>
    <row r="5" spans="1:11" ht="17" thickBot="1" x14ac:dyDescent="0.25">
      <c r="A5" s="51" t="str">
        <f>DataT13a!B7</f>
        <v>Latin America</v>
      </c>
      <c r="B5" s="52">
        <f>DataT13a!C7</f>
        <v>-6.4793194178491831E-4</v>
      </c>
      <c r="C5" s="52">
        <f>DataT13a!D7</f>
        <v>-159.75718688964844</v>
      </c>
      <c r="D5" s="52">
        <f>DataT13a!E7</f>
        <v>-612.6546630859375</v>
      </c>
      <c r="E5" s="52">
        <f>DataT13a!F7</f>
        <v>-4013.328369140625</v>
      </c>
      <c r="F5" s="52">
        <f>DataT13a!G7</f>
        <v>-545.89300537109375</v>
      </c>
      <c r="G5" s="103">
        <f>DataT13a!H7</f>
        <v>-3.6382481455802917E-2</v>
      </c>
      <c r="H5" s="103">
        <f>DataT13a!I7</f>
        <v>-0.26598986983299255</v>
      </c>
      <c r="I5" s="103">
        <f>DataT13a!J7</f>
        <v>-0.26966428756713867</v>
      </c>
      <c r="J5" s="103">
        <f>DataT13a!K7</f>
        <v>-1.1281619071960449</v>
      </c>
      <c r="K5" s="103">
        <f>DataT13a!L7</f>
        <v>-9.6585936844348907E-2</v>
      </c>
    </row>
    <row r="6" spans="1:11" ht="17" thickBot="1" x14ac:dyDescent="0.25">
      <c r="A6" s="51" t="str">
        <f>DataT13a!B8</f>
        <v>MENA</v>
      </c>
      <c r="B6" s="52">
        <f>DataT13a!C8</f>
        <v>0</v>
      </c>
      <c r="C6" s="52">
        <f>DataT13a!D8</f>
        <v>108.43708801269531</v>
      </c>
      <c r="D6" s="52">
        <f>DataT13a!E8</f>
        <v>341.88162231445312</v>
      </c>
      <c r="E6" s="52">
        <f>DataT13a!F8</f>
        <v>2899.601318359375</v>
      </c>
      <c r="F6" s="52">
        <f>DataT13a!G8</f>
        <v>4178.81689453125</v>
      </c>
      <c r="G6" s="103">
        <f>DataT13a!H8</f>
        <v>0</v>
      </c>
      <c r="H6" s="103">
        <f>DataT13a!I8</f>
        <v>0.26179662346839905</v>
      </c>
      <c r="I6" s="103">
        <f>DataT13a!J8</f>
        <v>0.28561830520629883</v>
      </c>
      <c r="J6" s="103">
        <f>DataT13a!K8</f>
        <v>0.94500946998596191</v>
      </c>
      <c r="K6" s="103">
        <f>DataT13a!L8</f>
        <v>0.84126508235931396</v>
      </c>
    </row>
    <row r="7" spans="1:11" ht="17" thickBot="1" x14ac:dyDescent="0.25">
      <c r="A7" s="51" t="str">
        <f>DataT13a!B9</f>
        <v>North America &amp; Oceania</v>
      </c>
      <c r="B7" s="52">
        <f>DataT13a!C9</f>
        <v>-5.1834555342793465E-3</v>
      </c>
      <c r="C7" s="52">
        <f>DataT13a!D9</f>
        <v>14.544766426086426</v>
      </c>
      <c r="D7" s="52">
        <f>DataT13a!E9</f>
        <v>-1746.0089111328125</v>
      </c>
      <c r="E7" s="52">
        <f>DataT13a!F9</f>
        <v>-11948.7177734375</v>
      </c>
      <c r="F7" s="52">
        <f>DataT13a!G9</f>
        <v>-21222.765625</v>
      </c>
      <c r="G7" s="103">
        <f>DataT13a!H9</f>
        <v>-0.19321912527084351</v>
      </c>
      <c r="H7" s="103">
        <f>DataT13a!I9</f>
        <v>7.3021980933845043E-3</v>
      </c>
      <c r="I7" s="103">
        <f>DataT13a!J9</f>
        <v>-0.16442617774009705</v>
      </c>
      <c r="J7" s="103">
        <f>DataT13a!K9</f>
        <v>-0.663582444190979</v>
      </c>
      <c r="K7" s="103">
        <f>DataT13a!L9</f>
        <v>-0.84865254163742065</v>
      </c>
    </row>
    <row r="8" spans="1:11" ht="17" thickBot="1" x14ac:dyDescent="0.25">
      <c r="A8" s="51" t="str">
        <f>DataT13a!B10</f>
        <v>Russia &amp; Central Asia</v>
      </c>
      <c r="B8" s="52">
        <f>DataT13a!C10</f>
        <v>0</v>
      </c>
      <c r="C8" s="52">
        <f>DataT13a!D10</f>
        <v>-17.680469512939453</v>
      </c>
      <c r="D8" s="52">
        <f>DataT13a!E10</f>
        <v>39.958011627197266</v>
      </c>
      <c r="E8" s="52">
        <f>DataT13a!F10</f>
        <v>186.32090759277344</v>
      </c>
      <c r="F8" s="52">
        <f>DataT13a!G10</f>
        <v>579.8304443359375</v>
      </c>
      <c r="G8" s="103">
        <f>DataT13a!H10</f>
        <v>0</v>
      </c>
      <c r="H8" s="103">
        <f>DataT13a!I10</f>
        <v>-3.4179732203483582E-2</v>
      </c>
      <c r="I8" s="103">
        <f>DataT13a!J10</f>
        <v>0.11512936651706696</v>
      </c>
      <c r="J8" s="103">
        <f>DataT13a!K10</f>
        <v>0.11760666966438293</v>
      </c>
      <c r="K8" s="103">
        <f>DataT13a!L10</f>
        <v>0.21324287354946136</v>
      </c>
    </row>
    <row r="9" spans="1:11" ht="17" thickBot="1" x14ac:dyDescent="0.25">
      <c r="A9" s="51" t="str">
        <f>DataT13a!B11</f>
        <v>South &amp; South-East Asia</v>
      </c>
      <c r="B9" s="52">
        <f>DataT13a!C11</f>
        <v>-1.2958638835698366E-3</v>
      </c>
      <c r="C9" s="52">
        <f>DataT13a!D11</f>
        <v>-38.597362518310547</v>
      </c>
      <c r="D9" s="52">
        <f>DataT13a!E11</f>
        <v>-197.366455078125</v>
      </c>
      <c r="E9" s="52">
        <f>DataT13a!F11</f>
        <v>-59.728630065917969</v>
      </c>
      <c r="F9" s="52">
        <f>DataT13a!G11</f>
        <v>-800.7586669921875</v>
      </c>
      <c r="G9" s="103">
        <f>DataT13a!H11</f>
        <v>-6.3463835977017879E-3</v>
      </c>
      <c r="H9" s="103">
        <f>DataT13a!I11</f>
        <v>-0.13294927775859833</v>
      </c>
      <c r="I9" s="103">
        <f>DataT13a!J11</f>
        <v>-0.16088835895061493</v>
      </c>
      <c r="J9" s="103">
        <f>DataT13a!K11</f>
        <v>-1.1811680160462856E-2</v>
      </c>
      <c r="K9" s="103">
        <f>DataT13a!L11</f>
        <v>-0.11291715502738953</v>
      </c>
    </row>
    <row r="10" spans="1:11" ht="17" thickBot="1" x14ac:dyDescent="0.25">
      <c r="A10" s="51" t="str">
        <f>DataT13a!B12</f>
        <v>Sub-Saharan Africa</v>
      </c>
      <c r="B10" s="52">
        <f>DataT13a!C12</f>
        <v>0</v>
      </c>
      <c r="C10" s="52">
        <f>DataT13a!D12</f>
        <v>-51.521476745605469</v>
      </c>
      <c r="D10" s="52">
        <f>DataT13a!E12</f>
        <v>-194.69813537597656</v>
      </c>
      <c r="E10" s="52">
        <f>DataT13a!F12</f>
        <v>-467.5220947265625</v>
      </c>
      <c r="F10" s="52">
        <f>DataT13a!G12</f>
        <v>-591.61871337890625</v>
      </c>
      <c r="G10" s="103">
        <f>DataT13a!H12</f>
        <v>0</v>
      </c>
      <c r="H10" s="103">
        <f>DataT13a!I12</f>
        <v>-0.17019328474998474</v>
      </c>
      <c r="I10" s="103">
        <f>DataT13a!J12</f>
        <v>-0.47481560707092285</v>
      </c>
      <c r="J10" s="103">
        <f>DataT13a!K12</f>
        <v>-0.31401389837265015</v>
      </c>
      <c r="K10" s="103">
        <f>DataT13a!L12</f>
        <v>-0.27823552489280701</v>
      </c>
    </row>
    <row r="11" spans="1:11" s="80" customFormat="1" ht="18" thickBot="1" x14ac:dyDescent="0.25">
      <c r="A11" s="19" t="str">
        <f>DataT13a!B13</f>
        <v>World</v>
      </c>
      <c r="B11" s="19">
        <f>DataT13a!C13</f>
        <v>9.3750000818015877E-11</v>
      </c>
      <c r="C11" s="19">
        <f>DataT13a!D13</f>
        <v>-2.573375013525947E-6</v>
      </c>
      <c r="D11" s="19">
        <f>DataT13a!E13</f>
        <v>2.0773999494849704E-5</v>
      </c>
      <c r="E11" s="19">
        <f>DataT13a!F13</f>
        <v>-5.6969081051647663E-3</v>
      </c>
      <c r="F11" s="19">
        <f>DataT13a!G13</f>
        <v>-3.8239199784584343E-4</v>
      </c>
      <c r="G11" s="36">
        <f>DataT13a!H13</f>
        <v>9.2435663290313386E-11</v>
      </c>
      <c r="H11" s="36">
        <f>DataT13a!I13</f>
        <v>-3.4079528088426514E-10</v>
      </c>
      <c r="I11" s="36">
        <f>DataT13a!J13</f>
        <v>6.7027244865514035E-10</v>
      </c>
      <c r="J11" s="36">
        <f>DataT13a!K13</f>
        <v>-9.0485798409645213E-8</v>
      </c>
      <c r="K11" s="36">
        <f>DataT13a!L13</f>
        <v>-4.4474348648293471E-9</v>
      </c>
    </row>
    <row r="12" spans="1:11" ht="20" customHeight="1" x14ac:dyDescent="0.2">
      <c r="A12" s="166" t="s">
        <v>689</v>
      </c>
      <c r="B12" s="167"/>
      <c r="C12" s="167"/>
      <c r="D12" s="167"/>
      <c r="E12" s="167"/>
      <c r="F12" s="167"/>
      <c r="G12" s="167"/>
      <c r="H12" s="167"/>
      <c r="I12" s="167"/>
      <c r="J12" s="167"/>
      <c r="K12" s="168"/>
    </row>
    <row r="13" spans="1:11" ht="25" customHeight="1" thickBot="1" x14ac:dyDescent="0.25">
      <c r="A13" s="157"/>
      <c r="B13" s="158"/>
      <c r="C13" s="158"/>
      <c r="D13" s="158"/>
      <c r="E13" s="158"/>
      <c r="F13" s="158"/>
      <c r="G13" s="158"/>
      <c r="H13" s="158"/>
      <c r="I13" s="158"/>
      <c r="J13" s="158"/>
      <c r="K13" s="159"/>
    </row>
  </sheetData>
  <mergeCells count="2">
    <mergeCell ref="A1:K1"/>
    <mergeCell ref="A12:K13"/>
  </mergeCell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76950-C393-C846-A9DF-FE16679E8743}">
  <sheetPr>
    <tabColor rgb="FF00B050"/>
  </sheetPr>
  <dimension ref="A1:M14"/>
  <sheetViews>
    <sheetView workbookViewId="0">
      <selection sqref="A1:K1"/>
    </sheetView>
  </sheetViews>
  <sheetFormatPr baseColWidth="10" defaultRowHeight="15" x14ac:dyDescent="0.2"/>
  <cols>
    <col min="1" max="1" width="27.5" style="59" customWidth="1"/>
    <col min="2" max="2" width="17.5" style="59" customWidth="1"/>
    <col min="3" max="3" width="18.5" style="59" customWidth="1"/>
    <col min="4" max="4" width="17.83203125" style="59" customWidth="1"/>
    <col min="5" max="11" width="16.6640625" style="59" customWidth="1"/>
  </cols>
  <sheetData>
    <row r="1" spans="1:13" ht="16" thickBot="1" x14ac:dyDescent="0.25">
      <c r="A1" s="169" t="str">
        <f>DataT13b!B3</f>
        <v xml:space="preserve">Table 13b. Net foreing Assets $  by World Regions (1980-2025) </v>
      </c>
      <c r="B1" s="170">
        <f>DataT13b!C3</f>
        <v>0</v>
      </c>
      <c r="C1" s="170">
        <f>DataT13b!D3</f>
        <v>0</v>
      </c>
      <c r="D1" s="170">
        <f>DataT13b!E3</f>
        <v>0</v>
      </c>
      <c r="E1" s="170">
        <f>DataT13b!F3</f>
        <v>0</v>
      </c>
      <c r="F1" s="170">
        <f>DataT13b!G3</f>
        <v>0</v>
      </c>
      <c r="G1" s="170">
        <f>DataT13b!H3</f>
        <v>0</v>
      </c>
      <c r="H1" s="170">
        <f>DataT13b!I3</f>
        <v>0</v>
      </c>
      <c r="I1" s="170">
        <f>DataT13b!J3</f>
        <v>0</v>
      </c>
      <c r="J1" s="170">
        <f>DataT13b!K3</f>
        <v>0</v>
      </c>
      <c r="K1" s="171">
        <f>DataT13b!L3</f>
        <v>0</v>
      </c>
      <c r="L1" s="59"/>
      <c r="M1" s="59"/>
    </row>
    <row r="2" spans="1:13" ht="52" thickBot="1" x14ac:dyDescent="0.25">
      <c r="A2" s="51" t="str">
        <f>DataT13b!B4</f>
        <v>Region</v>
      </c>
      <c r="B2" s="102" t="str">
        <f>DataT13b!C4</f>
        <v xml:space="preserve"> 1800 Net Foreign Assets</v>
      </c>
      <c r="C2" s="102" t="str">
        <f>DataT13b!D4</f>
        <v xml:space="preserve"> 1980 Net Foreign Assets</v>
      </c>
      <c r="D2" s="102" t="str">
        <f>DataT13b!E4</f>
        <v>2000 Net Foreign Assets</v>
      </c>
      <c r="E2" s="102" t="str">
        <f>DataT13b!F4</f>
        <v>2020 Net Foreign Assets</v>
      </c>
      <c r="F2" s="102" t="str">
        <f>DataT13b!G4</f>
        <v>2025 Net Foreign Assets</v>
      </c>
      <c r="G2" s="102" t="str">
        <f>DataT13b!H4</f>
        <v xml:space="preserve"> 1800 Net Foreign Assets as % of NDP</v>
      </c>
      <c r="H2" s="102" t="str">
        <f>DataT13b!I4</f>
        <v xml:space="preserve"> 1980 Net Foreign Assets  as % of NDP</v>
      </c>
      <c r="I2" s="102" t="str">
        <f>DataT13b!J4</f>
        <v>2000 Net Foreign Assets  as % of NDP</v>
      </c>
      <c r="J2" s="102" t="str">
        <f>DataT13b!K4</f>
        <v>2020 Net Foreign Assets  as % of NDP</v>
      </c>
      <c r="K2" s="102" t="str">
        <f>DataT13b!L4</f>
        <v>2025 Net Foreign Assets  as % of NDP</v>
      </c>
      <c r="L2" s="59"/>
      <c r="M2" s="59"/>
    </row>
    <row r="3" spans="1:13" ht="17" thickBot="1" x14ac:dyDescent="0.25">
      <c r="A3" s="51" t="str">
        <f>DataT13b!B5</f>
        <v>East Asia</v>
      </c>
      <c r="B3" s="52">
        <f>DataT13b!C5</f>
        <v>0</v>
      </c>
      <c r="C3" s="52">
        <f>DataT13b!D5</f>
        <v>30.863674163818359</v>
      </c>
      <c r="D3" s="52">
        <f>DataT13b!E5</f>
        <v>1733.2706298828125</v>
      </c>
      <c r="E3" s="52">
        <f>DataT13b!F5</f>
        <v>10491.03125</v>
      </c>
      <c r="F3" s="52">
        <f>DataT13b!G5</f>
        <v>12654.9033203125</v>
      </c>
      <c r="G3" s="103">
        <f>DataT13b!H5</f>
        <v>0</v>
      </c>
      <c r="H3" s="103">
        <f>DataT13b!I5</f>
        <v>2.3237744346261024E-2</v>
      </c>
      <c r="I3" s="103">
        <f>DataT13b!J5</f>
        <v>0.30194512009620667</v>
      </c>
      <c r="J3" s="103">
        <f>DataT13b!K5</f>
        <v>0.56580442190170288</v>
      </c>
      <c r="K3" s="103">
        <f>DataT13b!L5</f>
        <v>0.57262367010116577</v>
      </c>
      <c r="L3" s="59"/>
      <c r="M3" s="59"/>
    </row>
    <row r="4" spans="1:13" ht="17" thickBot="1" x14ac:dyDescent="0.25">
      <c r="A4" s="51" t="str">
        <f>DataT13b!B6</f>
        <v>Europe</v>
      </c>
      <c r="B4" s="52">
        <f>DataT13b!C6</f>
        <v>0.10999999940395355</v>
      </c>
      <c r="C4" s="52">
        <f>DataT13b!D6</f>
        <v>175.1680908203125</v>
      </c>
      <c r="D4" s="52">
        <f>DataT13b!E6</f>
        <v>454.66464233398438</v>
      </c>
      <c r="E4" s="52">
        <f>DataT13b!F6</f>
        <v>4818.25146484375</v>
      </c>
      <c r="F4" s="52">
        <f>DataT13b!G6</f>
        <v>9034.82421875</v>
      </c>
      <c r="G4" s="103">
        <f>DataT13b!H6</f>
        <v>1.8664512783288956E-2</v>
      </c>
      <c r="H4" s="103">
        <f>DataT13b!I6</f>
        <v>4.9125127494335175E-2</v>
      </c>
      <c r="I4" s="103">
        <f>DataT13b!J6</f>
        <v>5.6538909673690796E-2</v>
      </c>
      <c r="J4" s="103">
        <f>DataT13b!K6</f>
        <v>0.30209878087043762</v>
      </c>
      <c r="K4" s="103">
        <f>DataT13b!L6</f>
        <v>0.38977977633476257</v>
      </c>
      <c r="L4" s="59"/>
      <c r="M4" s="59"/>
    </row>
    <row r="5" spans="1:13" ht="17" thickBot="1" x14ac:dyDescent="0.25">
      <c r="A5" s="51" t="str">
        <f>DataT13b!B7</f>
        <v>Latin America</v>
      </c>
      <c r="B5" s="52">
        <f>DataT13b!C7</f>
        <v>-9.9999997764825821E-3</v>
      </c>
      <c r="C5" s="52">
        <f>DataT13b!D7</f>
        <v>-227.66824340820312</v>
      </c>
      <c r="D5" s="52">
        <f>DataT13b!E7</f>
        <v>-565.85552978515625</v>
      </c>
      <c r="E5" s="52">
        <f>DataT13b!F7</f>
        <v>-4584.00830078125</v>
      </c>
      <c r="F5" s="52">
        <f>DataT13b!G7</f>
        <v>-643.40936279296875</v>
      </c>
      <c r="G5" s="103">
        <f>DataT13b!H7</f>
        <v>-3.6382481455802917E-2</v>
      </c>
      <c r="H5" s="103">
        <f>DataT13b!I7</f>
        <v>-0.26598986983299255</v>
      </c>
      <c r="I5" s="103">
        <f>DataT13b!J7</f>
        <v>-0.26966431736946106</v>
      </c>
      <c r="J5" s="103">
        <f>DataT13b!K7</f>
        <v>-1.1281619071960449</v>
      </c>
      <c r="K5" s="103">
        <f>DataT13b!L7</f>
        <v>-9.6585921943187714E-2</v>
      </c>
      <c r="L5" s="59"/>
      <c r="M5" s="59"/>
    </row>
    <row r="6" spans="1:13" ht="17" thickBot="1" x14ac:dyDescent="0.25">
      <c r="A6" s="51" t="str">
        <f>DataT13b!B8</f>
        <v>MENA</v>
      </c>
      <c r="B6" s="52">
        <f>DataT13b!C8</f>
        <v>0</v>
      </c>
      <c r="C6" s="52">
        <f>DataT13b!D8</f>
        <v>154.53251647949219</v>
      </c>
      <c r="D6" s="52">
        <f>DataT13b!E8</f>
        <v>315.76614379882812</v>
      </c>
      <c r="E6" s="52">
        <f>DataT13b!F8</f>
        <v>3311.913330078125</v>
      </c>
      <c r="F6" s="52">
        <f>DataT13b!G8</f>
        <v>4925.30615234375</v>
      </c>
      <c r="G6" s="103">
        <f>DataT13b!H8</f>
        <v>0</v>
      </c>
      <c r="H6" s="103">
        <f>DataT13b!I8</f>
        <v>0.26179662346839905</v>
      </c>
      <c r="I6" s="103">
        <f>DataT13b!J8</f>
        <v>0.28561830520629883</v>
      </c>
      <c r="J6" s="103">
        <f>DataT13b!K8</f>
        <v>0.94500935077667236</v>
      </c>
      <c r="K6" s="103">
        <f>DataT13b!L8</f>
        <v>0.84126514196395874</v>
      </c>
      <c r="L6" s="59"/>
      <c r="M6" s="59"/>
    </row>
    <row r="7" spans="1:13" ht="17" thickBot="1" x14ac:dyDescent="0.25">
      <c r="A7" s="51" t="str">
        <f>DataT13b!B9</f>
        <v>North America &amp; Oceania</v>
      </c>
      <c r="B7" s="52">
        <f>DataT13b!C9</f>
        <v>-7.9999998211860657E-2</v>
      </c>
      <c r="C7" s="52">
        <f>DataT13b!D9</f>
        <v>20.727602005004883</v>
      </c>
      <c r="D7" s="52">
        <f>DataT13b!E9</f>
        <v>-1612.6358642578125</v>
      </c>
      <c r="E7" s="52">
        <f>DataT13b!F9</f>
        <v>-13647.779296875</v>
      </c>
      <c r="F7" s="52">
        <f>DataT13b!G9</f>
        <v>-25013.927734375</v>
      </c>
      <c r="G7" s="103">
        <f>DataT13b!H9</f>
        <v>-0.19321912527084351</v>
      </c>
      <c r="H7" s="103">
        <f>DataT13b!I9</f>
        <v>7.3022022843360901E-3</v>
      </c>
      <c r="I7" s="103">
        <f>DataT13b!J9</f>
        <v>-0.16442619264125824</v>
      </c>
      <c r="J7" s="103">
        <f>DataT13b!K9</f>
        <v>-0.663582444190979</v>
      </c>
      <c r="K7" s="103">
        <f>DataT13b!L9</f>
        <v>-0.84865254163742065</v>
      </c>
      <c r="L7" s="59"/>
      <c r="M7" s="59"/>
    </row>
    <row r="8" spans="1:13" ht="17" thickBot="1" x14ac:dyDescent="0.25">
      <c r="A8" s="51" t="str">
        <f>DataT13b!B10</f>
        <v>Russia &amp; Central Asia</v>
      </c>
      <c r="B8" s="52">
        <f>DataT13b!C10</f>
        <v>0</v>
      </c>
      <c r="C8" s="52">
        <f>DataT13b!D10</f>
        <v>-25.196245193481445</v>
      </c>
      <c r="D8" s="52">
        <f>DataT13b!E10</f>
        <v>36.905723571777344</v>
      </c>
      <c r="E8" s="52">
        <f>DataT13b!F10</f>
        <v>212.81500244140625</v>
      </c>
      <c r="F8" s="52">
        <f>DataT13b!G10</f>
        <v>683.40936279296875</v>
      </c>
      <c r="G8" s="103">
        <f>DataT13b!H10</f>
        <v>0</v>
      </c>
      <c r="H8" s="103">
        <f>DataT13b!I10</f>
        <v>-3.4179732203483582E-2</v>
      </c>
      <c r="I8" s="103">
        <f>DataT13b!J10</f>
        <v>0.11512937396764755</v>
      </c>
      <c r="J8" s="103">
        <f>DataT13b!K10</f>
        <v>0.11760666221380234</v>
      </c>
      <c r="K8" s="103">
        <f>DataT13b!L10</f>
        <v>0.21324288845062256</v>
      </c>
      <c r="L8" s="59"/>
      <c r="M8" s="59"/>
    </row>
    <row r="9" spans="1:13" ht="17" thickBot="1" x14ac:dyDescent="0.25">
      <c r="A9" s="51" t="str">
        <f>DataT13b!B11</f>
        <v>South &amp; South-East Asia</v>
      </c>
      <c r="B9" s="52">
        <f>DataT13b!C11</f>
        <v>-1.9999999552965164E-2</v>
      </c>
      <c r="C9" s="52">
        <f>DataT13b!D11</f>
        <v>-55.004688262939453</v>
      </c>
      <c r="D9" s="52">
        <f>DataT13b!E11</f>
        <v>-182.29013061523438</v>
      </c>
      <c r="E9" s="52">
        <f>DataT13b!F11</f>
        <v>-68.221817016601562</v>
      </c>
      <c r="F9" s="52">
        <f>DataT13b!G11</f>
        <v>-943.803466796875</v>
      </c>
      <c r="G9" s="103">
        <f>DataT13b!H11</f>
        <v>-6.3463835977017879E-3</v>
      </c>
      <c r="H9" s="103">
        <f>DataT13b!I11</f>
        <v>-0.13294927775859833</v>
      </c>
      <c r="I9" s="103">
        <f>DataT13b!J11</f>
        <v>-0.16088835895061493</v>
      </c>
      <c r="J9" s="103">
        <f>DataT13b!K11</f>
        <v>-1.1811682023108006E-2</v>
      </c>
      <c r="K9" s="103">
        <f>DataT13b!L11</f>
        <v>-0.11291715502738953</v>
      </c>
      <c r="L9" s="59"/>
      <c r="M9" s="59"/>
    </row>
    <row r="10" spans="1:13" ht="17" thickBot="1" x14ac:dyDescent="0.25">
      <c r="A10" s="51" t="str">
        <f>DataT13b!B12</f>
        <v>Sub-Saharan Africa</v>
      </c>
      <c r="B10" s="52">
        <f>DataT13b!C12</f>
        <v>0</v>
      </c>
      <c r="C10" s="52">
        <f>DataT13b!D12</f>
        <v>-73.422698974609375</v>
      </c>
      <c r="D10" s="52">
        <f>DataT13b!E12</f>
        <v>-179.82563781738281</v>
      </c>
      <c r="E10" s="52">
        <f>DataT13b!F12</f>
        <v>-534.00189208984375</v>
      </c>
      <c r="F10" s="52">
        <f>DataT13b!G12</f>
        <v>-697.30340576171875</v>
      </c>
      <c r="G10" s="103">
        <f>DataT13b!H12</f>
        <v>0</v>
      </c>
      <c r="H10" s="103">
        <f>DataT13b!I12</f>
        <v>-0.17019328474998474</v>
      </c>
      <c r="I10" s="103">
        <f>DataT13b!J12</f>
        <v>-0.47481560707092285</v>
      </c>
      <c r="J10" s="103">
        <f>DataT13b!K12</f>
        <v>-0.31401389837265015</v>
      </c>
      <c r="K10" s="103">
        <f>DataT13b!L12</f>
        <v>-0.27823552489280701</v>
      </c>
      <c r="L10" s="59"/>
      <c r="M10" s="59"/>
    </row>
    <row r="11" spans="1:13" ht="18" thickBot="1" x14ac:dyDescent="0.25">
      <c r="A11" s="19" t="str">
        <f>DataT13b!B13</f>
        <v>World</v>
      </c>
      <c r="B11" s="19">
        <f>DataT13b!C13</f>
        <v>0</v>
      </c>
      <c r="C11" s="19">
        <f>DataT13b!D13</f>
        <v>1.1118156180600636E-5</v>
      </c>
      <c r="D11" s="19">
        <f>DataT13b!E13</f>
        <v>-2.6951000108965673E-5</v>
      </c>
      <c r="E11" s="19">
        <f>DataT13b!F13</f>
        <v>2.9878687928430736E-4</v>
      </c>
      <c r="F11" s="19">
        <f>DataT13b!G13</f>
        <v>-1.7365999519824982E-4</v>
      </c>
      <c r="G11" s="36">
        <f>DataT13b!H13</f>
        <v>0</v>
      </c>
      <c r="H11" s="36">
        <f>DataT13b!I13</f>
        <v>1.0331924205075893E-9</v>
      </c>
      <c r="I11" s="36">
        <f>DataT13b!J13</f>
        <v>-9.4149121832032279E-10</v>
      </c>
      <c r="J11" s="36">
        <f>DataT13b!K13</f>
        <v>4.1549150786579503E-9</v>
      </c>
      <c r="K11" s="36">
        <f>DataT13b!L13</f>
        <v>-1.7136444485643665E-9</v>
      </c>
      <c r="L11" s="59"/>
      <c r="M11" s="59"/>
    </row>
    <row r="12" spans="1:13" ht="15" customHeight="1" x14ac:dyDescent="0.2">
      <c r="A12" s="166" t="s">
        <v>688</v>
      </c>
      <c r="B12" s="167"/>
      <c r="C12" s="167"/>
      <c r="D12" s="167"/>
      <c r="E12" s="167"/>
      <c r="F12" s="167"/>
      <c r="G12" s="167"/>
      <c r="H12" s="167"/>
      <c r="I12" s="167"/>
      <c r="J12" s="167"/>
      <c r="K12" s="168"/>
      <c r="L12" s="59"/>
      <c r="M12" s="59"/>
    </row>
    <row r="13" spans="1:13" ht="16" thickBot="1" x14ac:dyDescent="0.25">
      <c r="A13" s="157"/>
      <c r="B13" s="158"/>
      <c r="C13" s="158"/>
      <c r="D13" s="158"/>
      <c r="E13" s="158"/>
      <c r="F13" s="158"/>
      <c r="G13" s="158"/>
      <c r="H13" s="158"/>
      <c r="I13" s="158"/>
      <c r="J13" s="158"/>
      <c r="K13" s="159"/>
      <c r="L13" s="59"/>
      <c r="M13" s="59"/>
    </row>
    <row r="14" spans="1:13" x14ac:dyDescent="0.2">
      <c r="L14" s="59"/>
      <c r="M14" s="59"/>
    </row>
  </sheetData>
  <mergeCells count="2">
    <mergeCell ref="A12:K13"/>
    <mergeCell ref="A1:K1"/>
  </mergeCell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S219"/>
  <sheetViews>
    <sheetView workbookViewId="0">
      <pane xSplit="1" ySplit="3" topLeftCell="D4" activePane="bottomRight" state="frozen"/>
      <selection pane="topRight" activeCell="B1" sqref="B1"/>
      <selection pane="bottomLeft" activeCell="A4" sqref="A4"/>
      <selection pane="bottomRight" activeCell="A3" sqref="A3"/>
    </sheetView>
  </sheetViews>
  <sheetFormatPr baseColWidth="10" defaultColWidth="8.83203125" defaultRowHeight="15" x14ac:dyDescent="0.2"/>
  <cols>
    <col min="1" max="1" width="18.33203125" customWidth="1"/>
    <col min="2" max="2" width="15.83203125" customWidth="1"/>
    <col min="3" max="3" width="11.33203125" bestFit="1" customWidth="1"/>
    <col min="4" max="4" width="24.5" bestFit="1" customWidth="1"/>
    <col min="5" max="5" width="23" customWidth="1"/>
    <col min="6" max="6" width="14.33203125" bestFit="1" customWidth="1"/>
    <col min="8" max="9" width="17.5" bestFit="1" customWidth="1"/>
    <col min="10" max="10" width="16.33203125" bestFit="1" customWidth="1"/>
    <col min="11" max="11" width="20.33203125" bestFit="1" customWidth="1"/>
    <col min="12" max="13" width="19.6640625" bestFit="1" customWidth="1"/>
    <col min="14" max="14" width="16.6640625" customWidth="1"/>
    <col min="15" max="15" width="17.33203125" customWidth="1"/>
    <col min="16" max="16" width="16.1640625" customWidth="1"/>
    <col min="17" max="17" width="16" customWidth="1"/>
    <col min="18" max="18" width="19.33203125" customWidth="1"/>
    <col min="19" max="19" width="20.1640625" customWidth="1"/>
  </cols>
  <sheetData>
    <row r="1" spans="1:19" ht="16" hidden="1" thickBot="1" x14ac:dyDescent="0.25"/>
    <row r="2" spans="1:19" ht="16" hidden="1" thickBot="1" x14ac:dyDescent="0.25"/>
    <row r="3" spans="1:19" ht="69" thickBot="1" x14ac:dyDescent="0.25">
      <c r="A3" s="1" t="s">
        <v>460</v>
      </c>
      <c r="B3" s="2" t="s">
        <v>598</v>
      </c>
      <c r="C3" s="1" t="s">
        <v>461</v>
      </c>
      <c r="D3" s="1" t="s">
        <v>462</v>
      </c>
      <c r="E3" s="3" t="s">
        <v>600</v>
      </c>
      <c r="F3" s="4" t="s">
        <v>601</v>
      </c>
      <c r="G3" s="1" t="s">
        <v>463</v>
      </c>
      <c r="H3" s="3" t="s">
        <v>619</v>
      </c>
      <c r="I3" s="3" t="s">
        <v>620</v>
      </c>
      <c r="J3" s="3" t="s">
        <v>621</v>
      </c>
      <c r="K3" s="3" t="s">
        <v>622</v>
      </c>
      <c r="L3" s="3" t="s">
        <v>623</v>
      </c>
      <c r="M3" s="3" t="s">
        <v>624</v>
      </c>
      <c r="N3" s="3" t="s">
        <v>602</v>
      </c>
      <c r="O3" s="3" t="s">
        <v>603</v>
      </c>
      <c r="P3" s="3" t="s">
        <v>464</v>
      </c>
      <c r="Q3" s="3" t="s">
        <v>465</v>
      </c>
      <c r="R3" s="3" t="s">
        <v>565</v>
      </c>
      <c r="S3" s="3" t="s">
        <v>566</v>
      </c>
    </row>
    <row r="4" spans="1:19" ht="18" thickBot="1" x14ac:dyDescent="0.25">
      <c r="A4" s="5" t="s">
        <v>0</v>
      </c>
      <c r="B4" s="2">
        <v>169162.921875</v>
      </c>
      <c r="C4" s="4" t="s">
        <v>216</v>
      </c>
      <c r="D4" s="4" t="s">
        <v>226</v>
      </c>
      <c r="E4" s="6">
        <v>6485875712</v>
      </c>
      <c r="F4" s="6">
        <v>38341</v>
      </c>
      <c r="G4" s="4" t="s">
        <v>234</v>
      </c>
      <c r="H4" s="7">
        <v>-2634995200</v>
      </c>
      <c r="I4" s="7">
        <v>-2688727296</v>
      </c>
      <c r="J4" s="7">
        <v>-11238469</v>
      </c>
      <c r="K4" s="7">
        <v>99964944384</v>
      </c>
      <c r="L4" s="7">
        <v>9120870400</v>
      </c>
      <c r="M4" s="8">
        <v>11422892032</v>
      </c>
      <c r="N4" s="9">
        <v>0.99974685907363892</v>
      </c>
      <c r="O4" s="9">
        <v>0.79891860485076904</v>
      </c>
      <c r="P4" s="9">
        <v>1.0346941947937012</v>
      </c>
      <c r="Q4" s="9">
        <v>0.83258414268493652</v>
      </c>
      <c r="R4" s="9">
        <v>-0.41067680716514587</v>
      </c>
      <c r="S4" s="9">
        <v>-1.0855232365429401E-2</v>
      </c>
    </row>
    <row r="5" spans="1:19" ht="18" thickBot="1" x14ac:dyDescent="0.25">
      <c r="A5" s="5" t="s">
        <v>1</v>
      </c>
      <c r="B5" s="2">
        <v>147878.21875</v>
      </c>
      <c r="C5" s="4" t="s">
        <v>216</v>
      </c>
      <c r="D5" s="4" t="s">
        <v>226</v>
      </c>
      <c r="E5" s="6">
        <v>5934057472</v>
      </c>
      <c r="F5" s="6">
        <v>40128</v>
      </c>
      <c r="G5" s="4" t="s">
        <v>235</v>
      </c>
      <c r="H5" s="7">
        <v>1116930688</v>
      </c>
      <c r="I5" s="7">
        <v>1305208064</v>
      </c>
      <c r="J5" s="7">
        <v>-12201931</v>
      </c>
      <c r="K5" s="7">
        <v>69156741120</v>
      </c>
      <c r="L5" s="7">
        <v>4817126912</v>
      </c>
      <c r="M5" s="8">
        <v>5764564480</v>
      </c>
      <c r="N5" s="9">
        <v>1.4142372608184814</v>
      </c>
      <c r="O5" s="9">
        <v>1.1301465034484863</v>
      </c>
      <c r="P5" s="9">
        <v>1.4370357990264893</v>
      </c>
      <c r="Q5" s="9">
        <v>1.1563351154327393</v>
      </c>
      <c r="R5" s="9">
        <v>0.18934531509876251</v>
      </c>
      <c r="S5" s="9">
        <v>-5.9585077688097954E-3</v>
      </c>
    </row>
    <row r="6" spans="1:19" ht="18" thickBot="1" x14ac:dyDescent="0.25">
      <c r="A6" s="5" t="s">
        <v>2</v>
      </c>
      <c r="B6" s="2">
        <v>127784.703125</v>
      </c>
      <c r="C6" s="4" t="s">
        <v>216</v>
      </c>
      <c r="D6" s="4" t="s">
        <v>226</v>
      </c>
      <c r="E6" s="6">
        <v>86951485440</v>
      </c>
      <c r="F6" s="6">
        <v>680453</v>
      </c>
      <c r="G6" s="4" t="s">
        <v>236</v>
      </c>
      <c r="H6" s="7">
        <v>27893688320</v>
      </c>
      <c r="I6" s="7">
        <v>39816404992</v>
      </c>
      <c r="J6" s="7">
        <v>-11925957632</v>
      </c>
      <c r="K6" s="7">
        <v>404244561920</v>
      </c>
      <c r="L6" s="7">
        <v>59057799168</v>
      </c>
      <c r="M6" s="8">
        <v>69475958784</v>
      </c>
      <c r="N6" s="9">
        <v>1.2885363101959229</v>
      </c>
      <c r="O6" s="9">
        <v>1.0296962261199951</v>
      </c>
      <c r="P6" s="9">
        <v>1.226334810256958</v>
      </c>
      <c r="Q6" s="9">
        <v>0.98679101467132568</v>
      </c>
      <c r="R6" s="9">
        <v>0.31631037592887878</v>
      </c>
      <c r="S6" s="9">
        <v>1.3982770033180714E-2</v>
      </c>
    </row>
    <row r="7" spans="1:19" ht="18" thickBot="1" x14ac:dyDescent="0.25">
      <c r="A7" s="5" t="s">
        <v>4</v>
      </c>
      <c r="B7" s="2">
        <v>126080.2578125</v>
      </c>
      <c r="C7" s="4" t="s">
        <v>216</v>
      </c>
      <c r="D7" s="4" t="s">
        <v>227</v>
      </c>
      <c r="E7" s="6">
        <v>8139110912</v>
      </c>
      <c r="F7" s="6">
        <v>64555</v>
      </c>
      <c r="G7" s="4" t="s">
        <v>238</v>
      </c>
      <c r="H7" s="7">
        <v>3009696256</v>
      </c>
      <c r="I7" s="7">
        <v>1982362112</v>
      </c>
      <c r="J7" s="7">
        <v>936576000</v>
      </c>
      <c r="K7" s="7">
        <v>260002873344</v>
      </c>
      <c r="L7" s="7">
        <v>5129414656</v>
      </c>
      <c r="M7" s="8">
        <v>5399384064</v>
      </c>
      <c r="N7" s="9">
        <v>1.4313029050827026</v>
      </c>
      <c r="O7" s="9">
        <v>1.1437839269638062</v>
      </c>
      <c r="P7" s="9">
        <v>1.5179736614227295</v>
      </c>
      <c r="Q7" s="9">
        <v>1.2214632034301758</v>
      </c>
      <c r="R7" s="9">
        <v>0.37599536776542664</v>
      </c>
      <c r="S7" s="9">
        <v>-1.6802951693534851E-2</v>
      </c>
    </row>
    <row r="8" spans="1:19" ht="18" thickBot="1" x14ac:dyDescent="0.25">
      <c r="A8" s="5" t="s">
        <v>3</v>
      </c>
      <c r="B8" s="2">
        <v>125533.8828125</v>
      </c>
      <c r="C8" s="4" t="s">
        <v>216</v>
      </c>
      <c r="D8" s="4" t="s">
        <v>226</v>
      </c>
      <c r="E8" s="6">
        <v>8094048256</v>
      </c>
      <c r="F8" s="6">
        <v>64477</v>
      </c>
      <c r="G8" s="4" t="s">
        <v>237</v>
      </c>
      <c r="H8" s="7">
        <v>3894068480</v>
      </c>
      <c r="I8" s="7">
        <v>3873050368</v>
      </c>
      <c r="J8" s="7">
        <v>-6143324.5</v>
      </c>
      <c r="K8" s="7">
        <v>136834383872</v>
      </c>
      <c r="L8" s="7">
        <v>4199979520</v>
      </c>
      <c r="M8" s="8">
        <v>5005654528</v>
      </c>
      <c r="N8" s="9">
        <v>1.1858717203140259</v>
      </c>
      <c r="O8" s="9">
        <v>0.9476548433303833</v>
      </c>
      <c r="P8" s="9">
        <v>1.1433887481689453</v>
      </c>
      <c r="Q8" s="9">
        <v>0.9200471043586731</v>
      </c>
      <c r="R8" s="9">
        <v>0.48277094960212708</v>
      </c>
      <c r="S8" s="9">
        <v>-3.4674981143325567E-3</v>
      </c>
    </row>
    <row r="9" spans="1:19" ht="18" thickBot="1" x14ac:dyDescent="0.25">
      <c r="A9" s="5" t="s">
        <v>5</v>
      </c>
      <c r="B9" s="2">
        <v>121734.0703125</v>
      </c>
      <c r="C9" s="4" t="s">
        <v>216</v>
      </c>
      <c r="D9" s="4" t="s">
        <v>226</v>
      </c>
      <c r="E9" s="6">
        <v>12659004416</v>
      </c>
      <c r="F9" s="6">
        <v>103989</v>
      </c>
      <c r="G9" s="4" t="s">
        <v>239</v>
      </c>
      <c r="H9" s="7">
        <v>5971723776</v>
      </c>
      <c r="I9" s="7">
        <v>5938396672</v>
      </c>
      <c r="J9" s="7">
        <v>-9654356</v>
      </c>
      <c r="K9" s="7">
        <v>145861918720</v>
      </c>
      <c r="L9" s="7">
        <v>6687280640</v>
      </c>
      <c r="M9" s="8">
        <v>7960999936</v>
      </c>
      <c r="N9" s="9">
        <v>1.1858717203140259</v>
      </c>
      <c r="O9" s="9">
        <v>0.9476548433303833</v>
      </c>
      <c r="P9" s="9">
        <v>1.1433887481689453</v>
      </c>
      <c r="Q9" s="9">
        <v>0.9200471043586731</v>
      </c>
      <c r="R9" s="9">
        <v>0.47340071201324463</v>
      </c>
      <c r="S9" s="9">
        <v>-3.5262622404843569E-3</v>
      </c>
    </row>
    <row r="10" spans="1:19" ht="18" thickBot="1" x14ac:dyDescent="0.25">
      <c r="A10" s="5" t="s">
        <v>6</v>
      </c>
      <c r="B10" s="2">
        <v>107491.3671875</v>
      </c>
      <c r="C10" s="4" t="s">
        <v>216</v>
      </c>
      <c r="D10" s="4" t="s">
        <v>228</v>
      </c>
      <c r="E10" s="6">
        <v>631054925824</v>
      </c>
      <c r="F10" s="6">
        <v>5870750</v>
      </c>
      <c r="G10" s="4" t="s">
        <v>240</v>
      </c>
      <c r="H10" s="7">
        <v>66965401600</v>
      </c>
      <c r="I10" s="7">
        <v>71294369792</v>
      </c>
      <c r="J10" s="7">
        <v>-4106624256</v>
      </c>
      <c r="K10" s="7">
        <v>1253702631424</v>
      </c>
      <c r="L10" s="7">
        <v>564089520128</v>
      </c>
      <c r="M10" s="8">
        <v>667097563136</v>
      </c>
      <c r="N10" s="9">
        <v>0.75498610734939575</v>
      </c>
      <c r="O10" s="9">
        <v>0.60332512855529785</v>
      </c>
      <c r="P10" s="9">
        <v>0.75020164251327515</v>
      </c>
      <c r="Q10" s="9">
        <v>0.60366237163543701</v>
      </c>
      <c r="R10" s="9">
        <v>0.10595584660768509</v>
      </c>
      <c r="S10" s="9">
        <v>1.5147803351283073E-3</v>
      </c>
    </row>
    <row r="11" spans="1:19" ht="18" thickBot="1" x14ac:dyDescent="0.25">
      <c r="A11" s="5" t="s">
        <v>7</v>
      </c>
      <c r="B11" s="2">
        <v>101097</v>
      </c>
      <c r="C11" s="4" t="s">
        <v>216</v>
      </c>
      <c r="D11" s="4" t="s">
        <v>229</v>
      </c>
      <c r="E11" s="6">
        <v>7667600896</v>
      </c>
      <c r="F11" s="6">
        <v>75844</v>
      </c>
      <c r="G11" s="4" t="s">
        <v>241</v>
      </c>
      <c r="H11" s="7">
        <v>3143678208</v>
      </c>
      <c r="I11" s="7">
        <v>3162052608</v>
      </c>
      <c r="J11" s="7">
        <v>-44994688</v>
      </c>
      <c r="K11" s="7">
        <v>-308555284480</v>
      </c>
      <c r="L11" s="7">
        <v>4523922944</v>
      </c>
      <c r="M11" s="8">
        <v>4905382912</v>
      </c>
      <c r="N11" s="9">
        <v>1.4001548290252686</v>
      </c>
      <c r="O11" s="9">
        <v>1.1188929080963135</v>
      </c>
      <c r="P11" s="9">
        <v>1.4486871957778931</v>
      </c>
      <c r="Q11" s="9">
        <v>1.1657106876373291</v>
      </c>
      <c r="R11" s="9">
        <v>0.39541980624198914</v>
      </c>
      <c r="S11" s="9">
        <v>3.5549696534872055E-2</v>
      </c>
    </row>
    <row r="12" spans="1:19" ht="18" thickBot="1" x14ac:dyDescent="0.25">
      <c r="A12" s="5" t="s">
        <v>10</v>
      </c>
      <c r="B12" s="2">
        <v>86012.4375</v>
      </c>
      <c r="C12" s="4" t="s">
        <v>216</v>
      </c>
      <c r="D12" s="4" t="s">
        <v>226</v>
      </c>
      <c r="E12" s="6">
        <v>3451335168</v>
      </c>
      <c r="F12" s="6">
        <v>40126</v>
      </c>
      <c r="G12" s="4" t="s">
        <v>244</v>
      </c>
      <c r="H12" s="7">
        <v>935414208</v>
      </c>
      <c r="I12" s="7">
        <v>922786304</v>
      </c>
      <c r="J12" s="7">
        <v>-3551342.5</v>
      </c>
      <c r="K12" s="7">
        <v>20421615616</v>
      </c>
      <c r="L12" s="7">
        <v>2515920896</v>
      </c>
      <c r="M12" s="8">
        <v>2996202240</v>
      </c>
      <c r="N12" s="9">
        <v>1.1858717203140259</v>
      </c>
      <c r="O12" s="9">
        <v>0.9476548433303833</v>
      </c>
      <c r="P12" s="9">
        <v>1.1433887481689453</v>
      </c>
      <c r="Q12" s="9">
        <v>0.9200471043586731</v>
      </c>
      <c r="R12" s="9">
        <v>0.26327311992645264</v>
      </c>
      <c r="S12" s="9">
        <v>2.8618786484003067E-2</v>
      </c>
    </row>
    <row r="13" spans="1:19" ht="18" thickBot="1" x14ac:dyDescent="0.25">
      <c r="A13" s="5" t="s">
        <v>8</v>
      </c>
      <c r="B13" s="2">
        <v>78176.6875</v>
      </c>
      <c r="C13" s="4" t="s">
        <v>216</v>
      </c>
      <c r="D13" s="4" t="s">
        <v>230</v>
      </c>
      <c r="E13" s="6">
        <v>56444116992</v>
      </c>
      <c r="F13" s="6">
        <v>722007</v>
      </c>
      <c r="G13" s="4" t="s">
        <v>242</v>
      </c>
      <c r="H13" s="7">
        <v>2939748096</v>
      </c>
      <c r="I13" s="7">
        <v>5833623552</v>
      </c>
      <c r="J13" s="7">
        <v>-3078755072</v>
      </c>
      <c r="K13" s="7">
        <v>219240808448</v>
      </c>
      <c r="L13" s="7">
        <v>53504368640</v>
      </c>
      <c r="M13" s="8">
        <v>63747710976</v>
      </c>
      <c r="N13" s="9">
        <v>0.68804395198822021</v>
      </c>
      <c r="O13" s="9">
        <v>0.54983025789260864</v>
      </c>
      <c r="P13" s="9">
        <v>0.76021993160247803</v>
      </c>
      <c r="Q13" s="9">
        <v>0.61172384023666382</v>
      </c>
      <c r="R13" s="9">
        <v>5.6573405861854553E-2</v>
      </c>
      <c r="S13" s="9">
        <v>-8.6227826774120331E-2</v>
      </c>
    </row>
    <row r="14" spans="1:19" ht="18" thickBot="1" x14ac:dyDescent="0.25">
      <c r="A14" s="5" t="s">
        <v>9</v>
      </c>
      <c r="B14" s="2">
        <v>73980.7421875</v>
      </c>
      <c r="C14" s="4" t="s">
        <v>216</v>
      </c>
      <c r="D14" s="4" t="s">
        <v>229</v>
      </c>
      <c r="E14" s="6">
        <v>1089588352</v>
      </c>
      <c r="F14" s="6">
        <v>14728</v>
      </c>
      <c r="G14" s="4" t="s">
        <v>243</v>
      </c>
      <c r="H14" s="7">
        <v>-37522536</v>
      </c>
      <c r="I14" s="7">
        <v>-41481160</v>
      </c>
      <c r="J14" s="7">
        <v>215969.9375</v>
      </c>
      <c r="K14" s="7">
        <v>-1905377792</v>
      </c>
      <c r="L14" s="7">
        <v>1127110784</v>
      </c>
      <c r="M14" s="8">
        <v>1328113792</v>
      </c>
      <c r="N14" s="9">
        <v>0.30965313315391541</v>
      </c>
      <c r="O14" s="9">
        <v>0.24745027720928192</v>
      </c>
      <c r="P14" s="9">
        <v>0.30789554119110107</v>
      </c>
      <c r="Q14" s="9">
        <v>0.2477533370256424</v>
      </c>
      <c r="R14" s="9">
        <v>-3.6218490451574326E-2</v>
      </c>
      <c r="S14" s="9">
        <v>-5.172111839056015E-2</v>
      </c>
    </row>
    <row r="15" spans="1:19" ht="18" thickBot="1" x14ac:dyDescent="0.25">
      <c r="A15" s="5" t="s">
        <v>12</v>
      </c>
      <c r="B15" s="2">
        <v>70146.8359375</v>
      </c>
      <c r="C15" s="4" t="s">
        <v>216</v>
      </c>
      <c r="D15" s="4" t="s">
        <v>226</v>
      </c>
      <c r="E15" s="6">
        <v>394440638464</v>
      </c>
      <c r="F15" s="6">
        <v>5623071</v>
      </c>
      <c r="G15" s="4" t="s">
        <v>246</v>
      </c>
      <c r="H15" s="7">
        <v>54407639040</v>
      </c>
      <c r="I15" s="7">
        <v>58597666816</v>
      </c>
      <c r="J15" s="7">
        <v>-5090467840</v>
      </c>
      <c r="K15" s="7">
        <v>1391783182336</v>
      </c>
      <c r="L15" s="7">
        <v>340032978944</v>
      </c>
      <c r="M15" s="8">
        <v>407300440064</v>
      </c>
      <c r="N15" s="9">
        <v>1.1006637811660767</v>
      </c>
      <c r="O15" s="9">
        <v>0.87956339120864868</v>
      </c>
      <c r="P15" s="9">
        <v>1.2998536825180054</v>
      </c>
      <c r="Q15" s="9">
        <v>1.0459492206573486</v>
      </c>
      <c r="R15" s="9">
        <v>0.13942356407642365</v>
      </c>
      <c r="S15" s="9">
        <v>-1.0783042758703232E-2</v>
      </c>
    </row>
    <row r="16" spans="1:19" ht="18" thickBot="1" x14ac:dyDescent="0.25">
      <c r="A16" s="5" t="s">
        <v>13</v>
      </c>
      <c r="B16" s="2">
        <v>69266.03125</v>
      </c>
      <c r="C16" s="4" t="s">
        <v>216</v>
      </c>
      <c r="D16" s="4" t="s">
        <v>231</v>
      </c>
      <c r="E16" s="6">
        <v>215825268736</v>
      </c>
      <c r="F16" s="6">
        <v>3115889</v>
      </c>
      <c r="G16" s="4" t="s">
        <v>247</v>
      </c>
      <c r="H16" s="7">
        <v>-6488829440</v>
      </c>
      <c r="I16" s="7">
        <v>-7464166912</v>
      </c>
      <c r="J16" s="7">
        <v>1703780224</v>
      </c>
      <c r="K16" s="7">
        <v>768799932416</v>
      </c>
      <c r="L16" s="7">
        <v>222314086400</v>
      </c>
      <c r="M16" s="8">
        <v>258561540096</v>
      </c>
      <c r="N16" s="9">
        <v>0.72564512491226196</v>
      </c>
      <c r="O16" s="9">
        <v>0.57987815141677856</v>
      </c>
      <c r="P16" s="9">
        <v>0.76322615146636963</v>
      </c>
      <c r="Q16" s="9">
        <v>0.61414283514022827</v>
      </c>
      <c r="R16" s="9">
        <v>-3.2755885273218155E-2</v>
      </c>
      <c r="S16" s="9">
        <v>-8.9495003223419189E-2</v>
      </c>
    </row>
    <row r="17" spans="1:19" ht="18" thickBot="1" x14ac:dyDescent="0.25">
      <c r="A17" s="5" t="s">
        <v>11</v>
      </c>
      <c r="B17" s="2">
        <v>67616.390625</v>
      </c>
      <c r="C17" s="4" t="s">
        <v>216</v>
      </c>
      <c r="D17" s="4" t="s">
        <v>226</v>
      </c>
      <c r="E17" s="6">
        <v>5687755264</v>
      </c>
      <c r="F17" s="6">
        <v>84118</v>
      </c>
      <c r="G17" s="4" t="s">
        <v>245</v>
      </c>
      <c r="H17" s="7">
        <v>194488832</v>
      </c>
      <c r="I17" s="7">
        <v>166905952</v>
      </c>
      <c r="J17" s="7">
        <v>-8018727.5</v>
      </c>
      <c r="K17" s="7">
        <v>9804697600</v>
      </c>
      <c r="L17" s="7">
        <v>5493266432</v>
      </c>
      <c r="M17" s="8">
        <v>6557000704</v>
      </c>
      <c r="N17" s="9">
        <v>1.2242249250411987</v>
      </c>
      <c r="O17" s="9">
        <v>0.97830367088317871</v>
      </c>
      <c r="P17" s="9">
        <v>1.1433887481689453</v>
      </c>
      <c r="Q17" s="9">
        <v>0.9200471043586731</v>
      </c>
      <c r="R17" s="9">
        <v>3.4415993839502335E-2</v>
      </c>
      <c r="S17" s="9">
        <v>-6.4831888303160667E-3</v>
      </c>
    </row>
    <row r="18" spans="1:19" ht="18" thickBot="1" x14ac:dyDescent="0.25">
      <c r="A18" s="5" t="s">
        <v>19</v>
      </c>
      <c r="B18" s="2">
        <v>60793.26953125</v>
      </c>
      <c r="C18" s="4" t="s">
        <v>216</v>
      </c>
      <c r="D18" s="4" t="s">
        <v>226</v>
      </c>
      <c r="E18" s="6">
        <v>322693038080</v>
      </c>
      <c r="F18" s="6">
        <v>5308039</v>
      </c>
      <c r="G18" s="4" t="s">
        <v>253</v>
      </c>
      <c r="H18" s="7">
        <v>-109084180480</v>
      </c>
      <c r="I18" s="7">
        <v>-109752860672</v>
      </c>
      <c r="J18" s="7">
        <v>-12367696</v>
      </c>
      <c r="K18" s="7">
        <v>-176088301568</v>
      </c>
      <c r="L18" s="7">
        <v>431777218560</v>
      </c>
      <c r="M18" s="8">
        <v>553287417856</v>
      </c>
      <c r="N18" s="9">
        <v>1.0893615484237671</v>
      </c>
      <c r="O18" s="9">
        <v>0.87053155899047852</v>
      </c>
      <c r="P18" s="9">
        <v>1.1051734685897827</v>
      </c>
      <c r="Q18" s="9">
        <v>0.88929653167724609</v>
      </c>
      <c r="R18" s="9">
        <v>-0.34172797203063965</v>
      </c>
      <c r="S18" s="9">
        <v>-1.0900311172008514E-2</v>
      </c>
    </row>
    <row r="19" spans="1:19" ht="18" thickBot="1" x14ac:dyDescent="0.25">
      <c r="A19" s="5" t="s">
        <v>16</v>
      </c>
      <c r="B19" s="2">
        <v>56006.61328125</v>
      </c>
      <c r="C19" s="4" t="s">
        <v>216</v>
      </c>
      <c r="D19" s="4" t="s">
        <v>230</v>
      </c>
      <c r="E19" s="6">
        <v>414229168128</v>
      </c>
      <c r="F19" s="6">
        <v>7396076</v>
      </c>
      <c r="G19" s="4" t="s">
        <v>250</v>
      </c>
      <c r="H19" s="7">
        <v>67642011648</v>
      </c>
      <c r="I19" s="7">
        <v>67060600832</v>
      </c>
      <c r="J19" s="7">
        <v>-824828096</v>
      </c>
      <c r="K19" s="7">
        <v>2341090361344</v>
      </c>
      <c r="L19" s="7">
        <v>346587136000</v>
      </c>
      <c r="M19" s="8">
        <v>408836931584</v>
      </c>
      <c r="N19" s="9">
        <v>0.8775559663772583</v>
      </c>
      <c r="O19" s="9">
        <v>0.70127320289611816</v>
      </c>
      <c r="P19" s="9">
        <v>0.93879401683807373</v>
      </c>
      <c r="Q19" s="9">
        <v>0.75541645288467407</v>
      </c>
      <c r="R19" s="9">
        <v>0.166205033659935</v>
      </c>
      <c r="S19" s="9">
        <v>-1.7813757061958313E-2</v>
      </c>
    </row>
    <row r="20" spans="1:19" ht="18" thickBot="1" x14ac:dyDescent="0.25">
      <c r="A20" s="5" t="s">
        <v>18</v>
      </c>
      <c r="B20" s="2">
        <v>55286.75390625</v>
      </c>
      <c r="C20" s="4" t="s">
        <v>216</v>
      </c>
      <c r="D20" s="4" t="s">
        <v>230</v>
      </c>
      <c r="E20" s="6">
        <v>1277831282688</v>
      </c>
      <c r="F20" s="6">
        <v>23112793</v>
      </c>
      <c r="G20" s="4" t="s">
        <v>252</v>
      </c>
      <c r="H20" s="7">
        <v>72230723584</v>
      </c>
      <c r="I20" s="7">
        <v>68840636416</v>
      </c>
      <c r="J20" s="7">
        <v>3342669312</v>
      </c>
      <c r="K20" s="7">
        <v>2431639617536</v>
      </c>
      <c r="L20" s="7">
        <v>1205600518144</v>
      </c>
      <c r="M20" s="8">
        <v>1425365925888</v>
      </c>
      <c r="N20" s="9">
        <v>0.58458149433135986</v>
      </c>
      <c r="O20" s="9">
        <v>0.4671512246131897</v>
      </c>
      <c r="P20" s="9">
        <v>0.64281713962554932</v>
      </c>
      <c r="Q20" s="9">
        <v>0.51725363731384277</v>
      </c>
      <c r="R20" s="9">
        <v>5.7481255382299423E-2</v>
      </c>
      <c r="S20" s="9">
        <v>-1.6898993402719498E-2</v>
      </c>
    </row>
    <row r="21" spans="1:19" ht="35" thickBot="1" x14ac:dyDescent="0.25">
      <c r="A21" s="5" t="s">
        <v>21</v>
      </c>
      <c r="B21" s="2">
        <v>53645.625</v>
      </c>
      <c r="C21" s="4" t="s">
        <v>216</v>
      </c>
      <c r="D21" s="4" t="s">
        <v>231</v>
      </c>
      <c r="E21" s="6">
        <v>608663240704</v>
      </c>
      <c r="F21" s="6">
        <v>11346000</v>
      </c>
      <c r="G21" s="4" t="s">
        <v>255</v>
      </c>
      <c r="H21" s="7">
        <v>24955222016</v>
      </c>
      <c r="I21" s="7">
        <v>10015153152</v>
      </c>
      <c r="J21" s="7">
        <v>10168030208</v>
      </c>
      <c r="K21" s="7">
        <v>1622354296832</v>
      </c>
      <c r="L21" s="7">
        <v>583707983872</v>
      </c>
      <c r="M21" s="8">
        <v>643060662272</v>
      </c>
      <c r="N21" s="9">
        <v>0.75419050455093384</v>
      </c>
      <c r="O21" s="9">
        <v>0.60268938541412354</v>
      </c>
      <c r="P21" s="9">
        <v>0.79947751760482788</v>
      </c>
      <c r="Q21" s="9">
        <v>0.64331305027008057</v>
      </c>
      <c r="R21" s="9">
        <v>4.797685518860817E-2</v>
      </c>
      <c r="S21" s="9">
        <v>-0.17016574740409851</v>
      </c>
    </row>
    <row r="22" spans="1:19" ht="35" thickBot="1" x14ac:dyDescent="0.25">
      <c r="A22" s="5" t="s">
        <v>15</v>
      </c>
      <c r="B22" s="2">
        <v>53241.34375</v>
      </c>
      <c r="C22" s="4" t="s">
        <v>216</v>
      </c>
      <c r="D22" s="4" t="s">
        <v>228</v>
      </c>
      <c r="E22" s="6">
        <v>24828035072</v>
      </c>
      <c r="F22" s="6">
        <v>466330</v>
      </c>
      <c r="G22" s="4" t="s">
        <v>249</v>
      </c>
      <c r="H22" s="7">
        <v>174702640</v>
      </c>
      <c r="I22" s="7">
        <v>-107593640</v>
      </c>
      <c r="J22" s="7">
        <v>108691464</v>
      </c>
      <c r="K22" s="7">
        <v>176605626368</v>
      </c>
      <c r="L22" s="7">
        <v>24653332480</v>
      </c>
      <c r="M22" s="8">
        <v>29255553024</v>
      </c>
      <c r="N22" s="9">
        <v>0.47829276323318481</v>
      </c>
      <c r="O22" s="9">
        <v>0.38221371173858643</v>
      </c>
      <c r="P22" s="9">
        <v>0.49245375394821167</v>
      </c>
      <c r="Q22" s="9">
        <v>0.39626121520996094</v>
      </c>
      <c r="R22" s="9">
        <v>7.2076981887221336E-3</v>
      </c>
      <c r="S22" s="9">
        <v>-2.4329006671905518E-2</v>
      </c>
    </row>
    <row r="23" spans="1:19" ht="18" thickBot="1" x14ac:dyDescent="0.25">
      <c r="A23" s="5" t="s">
        <v>14</v>
      </c>
      <c r="B23" s="2">
        <v>52952.41015625</v>
      </c>
      <c r="C23" s="4" t="s">
        <v>216</v>
      </c>
      <c r="D23" s="4" t="s">
        <v>229</v>
      </c>
      <c r="E23" s="6">
        <v>230819552</v>
      </c>
      <c r="F23" s="6">
        <v>4359</v>
      </c>
      <c r="G23" s="4" t="s">
        <v>248</v>
      </c>
      <c r="H23" s="7">
        <v>14634708</v>
      </c>
      <c r="I23" s="7">
        <v>14064420</v>
      </c>
      <c r="J23" s="7">
        <v>-186985.0625</v>
      </c>
      <c r="K23" s="7">
        <v>331913888</v>
      </c>
      <c r="L23" s="7">
        <v>216184832</v>
      </c>
      <c r="M23" s="8">
        <v>249957504</v>
      </c>
      <c r="N23" s="9">
        <v>0.29125028848648071</v>
      </c>
      <c r="O23" s="9">
        <v>0.23274415731430054</v>
      </c>
      <c r="P23" s="9">
        <v>0.30789554119110107</v>
      </c>
      <c r="Q23" s="9">
        <v>0.2477533370256424</v>
      </c>
      <c r="R23" s="9">
        <v>3.886166587471962E-2</v>
      </c>
      <c r="S23" s="9">
        <v>0.38707137107849121</v>
      </c>
    </row>
    <row r="24" spans="1:19" ht="18" thickBot="1" x14ac:dyDescent="0.25">
      <c r="A24" s="5" t="s">
        <v>27</v>
      </c>
      <c r="B24" s="2">
        <v>52539.0234375</v>
      </c>
      <c r="C24" s="4" t="s">
        <v>216</v>
      </c>
      <c r="D24" s="4" t="s">
        <v>229</v>
      </c>
      <c r="E24" s="6">
        <v>43921887232</v>
      </c>
      <c r="F24" s="6">
        <v>835986</v>
      </c>
      <c r="G24" s="4" t="s">
        <v>261</v>
      </c>
      <c r="H24" s="7">
        <v>-4868797440</v>
      </c>
      <c r="I24" s="7">
        <v>-4697016832</v>
      </c>
      <c r="J24" s="7">
        <v>-41050736</v>
      </c>
      <c r="K24" s="7">
        <v>2443980032</v>
      </c>
      <c r="L24" s="7">
        <v>48790683648</v>
      </c>
      <c r="M24" s="8">
        <v>55422115840</v>
      </c>
      <c r="N24" s="9">
        <v>0.41339284181594849</v>
      </c>
      <c r="O24" s="9">
        <v>0.33035081624984741</v>
      </c>
      <c r="P24" s="9">
        <v>0.53593277931213379</v>
      </c>
      <c r="Q24" s="9">
        <v>0.43124732375144958</v>
      </c>
      <c r="R24" s="9">
        <v>-0.10297738760709763</v>
      </c>
      <c r="S24" s="9">
        <v>7.1031220257282257E-2</v>
      </c>
    </row>
    <row r="25" spans="1:19" ht="18" thickBot="1" x14ac:dyDescent="0.25">
      <c r="A25" s="5" t="s">
        <v>20</v>
      </c>
      <c r="B25" s="2">
        <v>51844.79296875</v>
      </c>
      <c r="C25" s="4" t="s">
        <v>216</v>
      </c>
      <c r="D25" s="4" t="s">
        <v>226</v>
      </c>
      <c r="E25" s="6">
        <v>464913367040</v>
      </c>
      <c r="F25" s="6">
        <v>8967407</v>
      </c>
      <c r="G25" s="4" t="s">
        <v>254</v>
      </c>
      <c r="H25" s="7">
        <v>8693627904</v>
      </c>
      <c r="I25" s="7">
        <v>32192585728</v>
      </c>
      <c r="J25" s="7">
        <v>-25268776960</v>
      </c>
      <c r="K25" s="7">
        <v>744709226496</v>
      </c>
      <c r="L25" s="7">
        <v>456219754496</v>
      </c>
      <c r="M25" s="8">
        <v>595632652288</v>
      </c>
      <c r="N25" s="9">
        <v>1.5045982599258423</v>
      </c>
      <c r="O25" s="9">
        <v>1.2023558616638184</v>
      </c>
      <c r="P25" s="9">
        <v>1.4370357990264893</v>
      </c>
      <c r="Q25" s="9">
        <v>1.1563351154327393</v>
      </c>
      <c r="R25" s="9">
        <v>1.8899396061897278E-2</v>
      </c>
      <c r="S25" s="9">
        <v>-1.069224439561367E-2</v>
      </c>
    </row>
    <row r="26" spans="1:19" ht="18" thickBot="1" x14ac:dyDescent="0.25">
      <c r="A26" s="5" t="s">
        <v>22</v>
      </c>
      <c r="B26" s="2">
        <v>49940.40234375</v>
      </c>
      <c r="C26" s="4" t="s">
        <v>217</v>
      </c>
      <c r="D26" s="4" t="s">
        <v>227</v>
      </c>
      <c r="E26" s="6">
        <v>17343093669888</v>
      </c>
      <c r="F26" s="6">
        <v>347275807</v>
      </c>
      <c r="G26" s="4" t="s">
        <v>256</v>
      </c>
      <c r="H26" s="7">
        <v>-11440202752</v>
      </c>
      <c r="I26" s="7">
        <v>14772564992</v>
      </c>
      <c r="J26" s="7">
        <v>-8216933888</v>
      </c>
      <c r="K26" s="7">
        <v>-18117868650496</v>
      </c>
      <c r="L26" s="7">
        <v>17354533634048</v>
      </c>
      <c r="M26" s="8">
        <v>20860182200320</v>
      </c>
      <c r="N26" s="9">
        <v>1.2513751983642578</v>
      </c>
      <c r="O26" s="9">
        <v>1</v>
      </c>
      <c r="P26" s="9">
        <v>1.2427501678466797</v>
      </c>
      <c r="Q26" s="9">
        <v>1</v>
      </c>
      <c r="R26" s="9">
        <v>-6.6503859125077724E-4</v>
      </c>
      <c r="S26" s="9">
        <v>-8.1836944445967674E-3</v>
      </c>
    </row>
    <row r="27" spans="1:19" ht="18" thickBot="1" x14ac:dyDescent="0.25">
      <c r="A27" s="5" t="s">
        <v>17</v>
      </c>
      <c r="B27" s="2">
        <v>49726.015625</v>
      </c>
      <c r="C27" s="4" t="s">
        <v>217</v>
      </c>
      <c r="D27" s="4" t="s">
        <v>226</v>
      </c>
      <c r="E27" s="6">
        <v>298480762880</v>
      </c>
      <c r="F27" s="6">
        <v>6002507</v>
      </c>
      <c r="G27" s="4" t="s">
        <v>251</v>
      </c>
      <c r="H27" s="7">
        <v>14955675648</v>
      </c>
      <c r="I27" s="7">
        <v>16649918464</v>
      </c>
      <c r="J27" s="7">
        <v>-2020982144</v>
      </c>
      <c r="K27" s="7">
        <v>246620487680</v>
      </c>
      <c r="L27" s="7">
        <v>283525054464</v>
      </c>
      <c r="M27" s="8">
        <v>346681409536</v>
      </c>
      <c r="N27" s="9">
        <v>1.1820824146270752</v>
      </c>
      <c r="O27" s="9">
        <v>0.94462668895721436</v>
      </c>
      <c r="P27" s="9">
        <v>1.242978572845459</v>
      </c>
      <c r="Q27" s="9">
        <v>1.0001837015151978</v>
      </c>
      <c r="R27" s="9">
        <v>5.0754215568304062E-2</v>
      </c>
      <c r="S27" s="9">
        <v>-1.2936897575855255E-2</v>
      </c>
    </row>
    <row r="28" spans="1:19" ht="18" thickBot="1" x14ac:dyDescent="0.25">
      <c r="A28" s="5" t="s">
        <v>36</v>
      </c>
      <c r="B28" s="2">
        <v>48625.16796875</v>
      </c>
      <c r="C28" s="4" t="s">
        <v>217</v>
      </c>
      <c r="D28" s="4" t="s">
        <v>231</v>
      </c>
      <c r="E28" s="6">
        <v>1680793534464</v>
      </c>
      <c r="F28" s="6">
        <v>34566328</v>
      </c>
      <c r="G28" s="4" t="s">
        <v>270</v>
      </c>
      <c r="H28" s="7">
        <v>6024051200</v>
      </c>
      <c r="I28" s="7">
        <v>4382177280</v>
      </c>
      <c r="J28" s="7">
        <v>168976688</v>
      </c>
      <c r="K28" s="7">
        <v>2537999564800</v>
      </c>
      <c r="L28" s="7">
        <v>1674769465344</v>
      </c>
      <c r="M28" s="8">
        <v>1850257047552</v>
      </c>
      <c r="N28" s="9">
        <v>0.58542263507843018</v>
      </c>
      <c r="O28" s="9">
        <v>0.46782347559928894</v>
      </c>
      <c r="P28" s="9">
        <v>0.63278394937515259</v>
      </c>
      <c r="Q28" s="9">
        <v>0.50918030738830566</v>
      </c>
      <c r="R28" s="9">
        <v>3.6926909815520048E-3</v>
      </c>
      <c r="S28" s="9">
        <v>-3.0311748385429382E-2</v>
      </c>
    </row>
    <row r="29" spans="1:19" ht="18" thickBot="1" x14ac:dyDescent="0.25">
      <c r="A29" s="5" t="s">
        <v>23</v>
      </c>
      <c r="B29" s="2">
        <v>48456.48046875</v>
      </c>
      <c r="C29" s="4" t="s">
        <v>217</v>
      </c>
      <c r="D29" s="4" t="s">
        <v>227</v>
      </c>
      <c r="E29" s="6">
        <v>2701206528</v>
      </c>
      <c r="F29" s="6">
        <v>55745</v>
      </c>
      <c r="G29" s="4" t="s">
        <v>257</v>
      </c>
      <c r="H29" s="7">
        <v>-42820084</v>
      </c>
      <c r="I29" s="7">
        <v>-2913004.5</v>
      </c>
      <c r="J29" s="7">
        <v>-36173992</v>
      </c>
      <c r="K29" s="7">
        <v>-219607952</v>
      </c>
      <c r="L29" s="7">
        <v>2744026624</v>
      </c>
      <c r="M29" s="8">
        <v>3239292416</v>
      </c>
      <c r="N29" s="9">
        <v>1.0312045812606812</v>
      </c>
      <c r="O29" s="9">
        <v>0.82405698299407959</v>
      </c>
      <c r="P29" s="9">
        <v>1.0425169467926025</v>
      </c>
      <c r="Q29" s="9">
        <v>0.83887892961502075</v>
      </c>
      <c r="R29" s="9">
        <v>-1.6065383329987526E-2</v>
      </c>
      <c r="S29" s="9">
        <v>-1.344777550548315E-2</v>
      </c>
    </row>
    <row r="30" spans="1:19" ht="35" thickBot="1" x14ac:dyDescent="0.25">
      <c r="A30" s="5" t="s">
        <v>34</v>
      </c>
      <c r="B30" s="2">
        <v>48148.34765625</v>
      </c>
      <c r="C30" s="4" t="s">
        <v>217</v>
      </c>
      <c r="D30" s="4" t="s">
        <v>229</v>
      </c>
      <c r="E30" s="6">
        <v>1913030144</v>
      </c>
      <c r="F30" s="6">
        <v>39732</v>
      </c>
      <c r="G30" s="4" t="s">
        <v>268</v>
      </c>
      <c r="H30" s="7">
        <v>700184576</v>
      </c>
      <c r="I30" s="7">
        <v>672737728</v>
      </c>
      <c r="J30" s="7">
        <v>16836290</v>
      </c>
      <c r="K30" s="7">
        <v>495421227008</v>
      </c>
      <c r="L30" s="7">
        <v>1212845568</v>
      </c>
      <c r="M30" s="8">
        <v>1436089088</v>
      </c>
      <c r="N30" s="9">
        <v>1.1310545206069946</v>
      </c>
      <c r="O30" s="9">
        <v>0.90384924411773682</v>
      </c>
      <c r="P30" s="9">
        <v>1.1988177299499512</v>
      </c>
      <c r="Q30" s="9">
        <v>0.96464896202087402</v>
      </c>
      <c r="R30" s="9">
        <v>0.35860422253608704</v>
      </c>
      <c r="S30" s="9">
        <v>2.0228823646903038E-2</v>
      </c>
    </row>
    <row r="31" spans="1:19" ht="18" thickBot="1" x14ac:dyDescent="0.25">
      <c r="A31" s="5" t="s">
        <v>25</v>
      </c>
      <c r="B31" s="2">
        <v>47551.40234375</v>
      </c>
      <c r="C31" s="4" t="s">
        <v>217</v>
      </c>
      <c r="D31" s="4" t="s">
        <v>226</v>
      </c>
      <c r="E31" s="6">
        <v>872417001472</v>
      </c>
      <c r="F31" s="6">
        <v>18346819</v>
      </c>
      <c r="G31" s="4" t="s">
        <v>259</v>
      </c>
      <c r="H31" s="7">
        <v>17800804352</v>
      </c>
      <c r="I31" s="7">
        <v>27830310912</v>
      </c>
      <c r="J31" s="7">
        <v>-9409264640</v>
      </c>
      <c r="K31" s="7">
        <v>981308669952</v>
      </c>
      <c r="L31" s="7">
        <v>854616178688</v>
      </c>
      <c r="M31" s="8">
        <v>1023999541248</v>
      </c>
      <c r="N31" s="9">
        <v>1.1503196954727173</v>
      </c>
      <c r="O31" s="9">
        <v>0.91924446821212769</v>
      </c>
      <c r="P31" s="9">
        <v>1.0899457931518555</v>
      </c>
      <c r="Q31" s="9">
        <v>0.87704330682754517</v>
      </c>
      <c r="R31" s="9">
        <v>2.0593564957380295E-2</v>
      </c>
      <c r="S31" s="9">
        <v>-9.2901932075619698E-3</v>
      </c>
    </row>
    <row r="32" spans="1:19" ht="18" thickBot="1" x14ac:dyDescent="0.25">
      <c r="A32" s="5" t="s">
        <v>24</v>
      </c>
      <c r="B32" s="2">
        <v>45943.31640625</v>
      </c>
      <c r="C32" s="4" t="s">
        <v>217</v>
      </c>
      <c r="D32" s="4" t="s">
        <v>226</v>
      </c>
      <c r="E32" s="6">
        <v>3808884736</v>
      </c>
      <c r="F32" s="6">
        <v>82904</v>
      </c>
      <c r="G32" s="4" t="s">
        <v>258</v>
      </c>
      <c r="H32" s="7">
        <v>38275992</v>
      </c>
      <c r="I32" s="7">
        <v>111148728</v>
      </c>
      <c r="J32" s="7">
        <v>-87424640</v>
      </c>
      <c r="K32" s="7">
        <v>13404351488</v>
      </c>
      <c r="L32" s="7">
        <v>3770608640</v>
      </c>
      <c r="M32" s="8">
        <v>4455053824</v>
      </c>
      <c r="N32" s="9">
        <v>0.89317077398300171</v>
      </c>
      <c r="O32" s="9">
        <v>0.71375137567520142</v>
      </c>
      <c r="P32" s="9">
        <v>0.88863295316696167</v>
      </c>
      <c r="Q32" s="9">
        <v>0.71515297889709473</v>
      </c>
      <c r="R32" s="9">
        <v>9.8837325349450111E-3</v>
      </c>
      <c r="S32" s="9">
        <v>1.6459310427308083E-2</v>
      </c>
    </row>
    <row r="33" spans="1:19" ht="18" thickBot="1" x14ac:dyDescent="0.25">
      <c r="A33" s="5" t="s">
        <v>26</v>
      </c>
      <c r="B33" s="2">
        <v>45180.14453125</v>
      </c>
      <c r="C33" s="4" t="s">
        <v>217</v>
      </c>
      <c r="D33" s="4" t="s">
        <v>226</v>
      </c>
      <c r="E33" s="6">
        <v>481468219392</v>
      </c>
      <c r="F33" s="6">
        <v>10656633</v>
      </c>
      <c r="G33" s="4" t="s">
        <v>260</v>
      </c>
      <c r="H33" s="7">
        <v>40582922240</v>
      </c>
      <c r="I33" s="7">
        <v>38857187328</v>
      </c>
      <c r="J33" s="7">
        <v>1638181760</v>
      </c>
      <c r="K33" s="7">
        <v>359349583872</v>
      </c>
      <c r="L33" s="7">
        <v>440885313536</v>
      </c>
      <c r="M33" s="8">
        <v>533630156800</v>
      </c>
      <c r="N33" s="9">
        <v>1.1068054437637329</v>
      </c>
      <c r="O33" s="9">
        <v>0.8844713568687439</v>
      </c>
      <c r="P33" s="9">
        <v>1.2119104862213135</v>
      </c>
      <c r="Q33" s="9">
        <v>0.97518426179885864</v>
      </c>
      <c r="R33" s="9">
        <v>8.582218736410141E-2</v>
      </c>
      <c r="S33" s="9">
        <v>-1.8178422003984451E-2</v>
      </c>
    </row>
    <row r="34" spans="1:19" ht="18" thickBot="1" x14ac:dyDescent="0.25">
      <c r="A34" s="5" t="s">
        <v>28</v>
      </c>
      <c r="B34" s="2">
        <v>43639.5546875</v>
      </c>
      <c r="C34" s="4" t="s">
        <v>217</v>
      </c>
      <c r="D34" s="4" t="s">
        <v>226</v>
      </c>
      <c r="E34" s="6">
        <v>17380151296</v>
      </c>
      <c r="F34" s="6">
        <v>398266</v>
      </c>
      <c r="G34" s="4" t="s">
        <v>262</v>
      </c>
      <c r="H34" s="7">
        <v>199699264</v>
      </c>
      <c r="I34" s="7">
        <v>238343152</v>
      </c>
      <c r="J34" s="7">
        <v>-32230130</v>
      </c>
      <c r="K34" s="7">
        <v>9382137856</v>
      </c>
      <c r="L34" s="7">
        <v>17180452864</v>
      </c>
      <c r="M34" s="8">
        <v>21219508224</v>
      </c>
      <c r="N34" s="9">
        <v>1.6440726518630981</v>
      </c>
      <c r="O34" s="9">
        <v>1.3138126134872437</v>
      </c>
      <c r="P34" s="9">
        <v>1.3954097032546997</v>
      </c>
      <c r="Q34" s="9">
        <v>1.1228399276733398</v>
      </c>
      <c r="R34" s="9">
        <v>1.1723749339580536E-2</v>
      </c>
      <c r="S34" s="9">
        <v>-2.033700980246067E-2</v>
      </c>
    </row>
    <row r="35" spans="1:19" ht="18" thickBot="1" x14ac:dyDescent="0.25">
      <c r="A35" s="5" t="s">
        <v>38</v>
      </c>
      <c r="B35" s="2">
        <v>43172.1171875</v>
      </c>
      <c r="C35" s="4" t="s">
        <v>217</v>
      </c>
      <c r="D35" s="4" t="s">
        <v>231</v>
      </c>
      <c r="E35" s="6">
        <v>216986435584</v>
      </c>
      <c r="F35" s="6">
        <v>5026078</v>
      </c>
      <c r="G35" s="4" t="s">
        <v>272</v>
      </c>
      <c r="H35" s="7">
        <v>46328430592</v>
      </c>
      <c r="I35" s="7">
        <v>46570377216</v>
      </c>
      <c r="J35" s="7">
        <v>-14371115</v>
      </c>
      <c r="K35" s="7">
        <v>1570792669184</v>
      </c>
      <c r="L35" s="7">
        <v>170658004992</v>
      </c>
      <c r="M35" s="8">
        <v>185548537856</v>
      </c>
      <c r="N35" s="9">
        <v>0.72076541185379028</v>
      </c>
      <c r="O35" s="9">
        <v>0.57597863674163818</v>
      </c>
      <c r="P35" s="9">
        <v>0.83464992046356201</v>
      </c>
      <c r="Q35" s="9">
        <v>0.6716151237487793</v>
      </c>
      <c r="R35" s="9">
        <v>0.23797239363193512</v>
      </c>
      <c r="S35" s="9">
        <v>-0.11458083242177963</v>
      </c>
    </row>
    <row r="36" spans="1:19" ht="18" thickBot="1" x14ac:dyDescent="0.25">
      <c r="A36" s="5" t="s">
        <v>37</v>
      </c>
      <c r="B36" s="2">
        <v>42499.296875</v>
      </c>
      <c r="C36" s="4" t="s">
        <v>217</v>
      </c>
      <c r="D36" s="4" t="s">
        <v>226</v>
      </c>
      <c r="E36" s="6">
        <v>23179329536</v>
      </c>
      <c r="F36" s="6">
        <v>545405</v>
      </c>
      <c r="G36" s="4" t="s">
        <v>271</v>
      </c>
      <c r="H36" s="7">
        <v>-2152969984</v>
      </c>
      <c r="I36" s="7">
        <v>-1995490560</v>
      </c>
      <c r="J36" s="7">
        <v>-156012896</v>
      </c>
      <c r="K36" s="7">
        <v>92807413760</v>
      </c>
      <c r="L36" s="7">
        <v>25332299776</v>
      </c>
      <c r="M36" s="8">
        <v>29501081600</v>
      </c>
      <c r="N36" s="9">
        <v>0.83265602588653564</v>
      </c>
      <c r="O36" s="9">
        <v>0.66539281606674194</v>
      </c>
      <c r="P36" s="9">
        <v>0.83276891708374023</v>
      </c>
      <c r="Q36" s="9">
        <v>0.6701015830039978</v>
      </c>
      <c r="R36" s="9">
        <v>-9.7441449761390686E-2</v>
      </c>
      <c r="S36" s="9">
        <v>-4.9075283110141754E-2</v>
      </c>
    </row>
    <row r="37" spans="1:19" ht="18" thickBot="1" x14ac:dyDescent="0.25">
      <c r="A37" s="5" t="s">
        <v>35</v>
      </c>
      <c r="B37" s="2">
        <v>42166.84765625</v>
      </c>
      <c r="C37" s="4" t="s">
        <v>217</v>
      </c>
      <c r="D37" s="4" t="s">
        <v>227</v>
      </c>
      <c r="E37" s="6">
        <v>1692017360896</v>
      </c>
      <c r="F37" s="6">
        <v>40126723</v>
      </c>
      <c r="G37" s="4" t="s">
        <v>269</v>
      </c>
      <c r="H37" s="7">
        <v>49942441984</v>
      </c>
      <c r="I37" s="7">
        <v>51328880640</v>
      </c>
      <c r="J37" s="7">
        <v>321978624</v>
      </c>
      <c r="K37" s="7">
        <v>1417459924992</v>
      </c>
      <c r="L37" s="7">
        <v>1642074865664</v>
      </c>
      <c r="M37" s="8">
        <v>1918757896192</v>
      </c>
      <c r="N37" s="9">
        <v>1.0549728870391846</v>
      </c>
      <c r="O37" s="9">
        <v>0.84305083751678467</v>
      </c>
      <c r="P37" s="9">
        <v>1.1531673669815063</v>
      </c>
      <c r="Q37" s="9">
        <v>0.92791563272476196</v>
      </c>
      <c r="R37" s="9">
        <v>2.9568018391728401E-2</v>
      </c>
      <c r="S37" s="9">
        <v>-1.7451964085921645E-3</v>
      </c>
    </row>
    <row r="38" spans="1:19" ht="18" thickBot="1" x14ac:dyDescent="0.25">
      <c r="A38" s="5" t="s">
        <v>29</v>
      </c>
      <c r="B38" s="2">
        <v>42067.33203125</v>
      </c>
      <c r="C38" s="4" t="s">
        <v>217</v>
      </c>
      <c r="D38" s="4" t="s">
        <v>226</v>
      </c>
      <c r="E38" s="6">
        <v>494653046784</v>
      </c>
      <c r="F38" s="6">
        <v>11758603</v>
      </c>
      <c r="G38" s="4" t="s">
        <v>263</v>
      </c>
      <c r="H38" s="7">
        <v>13795623936</v>
      </c>
      <c r="I38" s="7">
        <v>8159789056</v>
      </c>
      <c r="J38" s="7">
        <v>6151263232</v>
      </c>
      <c r="K38" s="7">
        <v>380516270080</v>
      </c>
      <c r="L38" s="7">
        <v>480857423872</v>
      </c>
      <c r="M38" s="8">
        <v>600437096448</v>
      </c>
      <c r="N38" s="9">
        <v>1.058205246925354</v>
      </c>
      <c r="O38" s="9">
        <v>0.845633864402771</v>
      </c>
      <c r="P38" s="9">
        <v>1.0581691265106201</v>
      </c>
      <c r="Q38" s="9">
        <v>0.85147368907928467</v>
      </c>
      <c r="R38" s="9">
        <v>2.8262680396437645E-2</v>
      </c>
      <c r="S38" s="9">
        <v>-1.338083203881979E-2</v>
      </c>
    </row>
    <row r="39" spans="1:19" ht="18" thickBot="1" x14ac:dyDescent="0.25">
      <c r="A39" s="5" t="s">
        <v>30</v>
      </c>
      <c r="B39" s="2">
        <v>41797.78515625</v>
      </c>
      <c r="C39" s="4" t="s">
        <v>217</v>
      </c>
      <c r="D39" s="4" t="s">
        <v>226</v>
      </c>
      <c r="E39" s="6">
        <v>3514151993344</v>
      </c>
      <c r="F39" s="6">
        <v>84075075</v>
      </c>
      <c r="G39" s="4" t="s">
        <v>264</v>
      </c>
      <c r="H39" s="7">
        <v>156755509248</v>
      </c>
      <c r="I39" s="7">
        <v>153189744640</v>
      </c>
      <c r="J39" s="7">
        <v>5294990336</v>
      </c>
      <c r="K39" s="7">
        <v>2956728467456</v>
      </c>
      <c r="L39" s="7">
        <v>3357396697088</v>
      </c>
      <c r="M39" s="8">
        <v>4159195054080</v>
      </c>
      <c r="N39" s="9">
        <v>1.0649183988571167</v>
      </c>
      <c r="O39" s="9">
        <v>0.85099846124649048</v>
      </c>
      <c r="P39" s="9">
        <v>1.0387392044067383</v>
      </c>
      <c r="Q39" s="9">
        <v>0.83583903312683105</v>
      </c>
      <c r="R39" s="9">
        <v>4.515853151679039E-2</v>
      </c>
      <c r="S39" s="9">
        <v>-1.2366066686809063E-2</v>
      </c>
    </row>
    <row r="40" spans="1:19" ht="18" thickBot="1" x14ac:dyDescent="0.25">
      <c r="A40" s="5" t="s">
        <v>31</v>
      </c>
      <c r="B40" s="2">
        <v>41643.8515625</v>
      </c>
      <c r="C40" s="4" t="s">
        <v>217</v>
      </c>
      <c r="D40" s="4" t="s">
        <v>226</v>
      </c>
      <c r="E40" s="6">
        <v>1398067328</v>
      </c>
      <c r="F40" s="6">
        <v>33572</v>
      </c>
      <c r="G40" s="4" t="s">
        <v>265</v>
      </c>
      <c r="H40" s="7">
        <v>-147961200</v>
      </c>
      <c r="I40" s="7">
        <v>23823470</v>
      </c>
      <c r="J40" s="7">
        <v>-173669712</v>
      </c>
      <c r="K40" s="7">
        <v>3686761728</v>
      </c>
      <c r="L40" s="7">
        <v>1546028544</v>
      </c>
      <c r="M40" s="8">
        <v>1949309184</v>
      </c>
      <c r="N40" s="9">
        <v>1.0202703475952148</v>
      </c>
      <c r="O40" s="9">
        <v>0.81531929969787598</v>
      </c>
      <c r="P40" s="9">
        <v>1.0397462844848633</v>
      </c>
      <c r="Q40" s="9">
        <v>0.83676570653915405</v>
      </c>
      <c r="R40" s="9">
        <v>-0.10194867849349976</v>
      </c>
      <c r="S40" s="9">
        <v>3.6699358373880386E-2</v>
      </c>
    </row>
    <row r="41" spans="1:19" ht="18" thickBot="1" x14ac:dyDescent="0.25">
      <c r="A41" s="5" t="s">
        <v>32</v>
      </c>
      <c r="B41" s="2">
        <v>41639.875</v>
      </c>
      <c r="C41" s="4" t="s">
        <v>217</v>
      </c>
      <c r="D41" s="4" t="s">
        <v>227</v>
      </c>
      <c r="E41" s="6">
        <v>1123195027456</v>
      </c>
      <c r="F41" s="6">
        <v>26974026</v>
      </c>
      <c r="G41" s="4" t="s">
        <v>266</v>
      </c>
      <c r="H41" s="7">
        <v>-15623197696</v>
      </c>
      <c r="I41" s="7">
        <v>-7488288768</v>
      </c>
      <c r="J41" s="7">
        <v>-8308175360</v>
      </c>
      <c r="K41" s="7">
        <v>-240483680256</v>
      </c>
      <c r="L41" s="7">
        <v>1138818285568</v>
      </c>
      <c r="M41" s="8">
        <v>1377915371520</v>
      </c>
      <c r="N41" s="9">
        <v>1.1546173095703125</v>
      </c>
      <c r="O41" s="9">
        <v>0.92267876863479614</v>
      </c>
      <c r="P41" s="9">
        <v>1.3029632568359375</v>
      </c>
      <c r="Q41" s="9">
        <v>1.0484514236450195</v>
      </c>
      <c r="R41" s="9">
        <v>-1.3894003815948963E-2</v>
      </c>
      <c r="S41" s="9">
        <v>1.1215042322874069E-3</v>
      </c>
    </row>
    <row r="42" spans="1:19" ht="18" thickBot="1" x14ac:dyDescent="0.25">
      <c r="A42" s="5" t="s">
        <v>33</v>
      </c>
      <c r="B42" s="2">
        <v>41578.63671875</v>
      </c>
      <c r="C42" s="4" t="s">
        <v>217</v>
      </c>
      <c r="D42" s="4" t="s">
        <v>226</v>
      </c>
      <c r="E42" s="6">
        <v>378929971200</v>
      </c>
      <c r="F42" s="6">
        <v>9113574</v>
      </c>
      <c r="G42" s="4" t="s">
        <v>267</v>
      </c>
      <c r="H42" s="7">
        <v>4769600512</v>
      </c>
      <c r="I42" s="7">
        <v>8570793984</v>
      </c>
      <c r="J42" s="7">
        <v>-4158867968</v>
      </c>
      <c r="K42" s="7">
        <v>112344457216</v>
      </c>
      <c r="L42" s="7">
        <v>374160359424</v>
      </c>
      <c r="M42" s="8">
        <v>467525730304</v>
      </c>
      <c r="N42" s="9">
        <v>1.0983556509017944</v>
      </c>
      <c r="O42" s="9">
        <v>0.87771892547607422</v>
      </c>
      <c r="P42" s="9">
        <v>1.0588070154190063</v>
      </c>
      <c r="Q42" s="9">
        <v>0.85198700428009033</v>
      </c>
      <c r="R42" s="9">
        <v>1.2689827010035515E-2</v>
      </c>
      <c r="S42" s="9">
        <v>-8.1673841923475266E-3</v>
      </c>
    </row>
    <row r="43" spans="1:19" ht="18" thickBot="1" x14ac:dyDescent="0.25">
      <c r="A43" s="5" t="s">
        <v>40</v>
      </c>
      <c r="B43" s="2">
        <v>41425.03125</v>
      </c>
      <c r="C43" s="4" t="s">
        <v>217</v>
      </c>
      <c r="D43" s="4" t="s">
        <v>231</v>
      </c>
      <c r="E43" s="6">
        <v>68075077632</v>
      </c>
      <c r="F43" s="6">
        <v>1643332</v>
      </c>
      <c r="G43" s="4" t="s">
        <v>274</v>
      </c>
      <c r="H43" s="7">
        <v>-1771960960</v>
      </c>
      <c r="I43" s="7">
        <v>594062080</v>
      </c>
      <c r="J43" s="7">
        <v>-3219169536</v>
      </c>
      <c r="K43" s="7">
        <v>45436153856</v>
      </c>
      <c r="L43" s="7">
        <v>69847040000</v>
      </c>
      <c r="M43" s="8">
        <v>76565774336</v>
      </c>
      <c r="N43" s="9">
        <v>0.52396047115325928</v>
      </c>
      <c r="O43" s="9">
        <v>0.41870775818824768</v>
      </c>
      <c r="P43" s="9">
        <v>0.61392313241958618</v>
      </c>
      <c r="Q43" s="9">
        <v>0.49400362372398376</v>
      </c>
      <c r="R43" s="9">
        <v>-2.6953473687171936E-2</v>
      </c>
      <c r="S43" s="9">
        <v>-3.5496775060892105E-2</v>
      </c>
    </row>
    <row r="44" spans="1:19" ht="18" thickBot="1" x14ac:dyDescent="0.25">
      <c r="A44" s="5" t="s">
        <v>46</v>
      </c>
      <c r="B44" s="2">
        <v>38892.94921875</v>
      </c>
      <c r="C44" s="4" t="s">
        <v>217</v>
      </c>
      <c r="D44" s="4" t="s">
        <v>229</v>
      </c>
      <c r="E44" s="6">
        <v>125829931008</v>
      </c>
      <c r="F44" s="6">
        <v>3235289</v>
      </c>
      <c r="G44" s="4" t="s">
        <v>280</v>
      </c>
      <c r="H44" s="7">
        <v>23275059200</v>
      </c>
      <c r="I44" s="7">
        <v>21824759808</v>
      </c>
      <c r="J44" s="7">
        <v>758122432</v>
      </c>
      <c r="K44" s="7">
        <v>978275205120</v>
      </c>
      <c r="L44" s="7">
        <v>102554869760</v>
      </c>
      <c r="M44" s="8">
        <v>111786508288</v>
      </c>
      <c r="N44" s="9">
        <v>0.96030038595199585</v>
      </c>
      <c r="O44" s="9">
        <v>0.76739603281021118</v>
      </c>
      <c r="P44" s="9">
        <v>0.99945473670959473</v>
      </c>
      <c r="Q44" s="9">
        <v>0.80422812700271606</v>
      </c>
      <c r="R44" s="9">
        <v>0.18056057393550873</v>
      </c>
      <c r="S44" s="9">
        <v>2.3851072415709496E-2</v>
      </c>
    </row>
    <row r="45" spans="1:19" ht="18" thickBot="1" x14ac:dyDescent="0.25">
      <c r="A45" s="5" t="s">
        <v>42</v>
      </c>
      <c r="B45" s="2">
        <v>38013.41015625</v>
      </c>
      <c r="C45" s="4" t="s">
        <v>217</v>
      </c>
      <c r="D45" s="4" t="s">
        <v>226</v>
      </c>
      <c r="E45" s="6">
        <v>2643883196416</v>
      </c>
      <c r="F45" s="6">
        <v>69551332</v>
      </c>
      <c r="G45" s="4" t="s">
        <v>276</v>
      </c>
      <c r="H45" s="7">
        <v>41207562240</v>
      </c>
      <c r="I45" s="7">
        <v>41902514176</v>
      </c>
      <c r="J45" s="7">
        <v>-236219664</v>
      </c>
      <c r="K45" s="7">
        <v>137028608000</v>
      </c>
      <c r="L45" s="7">
        <v>2602675470336</v>
      </c>
      <c r="M45" s="8">
        <v>2977123532800</v>
      </c>
      <c r="N45" s="9">
        <v>1.1858717203140259</v>
      </c>
      <c r="O45" s="9">
        <v>0.9476548433303833</v>
      </c>
      <c r="P45" s="9">
        <v>1.1433887481689453</v>
      </c>
      <c r="Q45" s="9">
        <v>0.9200471043586731</v>
      </c>
      <c r="R45" s="9">
        <v>1.5667485073208809E-2</v>
      </c>
      <c r="S45" s="9">
        <v>-5.2281012758612633E-3</v>
      </c>
    </row>
    <row r="46" spans="1:19" ht="18" thickBot="1" x14ac:dyDescent="0.25">
      <c r="A46" s="5" t="s">
        <v>39</v>
      </c>
      <c r="B46" s="2">
        <v>37176.3515625</v>
      </c>
      <c r="C46" s="4" t="s">
        <v>217</v>
      </c>
      <c r="D46" s="4" t="s">
        <v>226</v>
      </c>
      <c r="E46" s="6">
        <v>2561380712448</v>
      </c>
      <c r="F46" s="6">
        <v>68898116</v>
      </c>
      <c r="G46" s="4" t="s">
        <v>273</v>
      </c>
      <c r="H46" s="7">
        <v>93649076224</v>
      </c>
      <c r="I46" s="7">
        <v>52883337216</v>
      </c>
      <c r="J46" s="7">
        <v>37299658752</v>
      </c>
      <c r="K46" s="7">
        <v>-575836520448</v>
      </c>
      <c r="L46" s="7">
        <v>2467731603456</v>
      </c>
      <c r="M46" s="8">
        <v>3040561332224</v>
      </c>
      <c r="N46" s="9">
        <v>0.99082297086715698</v>
      </c>
      <c r="O46" s="9">
        <v>0.79178732633590698</v>
      </c>
      <c r="P46" s="9">
        <v>1.0346941947937012</v>
      </c>
      <c r="Q46" s="9">
        <v>0.83258414268493652</v>
      </c>
      <c r="R46" s="9">
        <v>3.7295352667570114E-2</v>
      </c>
      <c r="S46" s="9">
        <v>-2.0059177652001381E-2</v>
      </c>
    </row>
    <row r="47" spans="1:19" ht="18" thickBot="1" x14ac:dyDescent="0.25">
      <c r="A47" s="5" t="s">
        <v>41</v>
      </c>
      <c r="B47" s="2">
        <v>36963.30078125</v>
      </c>
      <c r="C47" s="4" t="s">
        <v>217</v>
      </c>
      <c r="D47" s="4" t="s">
        <v>226</v>
      </c>
      <c r="E47" s="6">
        <v>207856795648</v>
      </c>
      <c r="F47" s="6">
        <v>5623329</v>
      </c>
      <c r="G47" s="4" t="s">
        <v>275</v>
      </c>
      <c r="H47" s="7">
        <v>6601549824</v>
      </c>
      <c r="I47" s="7">
        <v>6589093376</v>
      </c>
      <c r="J47" s="7">
        <v>-95057760</v>
      </c>
      <c r="K47" s="7">
        <v>69323489280</v>
      </c>
      <c r="L47" s="7">
        <v>201255239680</v>
      </c>
      <c r="M47" s="8">
        <v>250745323520</v>
      </c>
      <c r="N47" s="9">
        <v>1.118822455406189</v>
      </c>
      <c r="O47" s="9">
        <v>0.89407438039779663</v>
      </c>
      <c r="P47" s="9">
        <v>1.1619744300842285</v>
      </c>
      <c r="Q47" s="9">
        <v>0.93500232696533203</v>
      </c>
      <c r="R47" s="9">
        <v>3.1987369060516357E-2</v>
      </c>
      <c r="S47" s="9">
        <v>-7.1562454104423523E-3</v>
      </c>
    </row>
    <row r="48" spans="1:19" ht="18" thickBot="1" x14ac:dyDescent="0.25">
      <c r="A48" s="5" t="s">
        <v>45</v>
      </c>
      <c r="B48" s="2">
        <v>35047.71875</v>
      </c>
      <c r="C48" s="4" t="s">
        <v>218</v>
      </c>
      <c r="D48" s="4" t="s">
        <v>230</v>
      </c>
      <c r="E48" s="6">
        <v>1810811453440</v>
      </c>
      <c r="F48" s="6">
        <v>51667029</v>
      </c>
      <c r="G48" s="4" t="s">
        <v>279</v>
      </c>
      <c r="H48" s="7">
        <v>18022424576</v>
      </c>
      <c r="I48" s="7">
        <v>16913319936</v>
      </c>
      <c r="J48" s="7">
        <v>831316096</v>
      </c>
      <c r="K48" s="7">
        <v>1380795547648</v>
      </c>
      <c r="L48" s="7">
        <v>1792789053440</v>
      </c>
      <c r="M48" s="8">
        <v>2264694259712</v>
      </c>
      <c r="N48" s="9">
        <v>0.73212659358978271</v>
      </c>
      <c r="O48" s="9">
        <v>0.58505761623382568</v>
      </c>
      <c r="P48" s="9">
        <v>0.90154021978378296</v>
      </c>
      <c r="Q48" s="9">
        <v>0.72543954849243164</v>
      </c>
      <c r="R48" s="9">
        <v>1.005121972411871E-2</v>
      </c>
      <c r="S48" s="9">
        <v>-9.9009629338979721E-3</v>
      </c>
    </row>
    <row r="49" spans="1:19" ht="18" thickBot="1" x14ac:dyDescent="0.25">
      <c r="A49" s="5" t="s">
        <v>44</v>
      </c>
      <c r="B49" s="2">
        <v>34700.18359375</v>
      </c>
      <c r="C49" s="4" t="s">
        <v>218</v>
      </c>
      <c r="D49" s="4" t="s">
        <v>226</v>
      </c>
      <c r="E49" s="6">
        <v>2052386062336</v>
      </c>
      <c r="F49" s="6">
        <v>59146260</v>
      </c>
      <c r="G49" s="4" t="s">
        <v>278</v>
      </c>
      <c r="H49" s="7">
        <v>-1972779520</v>
      </c>
      <c r="I49" s="7">
        <v>-9575435264</v>
      </c>
      <c r="J49" s="7">
        <v>6797765632</v>
      </c>
      <c r="K49" s="7">
        <v>222239571968</v>
      </c>
      <c r="L49" s="7">
        <v>2054358827008</v>
      </c>
      <c r="M49" s="8">
        <v>2499950673920</v>
      </c>
      <c r="N49" s="9">
        <v>0.90017342567443848</v>
      </c>
      <c r="O49" s="9">
        <v>0.71934735774993896</v>
      </c>
      <c r="P49" s="9">
        <v>0.91918003559112549</v>
      </c>
      <c r="Q49" s="9">
        <v>0.73963373899459839</v>
      </c>
      <c r="R49" s="9">
        <v>-9.7188958898186684E-4</v>
      </c>
      <c r="S49" s="9">
        <v>-1.1107780039310455E-2</v>
      </c>
    </row>
    <row r="50" spans="1:19" ht="18" thickBot="1" x14ac:dyDescent="0.25">
      <c r="A50" s="5" t="s">
        <v>43</v>
      </c>
      <c r="B50" s="2">
        <v>33692.60546875</v>
      </c>
      <c r="C50" s="4" t="s">
        <v>218</v>
      </c>
      <c r="D50" s="4" t="s">
        <v>231</v>
      </c>
      <c r="E50" s="6">
        <v>320658636800</v>
      </c>
      <c r="F50" s="6">
        <v>9517181</v>
      </c>
      <c r="G50" s="4" t="s">
        <v>277</v>
      </c>
      <c r="H50" s="7">
        <v>-11641687040</v>
      </c>
      <c r="I50" s="7">
        <v>-9435320320</v>
      </c>
      <c r="J50" s="7">
        <v>-2039566848</v>
      </c>
      <c r="K50" s="7">
        <v>165887180800</v>
      </c>
      <c r="L50" s="7">
        <v>332300320768</v>
      </c>
      <c r="M50" s="8">
        <v>387228827648</v>
      </c>
      <c r="N50" s="9">
        <v>1.3717828989028931</v>
      </c>
      <c r="O50" s="9">
        <v>1.0962202548980713</v>
      </c>
      <c r="P50" s="9">
        <v>1.4072086811065674</v>
      </c>
      <c r="Q50" s="9">
        <v>1.1323342323303223</v>
      </c>
      <c r="R50" s="9">
        <v>-3.5418860614299774E-2</v>
      </c>
      <c r="S50" s="9">
        <v>2.4422841146588326E-2</v>
      </c>
    </row>
    <row r="51" spans="1:19" ht="18" thickBot="1" x14ac:dyDescent="0.25">
      <c r="A51" s="5" t="s">
        <v>49</v>
      </c>
      <c r="B51" s="2">
        <v>33533.67578125</v>
      </c>
      <c r="C51" s="4" t="s">
        <v>218</v>
      </c>
      <c r="D51" s="4" t="s">
        <v>226</v>
      </c>
      <c r="E51" s="6">
        <v>1605926256640</v>
      </c>
      <c r="F51" s="6">
        <v>47889958</v>
      </c>
      <c r="G51" s="4" t="s">
        <v>283</v>
      </c>
      <c r="H51" s="7">
        <v>-3531272192</v>
      </c>
      <c r="I51" s="7">
        <v>-10480754688</v>
      </c>
      <c r="J51" s="7">
        <v>4963828224</v>
      </c>
      <c r="K51" s="7">
        <v>-567480745984</v>
      </c>
      <c r="L51" s="7">
        <v>1609457467392</v>
      </c>
      <c r="M51" s="8">
        <v>1927058423808</v>
      </c>
      <c r="N51" s="9">
        <v>0.87393677234649658</v>
      </c>
      <c r="O51" s="9">
        <v>0.69838112592697144</v>
      </c>
      <c r="P51" s="9">
        <v>0.8649631142616272</v>
      </c>
      <c r="Q51" s="9">
        <v>0.69600719213485718</v>
      </c>
      <c r="R51" s="9">
        <v>-2.2066195961087942E-3</v>
      </c>
      <c r="S51" s="9">
        <v>-3.5104032140225172E-3</v>
      </c>
    </row>
    <row r="52" spans="1:19" ht="18" thickBot="1" x14ac:dyDescent="0.25">
      <c r="A52" s="5" t="s">
        <v>51</v>
      </c>
      <c r="B52" s="2">
        <v>32442.92578125</v>
      </c>
      <c r="C52" s="4" t="s">
        <v>218</v>
      </c>
      <c r="D52" s="4" t="s">
        <v>227</v>
      </c>
      <c r="E52" s="6">
        <v>170386964480</v>
      </c>
      <c r="F52" s="6">
        <v>5251899</v>
      </c>
      <c r="G52" s="4" t="s">
        <v>285</v>
      </c>
      <c r="H52" s="7">
        <v>-3129572096</v>
      </c>
      <c r="I52" s="7">
        <v>-2766948864</v>
      </c>
      <c r="J52" s="7">
        <v>-327232128</v>
      </c>
      <c r="K52" s="7">
        <v>-88872460288</v>
      </c>
      <c r="L52" s="7">
        <v>173516537856</v>
      </c>
      <c r="M52" s="8">
        <v>206031519744</v>
      </c>
      <c r="N52" s="9">
        <v>1.1350895166397095</v>
      </c>
      <c r="O52" s="9">
        <v>0.90707367658615112</v>
      </c>
      <c r="P52" s="9">
        <v>1.2865813970565796</v>
      </c>
      <c r="Q52" s="9">
        <v>1.0352694988250732</v>
      </c>
      <c r="R52" s="9">
        <v>-1.8404252827167511E-2</v>
      </c>
      <c r="S52" s="9">
        <v>-2.0043489057570696E-3</v>
      </c>
    </row>
    <row r="53" spans="1:19" ht="18" thickBot="1" x14ac:dyDescent="0.25">
      <c r="A53" s="5" t="s">
        <v>48</v>
      </c>
      <c r="B53" s="2">
        <v>32367.83984375</v>
      </c>
      <c r="C53" s="4" t="s">
        <v>218</v>
      </c>
      <c r="D53" s="4" t="s">
        <v>226</v>
      </c>
      <c r="E53" s="6">
        <v>91605647360</v>
      </c>
      <c r="F53" s="6">
        <v>2830144</v>
      </c>
      <c r="G53" s="4" t="s">
        <v>282</v>
      </c>
      <c r="H53" s="7">
        <v>-3556497408</v>
      </c>
      <c r="I53" s="7">
        <v>-3750057216</v>
      </c>
      <c r="J53" s="7">
        <v>-30024954</v>
      </c>
      <c r="K53" s="7">
        <v>3062113280</v>
      </c>
      <c r="L53" s="7">
        <v>95162146816</v>
      </c>
      <c r="M53" s="8">
        <v>111211560960</v>
      </c>
      <c r="N53" s="9">
        <v>0.75016492605209351</v>
      </c>
      <c r="O53" s="9">
        <v>0.59947246313095093</v>
      </c>
      <c r="P53" s="9">
        <v>0.64666968584060669</v>
      </c>
      <c r="Q53" s="9">
        <v>0.52035367488861084</v>
      </c>
      <c r="R53" s="9">
        <v>-3.9049778133630753E-2</v>
      </c>
      <c r="S53" s="9">
        <v>-5.8154715225100517E-3</v>
      </c>
    </row>
    <row r="54" spans="1:19" ht="18" thickBot="1" x14ac:dyDescent="0.25">
      <c r="A54" s="5" t="s">
        <v>47</v>
      </c>
      <c r="B54" s="2">
        <v>31132.728515625</v>
      </c>
      <c r="C54" s="4" t="s">
        <v>218</v>
      </c>
      <c r="D54" s="4" t="s">
        <v>232</v>
      </c>
      <c r="E54" s="6">
        <v>39485018112</v>
      </c>
      <c r="F54" s="6">
        <v>1268280</v>
      </c>
      <c r="G54" s="4" t="s">
        <v>281</v>
      </c>
      <c r="H54" s="7">
        <v>17303664640</v>
      </c>
      <c r="I54" s="7">
        <v>17228566528</v>
      </c>
      <c r="J54" s="7">
        <v>-11728382</v>
      </c>
      <c r="K54" s="7">
        <v>140211879936</v>
      </c>
      <c r="L54" s="7">
        <v>22181351424</v>
      </c>
      <c r="M54" s="8">
        <v>28154470400</v>
      </c>
      <c r="N54" s="9">
        <v>0.49744701385498047</v>
      </c>
      <c r="O54" s="9">
        <v>0.3975202739238739</v>
      </c>
      <c r="P54" s="9">
        <v>0.4956759512424469</v>
      </c>
      <c r="Q54" s="9">
        <v>0.39885404706001282</v>
      </c>
      <c r="R54" s="9">
        <v>0.46834099292755127</v>
      </c>
      <c r="S54" s="9">
        <v>-6.8701498210430145E-2</v>
      </c>
    </row>
    <row r="55" spans="1:19" ht="18" thickBot="1" x14ac:dyDescent="0.25">
      <c r="A55" s="5" t="s">
        <v>53</v>
      </c>
      <c r="B55" s="2">
        <v>31116.650390625</v>
      </c>
      <c r="C55" s="4" t="s">
        <v>218</v>
      </c>
      <c r="D55" s="4" t="s">
        <v>226</v>
      </c>
      <c r="E55" s="6">
        <v>65876189184</v>
      </c>
      <c r="F55" s="6">
        <v>2117072</v>
      </c>
      <c r="G55" s="4" t="s">
        <v>287</v>
      </c>
      <c r="H55" s="7">
        <v>-297383968</v>
      </c>
      <c r="I55" s="7">
        <v>-715846848</v>
      </c>
      <c r="J55" s="7">
        <v>318400064</v>
      </c>
      <c r="K55" s="7">
        <v>9864999936</v>
      </c>
      <c r="L55" s="7">
        <v>66173575168</v>
      </c>
      <c r="M55" s="8">
        <v>82711101440</v>
      </c>
      <c r="N55" s="9">
        <v>0.84650874137878418</v>
      </c>
      <c r="O55" s="9">
        <v>0.67646276950836182</v>
      </c>
      <c r="P55" s="9">
        <v>0.79001098871231079</v>
      </c>
      <c r="Q55" s="9">
        <v>0.6356956958770752</v>
      </c>
      <c r="R55" s="9">
        <v>-4.5614326372742653E-3</v>
      </c>
      <c r="S55" s="9">
        <v>-1.0443858802318573E-2</v>
      </c>
    </row>
    <row r="56" spans="1:19" ht="18" thickBot="1" x14ac:dyDescent="0.25">
      <c r="A56" s="5" t="s">
        <v>54</v>
      </c>
      <c r="B56" s="2">
        <v>30406.166015625</v>
      </c>
      <c r="C56" s="4" t="s">
        <v>218</v>
      </c>
      <c r="D56" s="4" t="s">
        <v>229</v>
      </c>
      <c r="E56" s="6">
        <v>3288335616</v>
      </c>
      <c r="F56" s="6">
        <v>108147</v>
      </c>
      <c r="G56" s="4" t="s">
        <v>288</v>
      </c>
      <c r="H56" s="7">
        <v>-87822128</v>
      </c>
      <c r="I56" s="7">
        <v>-92193984</v>
      </c>
      <c r="J56" s="7">
        <v>-13582389</v>
      </c>
      <c r="K56" s="7">
        <v>-3025936640</v>
      </c>
      <c r="L56" s="7">
        <v>3376157696</v>
      </c>
      <c r="M56" s="8">
        <v>3799039232</v>
      </c>
      <c r="N56" s="9">
        <v>0.98233705759048462</v>
      </c>
      <c r="O56" s="9">
        <v>0.78500598669052124</v>
      </c>
      <c r="P56" s="9">
        <v>0.94695746898651123</v>
      </c>
      <c r="Q56" s="9">
        <v>0.76198524236679077</v>
      </c>
      <c r="R56" s="9">
        <v>-2.7750702574849129E-2</v>
      </c>
      <c r="S56" s="9">
        <v>-3.9073310792446136E-2</v>
      </c>
    </row>
    <row r="57" spans="1:19" ht="18" thickBot="1" x14ac:dyDescent="0.25">
      <c r="A57" s="5" t="s">
        <v>50</v>
      </c>
      <c r="B57" s="2">
        <v>30128.580078125</v>
      </c>
      <c r="C57" s="4" t="s">
        <v>218</v>
      </c>
      <c r="D57" s="4" t="s">
        <v>230</v>
      </c>
      <c r="E57" s="6">
        <v>3708933111808</v>
      </c>
      <c r="F57" s="6">
        <v>123103479</v>
      </c>
      <c r="G57" s="4" t="s">
        <v>284</v>
      </c>
      <c r="H57" s="7">
        <v>300754698240</v>
      </c>
      <c r="I57" s="7">
        <v>297561489408</v>
      </c>
      <c r="J57" s="7">
        <v>2843746048</v>
      </c>
      <c r="K57" s="7">
        <v>3509437595648</v>
      </c>
      <c r="L57" s="7">
        <v>3408178446336</v>
      </c>
      <c r="M57" s="8">
        <v>4492491227136</v>
      </c>
      <c r="N57" s="9">
        <v>0.8198128342628479</v>
      </c>
      <c r="O57" s="9">
        <v>0.65512955188751221</v>
      </c>
      <c r="P57" s="9">
        <v>1.1233712434768677</v>
      </c>
      <c r="Q57" s="9">
        <v>0.90393966436386108</v>
      </c>
      <c r="R57" s="9">
        <v>8.1823959946632385E-2</v>
      </c>
      <c r="S57" s="9">
        <v>-9.0601472184062004E-3</v>
      </c>
    </row>
    <row r="58" spans="1:19" ht="35" thickBot="1" x14ac:dyDescent="0.25">
      <c r="A58" s="5" t="s">
        <v>52</v>
      </c>
      <c r="B58" s="2">
        <v>29758.982421875</v>
      </c>
      <c r="C58" s="4" t="s">
        <v>218</v>
      </c>
      <c r="D58" s="4" t="s">
        <v>229</v>
      </c>
      <c r="E58" s="6">
        <v>1307103744</v>
      </c>
      <c r="F58" s="6">
        <v>43923</v>
      </c>
      <c r="G58" s="4" t="s">
        <v>286</v>
      </c>
      <c r="H58" s="7">
        <v>-43259172</v>
      </c>
      <c r="I58" s="7">
        <v>-13494740</v>
      </c>
      <c r="J58" s="7">
        <v>-29722232</v>
      </c>
      <c r="K58" s="7">
        <v>-858393472</v>
      </c>
      <c r="L58" s="7">
        <v>1350362880</v>
      </c>
      <c r="M58" s="8">
        <v>1579143808</v>
      </c>
      <c r="N58" s="9">
        <v>0.95968818664550781</v>
      </c>
      <c r="O58" s="9">
        <v>0.76690685749053955</v>
      </c>
      <c r="P58" s="9">
        <v>0.99858081340789795</v>
      </c>
      <c r="Q58" s="9">
        <v>0.80352491140365601</v>
      </c>
      <c r="R58" s="9">
        <v>-3.6091599613428116E-2</v>
      </c>
      <c r="S58" s="9">
        <v>-9.0530857443809509E-2</v>
      </c>
    </row>
    <row r="59" spans="1:19" ht="18" thickBot="1" x14ac:dyDescent="0.25">
      <c r="A59" s="5" t="s">
        <v>55</v>
      </c>
      <c r="B59" s="2">
        <v>29576.17578125</v>
      </c>
      <c r="C59" s="4" t="s">
        <v>218</v>
      </c>
      <c r="D59" s="4" t="s">
        <v>226</v>
      </c>
      <c r="E59" s="6">
        <v>1128062255104</v>
      </c>
      <c r="F59" s="6">
        <v>38140910</v>
      </c>
      <c r="G59" s="4" t="s">
        <v>289</v>
      </c>
      <c r="H59" s="7">
        <v>-63005200384</v>
      </c>
      <c r="I59" s="7">
        <v>-64555945984</v>
      </c>
      <c r="J59" s="7">
        <v>-631482176</v>
      </c>
      <c r="K59" s="7">
        <v>-380708126720</v>
      </c>
      <c r="L59" s="7">
        <v>1191067385856</v>
      </c>
      <c r="M59" s="8">
        <v>1355622121472</v>
      </c>
      <c r="N59" s="9">
        <v>0.61017525196075439</v>
      </c>
      <c r="O59" s="9">
        <v>0.48760375380516052</v>
      </c>
      <c r="P59" s="9">
        <v>0.5640408992767334</v>
      </c>
      <c r="Q59" s="9">
        <v>0.45386505126953125</v>
      </c>
      <c r="R59" s="9">
        <v>-5.58607317507267E-2</v>
      </c>
      <c r="S59" s="9">
        <v>-1.457359321648255E-4</v>
      </c>
    </row>
    <row r="60" spans="1:19" ht="18" thickBot="1" x14ac:dyDescent="0.25">
      <c r="A60" s="5" t="s">
        <v>60</v>
      </c>
      <c r="B60" s="2">
        <v>29258.501953125</v>
      </c>
      <c r="C60" s="4" t="s">
        <v>218</v>
      </c>
      <c r="D60" s="4" t="s">
        <v>226</v>
      </c>
      <c r="E60" s="6">
        <v>112591396864</v>
      </c>
      <c r="F60" s="6">
        <v>3848160</v>
      </c>
      <c r="G60" s="4" t="s">
        <v>294</v>
      </c>
      <c r="H60" s="7">
        <v>-301986592</v>
      </c>
      <c r="I60" s="7">
        <v>-3968411904</v>
      </c>
      <c r="J60" s="7">
        <v>3127349760</v>
      </c>
      <c r="K60" s="7">
        <v>-25365547008</v>
      </c>
      <c r="L60" s="7">
        <v>112893386752</v>
      </c>
      <c r="M60" s="8">
        <v>135693443072</v>
      </c>
      <c r="N60" s="9">
        <v>0.68968135118484497</v>
      </c>
      <c r="O60" s="9">
        <v>0.55113875865936279</v>
      </c>
      <c r="P60" s="9">
        <v>0.59864872694015503</v>
      </c>
      <c r="Q60" s="9">
        <v>0.48171275854110718</v>
      </c>
      <c r="R60" s="9">
        <v>-2.6408371049910784E-3</v>
      </c>
      <c r="S60" s="9">
        <v>1.5401509590446949E-2</v>
      </c>
    </row>
    <row r="61" spans="1:19" ht="18" thickBot="1" x14ac:dyDescent="0.25">
      <c r="A61" s="5" t="s">
        <v>57</v>
      </c>
      <c r="B61" s="2">
        <v>29224.73828125</v>
      </c>
      <c r="C61" s="4" t="s">
        <v>218</v>
      </c>
      <c r="D61" s="4" t="s">
        <v>226</v>
      </c>
      <c r="E61" s="6">
        <v>310052225024</v>
      </c>
      <c r="F61" s="6">
        <v>10609239</v>
      </c>
      <c r="G61" s="4" t="s">
        <v>291</v>
      </c>
      <c r="H61" s="7">
        <v>-22259202048</v>
      </c>
      <c r="I61" s="7">
        <v>-23240773632</v>
      </c>
      <c r="J61" s="7">
        <v>1530405760</v>
      </c>
      <c r="K61" s="7">
        <v>-9160464384</v>
      </c>
      <c r="L61" s="7">
        <v>332311429120</v>
      </c>
      <c r="M61" s="8">
        <v>424803434496</v>
      </c>
      <c r="N61" s="9">
        <v>0.80542612075805664</v>
      </c>
      <c r="O61" s="9">
        <v>0.64363282918930054</v>
      </c>
      <c r="P61" s="9">
        <v>0.72013896703720093</v>
      </c>
      <c r="Q61" s="9">
        <v>0.57947194576263428</v>
      </c>
      <c r="R61" s="9">
        <v>-7.2555020451545715E-2</v>
      </c>
      <c r="S61" s="9">
        <v>-1.063132006675005E-2</v>
      </c>
    </row>
    <row r="62" spans="1:19" ht="18" thickBot="1" x14ac:dyDescent="0.25">
      <c r="A62" s="5" t="s">
        <v>56</v>
      </c>
      <c r="B62" s="2">
        <v>29058.376953125</v>
      </c>
      <c r="C62" s="4" t="s">
        <v>218</v>
      </c>
      <c r="D62" s="4" t="s">
        <v>233</v>
      </c>
      <c r="E62" s="6">
        <v>4184330469376</v>
      </c>
      <c r="F62" s="6">
        <v>143997393</v>
      </c>
      <c r="G62" s="4" t="s">
        <v>290</v>
      </c>
      <c r="H62" s="7">
        <v>-39853064192</v>
      </c>
      <c r="I62" s="7">
        <v>-31825287168</v>
      </c>
      <c r="J62" s="7">
        <v>-8146913280</v>
      </c>
      <c r="K62" s="7">
        <v>1479841939456</v>
      </c>
      <c r="L62" s="7">
        <v>4224183697408</v>
      </c>
      <c r="M62" s="8">
        <v>4880206397440</v>
      </c>
      <c r="N62" s="9">
        <v>0.4719395637512207</v>
      </c>
      <c r="O62" s="9">
        <v>0.37713676691055298</v>
      </c>
      <c r="P62" s="9">
        <v>0.39963319897651672</v>
      </c>
      <c r="Q62" s="9">
        <v>0.32157158851623535</v>
      </c>
      <c r="R62" s="9">
        <v>-9.6023343503475189E-3</v>
      </c>
      <c r="S62" s="9">
        <v>-8.1870267167687416E-3</v>
      </c>
    </row>
    <row r="63" spans="1:19" ht="18" thickBot="1" x14ac:dyDescent="0.25">
      <c r="A63" s="5" t="s">
        <v>62</v>
      </c>
      <c r="B63" s="2">
        <v>28085.96484375</v>
      </c>
      <c r="C63" s="4" t="s">
        <v>218</v>
      </c>
      <c r="D63" s="4" t="s">
        <v>226</v>
      </c>
      <c r="E63" s="6">
        <v>531067666432</v>
      </c>
      <c r="F63" s="6">
        <v>18908650</v>
      </c>
      <c r="G63" s="4" t="s">
        <v>296</v>
      </c>
      <c r="H63" s="7">
        <v>-18589218816</v>
      </c>
      <c r="I63" s="7">
        <v>-25550553088</v>
      </c>
      <c r="J63" s="7">
        <v>4832364032</v>
      </c>
      <c r="K63" s="7">
        <v>16625859584</v>
      </c>
      <c r="L63" s="7">
        <v>549656887296</v>
      </c>
      <c r="M63" s="8">
        <v>618734288896</v>
      </c>
      <c r="N63" s="9">
        <v>0.60826432704925537</v>
      </c>
      <c r="O63" s="9">
        <v>0.48607668280601501</v>
      </c>
      <c r="P63" s="9">
        <v>0.49360105395317078</v>
      </c>
      <c r="Q63" s="9">
        <v>0.39718440175056458</v>
      </c>
      <c r="R63" s="9">
        <v>-3.513997420668602E-2</v>
      </c>
      <c r="S63" s="9">
        <v>-3.8993041962385178E-3</v>
      </c>
    </row>
    <row r="64" spans="1:19" ht="18" thickBot="1" x14ac:dyDescent="0.25">
      <c r="A64" s="5" t="s">
        <v>58</v>
      </c>
      <c r="B64" s="2">
        <v>27978.75390625</v>
      </c>
      <c r="C64" s="4" t="s">
        <v>218</v>
      </c>
      <c r="D64" s="4" t="s">
        <v>226</v>
      </c>
      <c r="E64" s="6">
        <v>291310141440</v>
      </c>
      <c r="F64" s="6">
        <v>10411834</v>
      </c>
      <c r="G64" s="4" t="s">
        <v>292</v>
      </c>
      <c r="H64" s="7">
        <v>-5903141376</v>
      </c>
      <c r="I64" s="7">
        <v>-8136672768</v>
      </c>
      <c r="J64" s="7">
        <v>905776384</v>
      </c>
      <c r="K64" s="7">
        <v>-194607726592</v>
      </c>
      <c r="L64" s="7">
        <v>297213296640</v>
      </c>
      <c r="M64" s="8">
        <v>364858212352</v>
      </c>
      <c r="N64" s="9">
        <v>0.839671790599823</v>
      </c>
      <c r="O64" s="9">
        <v>0.67099922895431519</v>
      </c>
      <c r="P64" s="9">
        <v>0.79441320896148682</v>
      </c>
      <c r="Q64" s="9">
        <v>0.63923799991607666</v>
      </c>
      <c r="R64" s="9">
        <v>-1.9698441028594971E-2</v>
      </c>
      <c r="S64" s="9">
        <v>2.7914892882108688E-2</v>
      </c>
    </row>
    <row r="65" spans="1:19" ht="18" thickBot="1" x14ac:dyDescent="0.25">
      <c r="A65" s="5" t="s">
        <v>59</v>
      </c>
      <c r="B65" s="2">
        <v>27345.228515625</v>
      </c>
      <c r="C65" s="4" t="s">
        <v>218</v>
      </c>
      <c r="D65" s="4" t="s">
        <v>226</v>
      </c>
      <c r="E65" s="6">
        <v>36758331392</v>
      </c>
      <c r="F65" s="6">
        <v>1344232</v>
      </c>
      <c r="G65" s="4" t="s">
        <v>293</v>
      </c>
      <c r="H65" s="7">
        <v>-585571712</v>
      </c>
      <c r="I65" s="7">
        <v>-985661440</v>
      </c>
      <c r="J65" s="7">
        <v>118714696</v>
      </c>
      <c r="K65" s="7">
        <v>-138930512</v>
      </c>
      <c r="L65" s="7">
        <v>37343899648</v>
      </c>
      <c r="M65" s="8">
        <v>45505196032</v>
      </c>
      <c r="N65" s="9">
        <v>0.90688621997833252</v>
      </c>
      <c r="O65" s="9">
        <v>0.72471171617507935</v>
      </c>
      <c r="P65" s="9">
        <v>0.78504735231399536</v>
      </c>
      <c r="Q65" s="9">
        <v>0.63170158863067627</v>
      </c>
      <c r="R65" s="9">
        <v>-1.5841400250792503E-2</v>
      </c>
      <c r="S65" s="9">
        <v>5.581466481089592E-3</v>
      </c>
    </row>
    <row r="66" spans="1:19" ht="18" thickBot="1" x14ac:dyDescent="0.25">
      <c r="A66" s="5" t="s">
        <v>61</v>
      </c>
      <c r="B66" s="2">
        <v>26899.83203125</v>
      </c>
      <c r="C66" s="4" t="s">
        <v>218</v>
      </c>
      <c r="D66" s="4" t="s">
        <v>226</v>
      </c>
      <c r="E66" s="6">
        <v>267353227264</v>
      </c>
      <c r="F66" s="6">
        <v>9938844</v>
      </c>
      <c r="G66" s="4" t="s">
        <v>295</v>
      </c>
      <c r="H66" s="7">
        <v>-7091259904</v>
      </c>
      <c r="I66" s="7">
        <v>-7210245120</v>
      </c>
      <c r="J66" s="7">
        <v>-1775084544</v>
      </c>
      <c r="K66" s="7">
        <v>-366518992896</v>
      </c>
      <c r="L66" s="7">
        <v>274444484608</v>
      </c>
      <c r="M66" s="8">
        <v>317742874624</v>
      </c>
      <c r="N66" s="9">
        <v>0.78438425064086914</v>
      </c>
      <c r="O66" s="9">
        <v>0.62681782245635986</v>
      </c>
      <c r="P66" s="9">
        <v>0.76551592350006104</v>
      </c>
      <c r="Q66" s="9">
        <v>0.61598533391952515</v>
      </c>
      <c r="R66" s="9">
        <v>-2.6267519220709801E-2</v>
      </c>
      <c r="S66" s="9">
        <v>9.667394682765007E-3</v>
      </c>
    </row>
    <row r="67" spans="1:19" ht="18" thickBot="1" x14ac:dyDescent="0.25">
      <c r="A67" s="5" t="s">
        <v>63</v>
      </c>
      <c r="B67" s="2">
        <v>26238.359375</v>
      </c>
      <c r="C67" s="4" t="s">
        <v>218</v>
      </c>
      <c r="D67" s="4" t="s">
        <v>226</v>
      </c>
      <c r="E67" s="6">
        <v>143651897344</v>
      </c>
      <c r="F67" s="6">
        <v>5474881</v>
      </c>
      <c r="G67" s="4" t="s">
        <v>297</v>
      </c>
      <c r="H67" s="7">
        <v>-3380211200</v>
      </c>
      <c r="I67" s="7">
        <v>-7035842560</v>
      </c>
      <c r="J67" s="7">
        <v>3301120256</v>
      </c>
      <c r="K67" s="7">
        <v>-77332070400</v>
      </c>
      <c r="L67" s="7">
        <v>147032113152</v>
      </c>
      <c r="M67" s="8">
        <v>175029649408</v>
      </c>
      <c r="N67" s="9">
        <v>0.78598219156265259</v>
      </c>
      <c r="O67" s="9">
        <v>0.62809473276138306</v>
      </c>
      <c r="P67" s="9">
        <v>0.71728575229644775</v>
      </c>
      <c r="Q67" s="9">
        <v>0.57717609405517578</v>
      </c>
      <c r="R67" s="9">
        <v>-2.3760929703712463E-2</v>
      </c>
      <c r="S67" s="9">
        <v>-9.7897471860051155E-3</v>
      </c>
    </row>
    <row r="68" spans="1:19" ht="18" thickBot="1" x14ac:dyDescent="0.25">
      <c r="A68" s="5" t="s">
        <v>65</v>
      </c>
      <c r="B68" s="2">
        <v>26116.775390625</v>
      </c>
      <c r="C68" s="4" t="s">
        <v>218</v>
      </c>
      <c r="D68" s="4" t="s">
        <v>229</v>
      </c>
      <c r="E68" s="6">
        <v>119384719360</v>
      </c>
      <c r="F68" s="6">
        <v>4571189</v>
      </c>
      <c r="G68" s="4" t="s">
        <v>299</v>
      </c>
      <c r="H68" s="7">
        <v>-6831432192</v>
      </c>
      <c r="I68" s="7">
        <v>-7216199168</v>
      </c>
      <c r="J68" s="7">
        <v>35481108</v>
      </c>
      <c r="K68" s="7">
        <v>-119097458688</v>
      </c>
      <c r="L68" s="7">
        <v>126216151040</v>
      </c>
      <c r="M68" s="8">
        <v>136229421056</v>
      </c>
      <c r="N68" s="9">
        <v>0.56168770790100098</v>
      </c>
      <c r="O68" s="9">
        <v>0.44885635375976562</v>
      </c>
      <c r="P68" s="9">
        <v>0.6231197714805603</v>
      </c>
      <c r="Q68" s="9">
        <v>0.50140386819839478</v>
      </c>
      <c r="R68" s="9">
        <v>-5.7677149772644043E-2</v>
      </c>
      <c r="S68" s="9">
        <v>-7.9541420564055443E-3</v>
      </c>
    </row>
    <row r="69" spans="1:19" ht="18" thickBot="1" x14ac:dyDescent="0.25">
      <c r="A69" s="5" t="s">
        <v>71</v>
      </c>
      <c r="B69" s="2">
        <v>25583.06640625</v>
      </c>
      <c r="C69" s="4" t="s">
        <v>218</v>
      </c>
      <c r="D69" s="4" t="s">
        <v>229</v>
      </c>
      <c r="E69" s="6">
        <v>10310819840</v>
      </c>
      <c r="F69" s="6">
        <v>403033</v>
      </c>
      <c r="G69" s="4" t="s">
        <v>305</v>
      </c>
      <c r="H69" s="7">
        <v>-751168640</v>
      </c>
      <c r="I69" s="7">
        <v>-769890560</v>
      </c>
      <c r="J69" s="7">
        <v>4920472</v>
      </c>
      <c r="K69" s="7">
        <v>20681480192</v>
      </c>
      <c r="L69" s="7">
        <v>11061988352</v>
      </c>
      <c r="M69" s="8">
        <v>11866877952</v>
      </c>
      <c r="N69" s="9">
        <v>1.1802462339401245</v>
      </c>
      <c r="O69" s="9">
        <v>0.94315928220748901</v>
      </c>
      <c r="P69" s="9">
        <v>1.2148736715316772</v>
      </c>
      <c r="Q69" s="9">
        <v>0.97756868600845337</v>
      </c>
      <c r="R69" s="9">
        <v>-7.302866131067276E-2</v>
      </c>
      <c r="S69" s="9">
        <v>-2.4185511283576488E-3</v>
      </c>
    </row>
    <row r="70" spans="1:19" ht="35" thickBot="1" x14ac:dyDescent="0.25">
      <c r="A70" s="5" t="s">
        <v>90</v>
      </c>
      <c r="B70" s="2">
        <v>25475.7421875</v>
      </c>
      <c r="C70" s="4" t="s">
        <v>219</v>
      </c>
      <c r="D70" s="4" t="s">
        <v>229</v>
      </c>
      <c r="E70" s="6">
        <v>1193665920</v>
      </c>
      <c r="F70" s="6">
        <v>46855</v>
      </c>
      <c r="G70" s="4" t="s">
        <v>324</v>
      </c>
      <c r="H70" s="7">
        <v>68238032</v>
      </c>
      <c r="I70" s="7">
        <v>62528800</v>
      </c>
      <c r="J70" s="7">
        <v>-1299810.5</v>
      </c>
      <c r="K70" s="7">
        <v>3017647616</v>
      </c>
      <c r="L70" s="7">
        <v>1125427840</v>
      </c>
      <c r="M70" s="8">
        <v>1311563392</v>
      </c>
      <c r="N70" s="9">
        <v>1.2107181549072266</v>
      </c>
      <c r="O70" s="9">
        <v>0.96751004457473755</v>
      </c>
      <c r="P70" s="9">
        <v>1.3554764986038208</v>
      </c>
      <c r="Q70" s="9">
        <v>1.0907070636749268</v>
      </c>
      <c r="R70" s="9">
        <v>6.2811709940433502E-2</v>
      </c>
      <c r="S70" s="9">
        <v>-9.8745062947273254E-2</v>
      </c>
    </row>
    <row r="71" spans="1:19" ht="18" thickBot="1" x14ac:dyDescent="0.25">
      <c r="A71" s="5" t="s">
        <v>64</v>
      </c>
      <c r="B71" s="2">
        <v>25406.572265625</v>
      </c>
      <c r="C71" s="4" t="s">
        <v>219</v>
      </c>
      <c r="D71" s="4" t="s">
        <v>226</v>
      </c>
      <c r="E71" s="6">
        <v>244723400704</v>
      </c>
      <c r="F71" s="6">
        <v>9632287</v>
      </c>
      <c r="G71" s="4" t="s">
        <v>298</v>
      </c>
      <c r="H71" s="7">
        <v>-6583974912</v>
      </c>
      <c r="I71" s="7">
        <v>-11669222400</v>
      </c>
      <c r="J71" s="7">
        <v>3882019328</v>
      </c>
      <c r="K71" s="7">
        <v>-52632633344</v>
      </c>
      <c r="L71" s="7">
        <v>251307376640</v>
      </c>
      <c r="M71" s="8">
        <v>310174318592</v>
      </c>
      <c r="N71" s="9">
        <v>0.6983146071434021</v>
      </c>
      <c r="O71" s="9">
        <v>0.55803775787353516</v>
      </c>
      <c r="P71" s="9">
        <v>0.60817760229110718</v>
      </c>
      <c r="Q71" s="9">
        <v>0.48938038945198059</v>
      </c>
      <c r="R71" s="9">
        <v>-2.6968222111463547E-2</v>
      </c>
      <c r="S71" s="9">
        <v>-2.3967581801116467E-3</v>
      </c>
    </row>
    <row r="72" spans="1:19" ht="18" thickBot="1" x14ac:dyDescent="0.25">
      <c r="A72" s="5" t="s">
        <v>66</v>
      </c>
      <c r="B72" s="2">
        <v>24891.7734375</v>
      </c>
      <c r="C72" s="4" t="s">
        <v>219</v>
      </c>
      <c r="D72" s="4" t="s">
        <v>226</v>
      </c>
      <c r="E72" s="6">
        <v>34120497152</v>
      </c>
      <c r="F72" s="6">
        <v>1370754</v>
      </c>
      <c r="G72" s="4" t="s">
        <v>300</v>
      </c>
      <c r="H72" s="7">
        <v>-2661113856</v>
      </c>
      <c r="I72" s="7">
        <v>-2469982976</v>
      </c>
      <c r="J72" s="7">
        <v>-174545424</v>
      </c>
      <c r="K72" s="7">
        <v>20298129408</v>
      </c>
      <c r="L72" s="7">
        <v>36781608960</v>
      </c>
      <c r="M72" s="8">
        <v>42185052160</v>
      </c>
      <c r="N72" s="9">
        <v>0.86102080345153809</v>
      </c>
      <c r="O72" s="9">
        <v>0.68805968761444092</v>
      </c>
      <c r="P72" s="9">
        <v>0.85935598611831665</v>
      </c>
      <c r="Q72" s="9">
        <v>0.69149529933929443</v>
      </c>
      <c r="R72" s="9">
        <v>-8.0243363976478577E-2</v>
      </c>
      <c r="S72" s="9">
        <v>-2.8871191665530205E-2</v>
      </c>
    </row>
    <row r="73" spans="1:19" ht="18" thickBot="1" x14ac:dyDescent="0.25">
      <c r="A73" s="5" t="s">
        <v>76</v>
      </c>
      <c r="B73" s="2">
        <v>24820.953125</v>
      </c>
      <c r="C73" s="4" t="s">
        <v>219</v>
      </c>
      <c r="D73" s="4" t="s">
        <v>229</v>
      </c>
      <c r="E73" s="6">
        <v>7014972416</v>
      </c>
      <c r="F73" s="6">
        <v>282623</v>
      </c>
      <c r="G73" s="4" t="s">
        <v>310</v>
      </c>
      <c r="H73" s="7">
        <v>2396037120</v>
      </c>
      <c r="I73" s="7">
        <v>2367981312</v>
      </c>
      <c r="J73" s="7">
        <v>28953718</v>
      </c>
      <c r="K73" s="7">
        <v>-17278443520</v>
      </c>
      <c r="L73" s="7">
        <v>4618935296</v>
      </c>
      <c r="M73" s="8">
        <v>4965593088</v>
      </c>
      <c r="N73" s="9">
        <v>1.369739294052124</v>
      </c>
      <c r="O73" s="9">
        <v>1.0945872068405151</v>
      </c>
      <c r="P73" s="9">
        <v>1.4814846515655518</v>
      </c>
      <c r="Q73" s="9">
        <v>1.1921017169952393</v>
      </c>
      <c r="R73" s="9">
        <v>0.34486323595046997</v>
      </c>
      <c r="S73" s="9">
        <v>-9.6696363762021065E-3</v>
      </c>
    </row>
    <row r="74" spans="1:19" ht="18" thickBot="1" x14ac:dyDescent="0.25">
      <c r="A74" s="5" t="s">
        <v>69</v>
      </c>
      <c r="B74" s="2">
        <v>24358.060546875</v>
      </c>
      <c r="C74" s="4" t="s">
        <v>219</v>
      </c>
      <c r="D74" s="4" t="s">
        <v>231</v>
      </c>
      <c r="E74" s="6">
        <v>2135846944768</v>
      </c>
      <c r="F74" s="6">
        <v>87685426</v>
      </c>
      <c r="G74" s="4" t="s">
        <v>303</v>
      </c>
      <c r="H74" s="7">
        <v>-29361307648</v>
      </c>
      <c r="I74" s="7">
        <v>-25689982976</v>
      </c>
      <c r="J74" s="7">
        <v>-1257405568</v>
      </c>
      <c r="K74" s="7">
        <v>-645569511424</v>
      </c>
      <c r="L74" s="7">
        <v>2165208252416</v>
      </c>
      <c r="M74" s="8">
        <v>2481967333376</v>
      </c>
      <c r="N74" s="9">
        <v>0.52658998966217041</v>
      </c>
      <c r="O74" s="9">
        <v>0.42080900073051453</v>
      </c>
      <c r="P74" s="9">
        <v>0.38637685775756836</v>
      </c>
      <c r="Q74" s="9">
        <v>0.31090465188026428</v>
      </c>
      <c r="R74" s="9">
        <v>-1.3571799732744694E-2</v>
      </c>
      <c r="S74" s="9">
        <v>1.2738547287881374E-2</v>
      </c>
    </row>
    <row r="75" spans="1:19" ht="18" thickBot="1" x14ac:dyDescent="0.25">
      <c r="A75" s="5" t="s">
        <v>73</v>
      </c>
      <c r="B75" s="2">
        <v>24105.2578125</v>
      </c>
      <c r="C75" s="4" t="s">
        <v>219</v>
      </c>
      <c r="D75" s="4" t="s">
        <v>231</v>
      </c>
      <c r="E75" s="6">
        <v>132450942976</v>
      </c>
      <c r="F75" s="6">
        <v>5494691</v>
      </c>
      <c r="G75" s="4" t="s">
        <v>307</v>
      </c>
      <c r="H75" s="7">
        <v>-11379772416</v>
      </c>
      <c r="I75" s="7">
        <v>-7862173184</v>
      </c>
      <c r="J75" s="7">
        <v>-3196776192</v>
      </c>
      <c r="K75" s="7">
        <v>-26327126016</v>
      </c>
      <c r="L75" s="7">
        <v>143830712320</v>
      </c>
      <c r="M75" s="8">
        <v>157620731904</v>
      </c>
      <c r="N75" s="9">
        <v>0.57126283645629883</v>
      </c>
      <c r="O75" s="9">
        <v>0.45650807023048401</v>
      </c>
      <c r="P75" s="9">
        <v>0.62277871370315552</v>
      </c>
      <c r="Q75" s="9">
        <v>0.50112944841384888</v>
      </c>
      <c r="R75" s="9">
        <v>-0.10044389218091965</v>
      </c>
      <c r="S75" s="9">
        <v>-0.16908213496208191</v>
      </c>
    </row>
    <row r="76" spans="1:19" ht="18" thickBot="1" x14ac:dyDescent="0.25">
      <c r="A76" s="5" t="s">
        <v>68</v>
      </c>
      <c r="B76" s="2">
        <v>23779.076171875</v>
      </c>
      <c r="C76" s="4" t="s">
        <v>219</v>
      </c>
      <c r="D76" s="4" t="s">
        <v>233</v>
      </c>
      <c r="E76" s="6">
        <v>495645229056</v>
      </c>
      <c r="F76" s="6">
        <v>20843754</v>
      </c>
      <c r="G76" s="4" t="s">
        <v>302</v>
      </c>
      <c r="H76" s="7">
        <v>-46397009920</v>
      </c>
      <c r="I76" s="7">
        <v>-42538127360</v>
      </c>
      <c r="J76" s="7">
        <v>-3055985408</v>
      </c>
      <c r="K76" s="7">
        <v>-141088063488</v>
      </c>
      <c r="L76" s="7">
        <v>542042259456</v>
      </c>
      <c r="M76" s="8">
        <v>621450297344</v>
      </c>
      <c r="N76" s="9">
        <v>0.41396903991699219</v>
      </c>
      <c r="O76" s="9">
        <v>0.33081129193305969</v>
      </c>
      <c r="P76" s="9">
        <v>0.37659135460853577</v>
      </c>
      <c r="Q76" s="9">
        <v>0.30303061008453369</v>
      </c>
      <c r="R76" s="9">
        <v>-9.3738354742527008E-2</v>
      </c>
      <c r="S76" s="9">
        <v>-1.3785291230306029E-3</v>
      </c>
    </row>
    <row r="77" spans="1:19" ht="18" thickBot="1" x14ac:dyDescent="0.25">
      <c r="A77" s="5" t="s">
        <v>75</v>
      </c>
      <c r="B77" s="2">
        <v>23234.033203125</v>
      </c>
      <c r="C77" s="4" t="s">
        <v>219</v>
      </c>
      <c r="D77" s="4" t="s">
        <v>229</v>
      </c>
      <c r="E77" s="6">
        <v>78639955968</v>
      </c>
      <c r="F77" s="6">
        <v>3384688</v>
      </c>
      <c r="G77" s="4" t="s">
        <v>309</v>
      </c>
      <c r="H77" s="7">
        <v>-4631445504</v>
      </c>
      <c r="I77" s="7">
        <v>-2254216704</v>
      </c>
      <c r="J77" s="7">
        <v>-2410016256</v>
      </c>
      <c r="K77" s="7">
        <v>-12513415168</v>
      </c>
      <c r="L77" s="7">
        <v>83271401472</v>
      </c>
      <c r="M77" s="8">
        <v>87654105088</v>
      </c>
      <c r="N77" s="9">
        <v>0.83767199516296387</v>
      </c>
      <c r="O77" s="9">
        <v>0.66940110921859741</v>
      </c>
      <c r="P77" s="9">
        <v>0.75505304336547852</v>
      </c>
      <c r="Q77" s="9">
        <v>0.60756617784500122</v>
      </c>
      <c r="R77" s="9">
        <v>-5.8869887143373489E-2</v>
      </c>
      <c r="S77" s="9">
        <v>4.1463537490926683E-4</v>
      </c>
    </row>
    <row r="78" spans="1:19" ht="18" thickBot="1" x14ac:dyDescent="0.25">
      <c r="A78" s="5" t="s">
        <v>72</v>
      </c>
      <c r="B78" s="2">
        <v>23185.908203125</v>
      </c>
      <c r="C78" s="4" t="s">
        <v>219</v>
      </c>
      <c r="D78" s="4" t="s">
        <v>228</v>
      </c>
      <c r="E78" s="6">
        <v>834178842624</v>
      </c>
      <c r="F78" s="6">
        <v>35977838</v>
      </c>
      <c r="G78" s="4" t="s">
        <v>306</v>
      </c>
      <c r="H78" s="7">
        <v>-35698016256</v>
      </c>
      <c r="I78" s="7">
        <v>-32431943680</v>
      </c>
      <c r="J78" s="7">
        <v>-6405051392</v>
      </c>
      <c r="K78" s="7">
        <v>44840677376</v>
      </c>
      <c r="L78" s="7">
        <v>869876826112</v>
      </c>
      <c r="M78" s="8">
        <v>1011299647488</v>
      </c>
      <c r="N78" s="9">
        <v>0.40271884202957153</v>
      </c>
      <c r="O78" s="9">
        <v>0.32182103395462036</v>
      </c>
      <c r="P78" s="9">
        <v>0.45434412360191345</v>
      </c>
      <c r="Q78" s="9">
        <v>0.36559566855430603</v>
      </c>
      <c r="R78" s="9">
        <v>-4.1967608034610748E-2</v>
      </c>
      <c r="S78" s="9">
        <v>1.931554451584816E-2</v>
      </c>
    </row>
    <row r="79" spans="1:19" ht="18" thickBot="1" x14ac:dyDescent="0.25">
      <c r="A79" s="5" t="s">
        <v>70</v>
      </c>
      <c r="B79" s="2">
        <v>22608.5859375</v>
      </c>
      <c r="C79" s="4" t="s">
        <v>219</v>
      </c>
      <c r="D79" s="4" t="s">
        <v>226</v>
      </c>
      <c r="E79" s="6">
        <v>41906348032</v>
      </c>
      <c r="F79" s="6">
        <v>1853559</v>
      </c>
      <c r="G79" s="4" t="s">
        <v>304</v>
      </c>
      <c r="H79" s="7">
        <v>-435856448</v>
      </c>
      <c r="I79" s="7">
        <v>-1194833536</v>
      </c>
      <c r="J79" s="7">
        <v>394684864</v>
      </c>
      <c r="K79" s="7">
        <v>-7930642944</v>
      </c>
      <c r="L79" s="7">
        <v>42342207488</v>
      </c>
      <c r="M79" s="8">
        <v>56898859008</v>
      </c>
      <c r="N79" s="9">
        <v>0.75074160099029541</v>
      </c>
      <c r="O79" s="9">
        <v>0.59993326663970947</v>
      </c>
      <c r="P79" s="9">
        <v>0.6821753978729248</v>
      </c>
      <c r="Q79" s="9">
        <v>0.54892396926879883</v>
      </c>
      <c r="R79" s="9">
        <v>-1.0194316506385803E-2</v>
      </c>
      <c r="S79" s="9">
        <v>1.9845644012093544E-2</v>
      </c>
    </row>
    <row r="80" spans="1:19" ht="35" thickBot="1" x14ac:dyDescent="0.25">
      <c r="A80" s="5" t="s">
        <v>74</v>
      </c>
      <c r="B80" s="2">
        <v>22216.22265625</v>
      </c>
      <c r="C80" s="4" t="s">
        <v>219</v>
      </c>
      <c r="D80" s="4" t="s">
        <v>229</v>
      </c>
      <c r="E80" s="6">
        <v>1042429632</v>
      </c>
      <c r="F80" s="6">
        <v>46922</v>
      </c>
      <c r="G80" s="4" t="s">
        <v>308</v>
      </c>
      <c r="H80" s="7">
        <v>-14373383</v>
      </c>
      <c r="I80" s="7">
        <v>-29890146</v>
      </c>
      <c r="J80" s="7">
        <v>13952530</v>
      </c>
      <c r="K80" s="7">
        <v>-1049343168</v>
      </c>
      <c r="L80" s="7">
        <v>1056803008</v>
      </c>
      <c r="M80" s="8">
        <v>1156890112</v>
      </c>
      <c r="N80" s="9">
        <v>0.84700644016265869</v>
      </c>
      <c r="O80" s="9">
        <v>0.676860511302948</v>
      </c>
      <c r="P80" s="9">
        <v>0.84837126731872559</v>
      </c>
      <c r="Q80" s="9">
        <v>0.68265628814697266</v>
      </c>
      <c r="R80" s="9">
        <v>-1.4291867613792419E-2</v>
      </c>
      <c r="S80" s="9">
        <v>-3.6517783999443054E-2</v>
      </c>
    </row>
    <row r="81" spans="1:19" ht="18" thickBot="1" x14ac:dyDescent="0.25">
      <c r="A81" s="5" t="s">
        <v>77</v>
      </c>
      <c r="B81" s="2">
        <v>21720.91796875</v>
      </c>
      <c r="C81" s="4" t="s">
        <v>219</v>
      </c>
      <c r="D81" s="4" t="s">
        <v>226</v>
      </c>
      <c r="E81" s="6">
        <v>145846403072</v>
      </c>
      <c r="F81" s="6">
        <v>6714560</v>
      </c>
      <c r="G81" s="4" t="s">
        <v>311</v>
      </c>
      <c r="H81" s="7">
        <v>-10728561664</v>
      </c>
      <c r="I81" s="7">
        <v>-12089022464</v>
      </c>
      <c r="J81" s="7">
        <v>729294656</v>
      </c>
      <c r="K81" s="7">
        <v>-4410280960</v>
      </c>
      <c r="L81" s="7">
        <v>156574973952</v>
      </c>
      <c r="M81" s="8">
        <v>180373389312</v>
      </c>
      <c r="N81" s="9">
        <v>0.64309746026992798</v>
      </c>
      <c r="O81" s="9">
        <v>0.5139126181602478</v>
      </c>
      <c r="P81" s="9">
        <v>0.52048265933990479</v>
      </c>
      <c r="Q81" s="9">
        <v>0.41881516575813293</v>
      </c>
      <c r="R81" s="9">
        <v>-7.275623083114624E-2</v>
      </c>
      <c r="S81" s="9">
        <v>1.0935950092971325E-2</v>
      </c>
    </row>
    <row r="82" spans="1:19" ht="18" thickBot="1" x14ac:dyDescent="0.25">
      <c r="A82" s="5" t="s">
        <v>84</v>
      </c>
      <c r="B82" s="2">
        <v>20248.099609375</v>
      </c>
      <c r="C82" s="4" t="s">
        <v>219</v>
      </c>
      <c r="D82" s="4" t="s">
        <v>229</v>
      </c>
      <c r="E82" s="6">
        <v>928403226624</v>
      </c>
      <c r="F82" s="6">
        <v>45851378</v>
      </c>
      <c r="G82" s="4" t="s">
        <v>318</v>
      </c>
      <c r="H82" s="7">
        <v>-17566572544</v>
      </c>
      <c r="I82" s="7">
        <v>-17525350400</v>
      </c>
      <c r="J82" s="7">
        <v>-20839866</v>
      </c>
      <c r="K82" s="7">
        <v>96810983424</v>
      </c>
      <c r="L82" s="7">
        <v>945969823744</v>
      </c>
      <c r="M82" s="8">
        <v>1013387362304</v>
      </c>
      <c r="N82" s="9">
        <v>0.58916574716567993</v>
      </c>
      <c r="O82" s="9">
        <v>0.47081464529037476</v>
      </c>
      <c r="P82" s="9">
        <v>0.50739675760269165</v>
      </c>
      <c r="Q82" s="9">
        <v>0.40828540921211243</v>
      </c>
      <c r="R82" s="9">
        <v>-1.8863603472709656E-2</v>
      </c>
      <c r="S82" s="9">
        <v>3.0479142442345619E-3</v>
      </c>
    </row>
    <row r="83" spans="1:19" ht="35" thickBot="1" x14ac:dyDescent="0.25">
      <c r="A83" s="5" t="s">
        <v>78</v>
      </c>
      <c r="B83" s="2">
        <v>20102.767578125</v>
      </c>
      <c r="C83" s="4" t="s">
        <v>219</v>
      </c>
      <c r="D83" s="4" t="s">
        <v>229</v>
      </c>
      <c r="E83" s="6">
        <v>30378397696</v>
      </c>
      <c r="F83" s="6">
        <v>1511155</v>
      </c>
      <c r="G83" s="4" t="s">
        <v>312</v>
      </c>
      <c r="H83" s="7">
        <v>-926103296</v>
      </c>
      <c r="I83" s="7">
        <v>-840453824</v>
      </c>
      <c r="J83" s="7">
        <v>-49962716</v>
      </c>
      <c r="K83" s="7">
        <v>6939391488</v>
      </c>
      <c r="L83" s="7">
        <v>31304501248</v>
      </c>
      <c r="M83" s="8">
        <v>34981076992</v>
      </c>
      <c r="N83" s="9">
        <v>0.62516874074935913</v>
      </c>
      <c r="O83" s="9">
        <v>0.49958536028862</v>
      </c>
      <c r="P83" s="9">
        <v>0.72213804721832275</v>
      </c>
      <c r="Q83" s="9">
        <v>0.58108055591583252</v>
      </c>
      <c r="R83" s="9">
        <v>-3.0407607555389404E-2</v>
      </c>
      <c r="S83" s="9">
        <v>2.5579517241567373E-3</v>
      </c>
    </row>
    <row r="84" spans="1:19" ht="18" thickBot="1" x14ac:dyDescent="0.25">
      <c r="A84" s="5" t="s">
        <v>82</v>
      </c>
      <c r="B84" s="2">
        <v>19830.22265625</v>
      </c>
      <c r="C84" s="4" t="s">
        <v>219</v>
      </c>
      <c r="D84" s="4" t="s">
        <v>226</v>
      </c>
      <c r="E84" s="6">
        <v>12547156992</v>
      </c>
      <c r="F84" s="6">
        <v>632729</v>
      </c>
      <c r="G84" s="4" t="s">
        <v>316</v>
      </c>
      <c r="H84" s="7">
        <v>22434130</v>
      </c>
      <c r="I84" s="7">
        <v>-302636128</v>
      </c>
      <c r="J84" s="7">
        <v>309515968</v>
      </c>
      <c r="K84" s="7">
        <v>-10824966144</v>
      </c>
      <c r="L84" s="7">
        <v>12524722176</v>
      </c>
      <c r="M84" s="8">
        <v>14284208128</v>
      </c>
      <c r="N84" s="9">
        <v>0.57199519872665405</v>
      </c>
      <c r="O84" s="9">
        <v>0.45709329843521118</v>
      </c>
      <c r="P84" s="9">
        <v>0.48869797587394714</v>
      </c>
      <c r="Q84" s="9">
        <v>0.39329376816749573</v>
      </c>
      <c r="R84" s="9">
        <v>1.7244472401216626E-3</v>
      </c>
      <c r="S84" s="9">
        <v>3.5536058247089386E-2</v>
      </c>
    </row>
    <row r="85" spans="1:19" ht="18" thickBot="1" x14ac:dyDescent="0.25">
      <c r="A85" s="5" t="s">
        <v>81</v>
      </c>
      <c r="B85" s="2">
        <v>19755.56640625</v>
      </c>
      <c r="C85" s="4" t="s">
        <v>219</v>
      </c>
      <c r="D85" s="4" t="s">
        <v>232</v>
      </c>
      <c r="E85" s="6">
        <v>2623124480</v>
      </c>
      <c r="F85" s="6">
        <v>132779</v>
      </c>
      <c r="G85" s="4" t="s">
        <v>315</v>
      </c>
      <c r="H85" s="7">
        <v>-91418712</v>
      </c>
      <c r="I85" s="7">
        <v>-79196352</v>
      </c>
      <c r="J85" s="7">
        <v>-4428308.5</v>
      </c>
      <c r="K85" s="7">
        <v>-4425517568</v>
      </c>
      <c r="L85" s="7">
        <v>2714543360</v>
      </c>
      <c r="M85" s="8">
        <v>2960460032</v>
      </c>
      <c r="N85" s="9">
        <v>0.67403358221054077</v>
      </c>
      <c r="O85" s="9">
        <v>0.53863424062728882</v>
      </c>
      <c r="P85" s="9">
        <v>0.62108486890792847</v>
      </c>
      <c r="Q85" s="9">
        <v>0.49976643919944763</v>
      </c>
      <c r="R85" s="9">
        <v>-3.5870052874088287E-2</v>
      </c>
      <c r="S85" s="9">
        <v>-2.9238039627671242E-2</v>
      </c>
    </row>
    <row r="86" spans="1:19" ht="35" thickBot="1" x14ac:dyDescent="0.25">
      <c r="A86" s="5" t="s">
        <v>79</v>
      </c>
      <c r="B86" s="2">
        <v>19613.046875</v>
      </c>
      <c r="C86" s="4" t="s">
        <v>219</v>
      </c>
      <c r="D86" s="4" t="s">
        <v>229</v>
      </c>
      <c r="E86" s="6">
        <v>1847725568</v>
      </c>
      <c r="F86" s="6">
        <v>94209</v>
      </c>
      <c r="G86" s="4" t="s">
        <v>313</v>
      </c>
      <c r="H86" s="7">
        <v>-83971296</v>
      </c>
      <c r="I86" s="7">
        <v>-87240224</v>
      </c>
      <c r="J86" s="7">
        <v>-723899.4375</v>
      </c>
      <c r="K86" s="7">
        <v>-2494977280</v>
      </c>
      <c r="L86" s="7">
        <v>1931696768</v>
      </c>
      <c r="M86" s="8">
        <v>2246842112</v>
      </c>
      <c r="N86" s="9">
        <v>0.85754901170730591</v>
      </c>
      <c r="O86" s="9">
        <v>0.68528527021408081</v>
      </c>
      <c r="P86" s="9">
        <v>0.83742719888687134</v>
      </c>
      <c r="Q86" s="9">
        <v>0.67384994029998779</v>
      </c>
      <c r="R86" s="9">
        <v>-4.8496652394533157E-2</v>
      </c>
      <c r="S86" s="9">
        <v>-6.7132458090782166E-2</v>
      </c>
    </row>
    <row r="87" spans="1:19" ht="18" thickBot="1" x14ac:dyDescent="0.25">
      <c r="A87" s="5" t="s">
        <v>80</v>
      </c>
      <c r="B87" s="2">
        <v>19354.24609375</v>
      </c>
      <c r="C87" s="4" t="s">
        <v>219</v>
      </c>
      <c r="D87" s="4" t="s">
        <v>229</v>
      </c>
      <c r="E87" s="6">
        <v>384373817344</v>
      </c>
      <c r="F87" s="6">
        <v>19859921</v>
      </c>
      <c r="G87" s="4" t="s">
        <v>314</v>
      </c>
      <c r="H87" s="7">
        <v>-22043371520</v>
      </c>
      <c r="I87" s="7">
        <v>-20393105408</v>
      </c>
      <c r="J87" s="7">
        <v>-382334240</v>
      </c>
      <c r="K87" s="7">
        <v>-44388761600</v>
      </c>
      <c r="L87" s="7">
        <v>406417178624</v>
      </c>
      <c r="M87" s="8">
        <v>484332797952</v>
      </c>
      <c r="N87" s="9">
        <v>0.63558608293533325</v>
      </c>
      <c r="O87" s="9">
        <v>0.50791013240814209</v>
      </c>
      <c r="P87" s="9">
        <v>0.69266325235366821</v>
      </c>
      <c r="Q87" s="9">
        <v>0.55736321210861206</v>
      </c>
      <c r="R87" s="9">
        <v>-5.578545480966568E-2</v>
      </c>
      <c r="S87" s="9">
        <v>2.7260122820734978E-2</v>
      </c>
    </row>
    <row r="88" spans="1:19" ht="18" thickBot="1" x14ac:dyDescent="0.25">
      <c r="A88" s="5" t="s">
        <v>83</v>
      </c>
      <c r="B88" s="2">
        <v>18934.359375</v>
      </c>
      <c r="C88" s="4" t="s">
        <v>219</v>
      </c>
      <c r="D88" s="4" t="s">
        <v>229</v>
      </c>
      <c r="E88" s="6">
        <v>97567809536</v>
      </c>
      <c r="F88" s="6">
        <v>5152950</v>
      </c>
      <c r="G88" s="4" t="s">
        <v>317</v>
      </c>
      <c r="H88" s="7">
        <v>-10832205824</v>
      </c>
      <c r="I88" s="7">
        <v>-10690253824</v>
      </c>
      <c r="J88" s="7">
        <v>-12453770</v>
      </c>
      <c r="K88" s="7">
        <v>-48333742080</v>
      </c>
      <c r="L88" s="7">
        <v>108400017408</v>
      </c>
      <c r="M88" s="8">
        <v>114832171008</v>
      </c>
      <c r="N88" s="9">
        <v>0.74782967567443848</v>
      </c>
      <c r="O88" s="9">
        <v>0.59760630130767822</v>
      </c>
      <c r="P88" s="9">
        <v>0.6688728928565979</v>
      </c>
      <c r="Q88" s="9">
        <v>0.5382198691368103</v>
      </c>
      <c r="R88" s="9">
        <v>-0.11078736186027527</v>
      </c>
      <c r="S88" s="9">
        <v>2.1164198406040668E-3</v>
      </c>
    </row>
    <row r="89" spans="1:19" ht="18" thickBot="1" x14ac:dyDescent="0.25">
      <c r="A89" s="5" t="s">
        <v>197</v>
      </c>
      <c r="B89" s="2">
        <v>18766.205078125</v>
      </c>
      <c r="C89" s="4" t="s">
        <v>219</v>
      </c>
      <c r="D89" s="4" t="s">
        <v>230</v>
      </c>
      <c r="E89" s="6">
        <v>498637504512</v>
      </c>
      <c r="F89" s="6">
        <v>26571036</v>
      </c>
      <c r="G89" s="4" t="s">
        <v>431</v>
      </c>
      <c r="H89" s="7">
        <v>-26084698112</v>
      </c>
      <c r="I89" s="7">
        <v>-27499059200</v>
      </c>
      <c r="J89" s="7">
        <v>1395751552</v>
      </c>
      <c r="K89" s="7">
        <v>191396331520</v>
      </c>
      <c r="L89" s="7">
        <v>524722208768</v>
      </c>
      <c r="M89" s="8">
        <v>603188625408</v>
      </c>
      <c r="N89" s="9">
        <v>2.5299441069364548E-2</v>
      </c>
      <c r="O89" s="9">
        <v>2.0217310637235641E-2</v>
      </c>
      <c r="P89" s="9">
        <v>3.0311241745948792E-2</v>
      </c>
      <c r="Q89" s="9">
        <v>2.4390451610088348E-2</v>
      </c>
      <c r="R89" s="9">
        <v>-5.3272001445293427E-2</v>
      </c>
      <c r="S89" s="9">
        <v>-1.8352551385760307E-2</v>
      </c>
    </row>
    <row r="90" spans="1:19" ht="18" thickBot="1" x14ac:dyDescent="0.25">
      <c r="A90" s="5" t="s">
        <v>86</v>
      </c>
      <c r="B90" s="2">
        <v>18374.3828125</v>
      </c>
      <c r="C90" s="4" t="s">
        <v>219</v>
      </c>
      <c r="D90" s="4" t="s">
        <v>233</v>
      </c>
      <c r="E90" s="6">
        <v>165325406208</v>
      </c>
      <c r="F90" s="6">
        <v>8997603</v>
      </c>
      <c r="G90" s="4" t="s">
        <v>320</v>
      </c>
      <c r="H90" s="7">
        <v>-3234317824</v>
      </c>
      <c r="I90" s="7">
        <v>-6580768256</v>
      </c>
      <c r="J90" s="7">
        <v>2901382912</v>
      </c>
      <c r="K90" s="7">
        <v>-56689160192</v>
      </c>
      <c r="L90" s="7">
        <v>168559722496</v>
      </c>
      <c r="M90" s="8">
        <v>213069725696</v>
      </c>
      <c r="N90" s="9">
        <v>0.33554962277412415</v>
      </c>
      <c r="O90" s="9">
        <v>0.26814469695091248</v>
      </c>
      <c r="P90" s="9">
        <v>0.33710438013076782</v>
      </c>
      <c r="Q90" s="9">
        <v>0.27125674486160278</v>
      </c>
      <c r="R90" s="9">
        <v>-1.918196864426136E-2</v>
      </c>
      <c r="S90" s="9">
        <v>1.9494427368044853E-2</v>
      </c>
    </row>
    <row r="91" spans="1:19" ht="18" thickBot="1" x14ac:dyDescent="0.25">
      <c r="A91" s="5" t="s">
        <v>67</v>
      </c>
      <c r="B91" s="2">
        <v>18356.138671875</v>
      </c>
      <c r="C91" s="4" t="s">
        <v>220</v>
      </c>
      <c r="D91" s="4" t="s">
        <v>227</v>
      </c>
      <c r="E91" s="6">
        <v>5421173248</v>
      </c>
      <c r="F91" s="6">
        <v>295333</v>
      </c>
      <c r="G91" s="4" t="s">
        <v>301</v>
      </c>
      <c r="H91" s="7">
        <v>447581248</v>
      </c>
      <c r="I91" s="7">
        <v>86309256</v>
      </c>
      <c r="J91" s="7">
        <v>347881408</v>
      </c>
      <c r="K91" s="7">
        <v>-13955464192</v>
      </c>
      <c r="L91" s="7">
        <v>4973592064</v>
      </c>
      <c r="M91" s="8">
        <v>5921836544</v>
      </c>
      <c r="N91" s="9">
        <v>1.1673265695571899</v>
      </c>
      <c r="O91" s="9">
        <v>0.93283504247665405</v>
      </c>
      <c r="P91" s="9">
        <v>1.3360408544540405</v>
      </c>
      <c r="Q91" s="9">
        <v>1.0750678777694702</v>
      </c>
      <c r="R91" s="9">
        <v>7.8943803906440735E-2</v>
      </c>
      <c r="S91" s="9">
        <v>4.382040724158287E-2</v>
      </c>
    </row>
    <row r="92" spans="1:19" ht="18" thickBot="1" x14ac:dyDescent="0.25">
      <c r="A92" s="5" t="s">
        <v>85</v>
      </c>
      <c r="B92" s="2">
        <v>17553.5390625</v>
      </c>
      <c r="C92" s="4" t="s">
        <v>220</v>
      </c>
      <c r="D92" s="4" t="s">
        <v>227</v>
      </c>
      <c r="E92" s="6">
        <v>4958260224</v>
      </c>
      <c r="F92" s="6">
        <v>282465</v>
      </c>
      <c r="G92" s="4" t="s">
        <v>319</v>
      </c>
      <c r="H92" s="7">
        <v>1237730432</v>
      </c>
      <c r="I92" s="7">
        <v>-348622.84375</v>
      </c>
      <c r="J92" s="7">
        <v>354278560</v>
      </c>
      <c r="K92" s="7">
        <v>-629721344</v>
      </c>
      <c r="L92" s="7">
        <v>3720529664</v>
      </c>
      <c r="M92" s="8">
        <v>4788278784</v>
      </c>
      <c r="N92" s="9">
        <v>1.2571488618850708</v>
      </c>
      <c r="O92" s="9">
        <v>1.0046138763427734</v>
      </c>
      <c r="P92" s="9">
        <v>1.3360408544540405</v>
      </c>
      <c r="Q92" s="9">
        <v>1.0750678777694702</v>
      </c>
      <c r="R92" s="9">
        <v>0.2265307754278183</v>
      </c>
      <c r="S92" s="9">
        <v>9.2533797025680542E-2</v>
      </c>
    </row>
    <row r="93" spans="1:19" ht="18" thickBot="1" x14ac:dyDescent="0.25">
      <c r="A93" s="5" t="s">
        <v>89</v>
      </c>
      <c r="B93" s="2">
        <v>17424.953125</v>
      </c>
      <c r="C93" s="4" t="s">
        <v>220</v>
      </c>
      <c r="D93" s="4" t="s">
        <v>229</v>
      </c>
      <c r="E93" s="6">
        <v>3232102144</v>
      </c>
      <c r="F93" s="6">
        <v>185487</v>
      </c>
      <c r="G93" s="4" t="s">
        <v>323</v>
      </c>
      <c r="H93" s="7">
        <v>-3751127.25</v>
      </c>
      <c r="I93" s="7">
        <v>-76336528</v>
      </c>
      <c r="J93" s="7">
        <v>71857568</v>
      </c>
      <c r="K93" s="7">
        <v>-73678864384</v>
      </c>
      <c r="L93" s="7">
        <v>3235853312</v>
      </c>
      <c r="M93" s="8">
        <v>3739417856</v>
      </c>
      <c r="N93" s="9">
        <v>0.87688326835632324</v>
      </c>
      <c r="O93" s="9">
        <v>0.70073574781417847</v>
      </c>
      <c r="P93" s="9">
        <v>0.88796567916870117</v>
      </c>
      <c r="Q93" s="9">
        <v>0.71451652050018311</v>
      </c>
      <c r="R93" s="9">
        <v>-1.2034154497087002E-3</v>
      </c>
      <c r="S93" s="9">
        <v>-3.6904722452163696E-2</v>
      </c>
    </row>
    <row r="94" spans="1:19" ht="18" thickBot="1" x14ac:dyDescent="0.25">
      <c r="A94" s="5" t="s">
        <v>92</v>
      </c>
      <c r="B94" s="2">
        <v>17268.7578125</v>
      </c>
      <c r="C94" s="4" t="s">
        <v>220</v>
      </c>
      <c r="D94" s="4" t="s">
        <v>233</v>
      </c>
      <c r="E94" s="6">
        <v>65736482816</v>
      </c>
      <c r="F94" s="6">
        <v>3806671</v>
      </c>
      <c r="G94" s="4" t="s">
        <v>326</v>
      </c>
      <c r="H94" s="7">
        <v>-4726284288</v>
      </c>
      <c r="I94" s="7">
        <v>-5797868032</v>
      </c>
      <c r="J94" s="7">
        <v>1355054592</v>
      </c>
      <c r="K94" s="7">
        <v>-62594138112</v>
      </c>
      <c r="L94" s="7">
        <v>70462767104</v>
      </c>
      <c r="M94" s="8">
        <v>78519369728</v>
      </c>
      <c r="N94" s="9">
        <v>0.41640082001686096</v>
      </c>
      <c r="O94" s="9">
        <v>0.33275455236434937</v>
      </c>
      <c r="P94" s="9">
        <v>0.33392253518104553</v>
      </c>
      <c r="Q94" s="9">
        <v>0.26869639754295349</v>
      </c>
      <c r="R94" s="9">
        <v>-6.6354081034660339E-2</v>
      </c>
      <c r="S94" s="9">
        <v>7.7100858092308044E-2</v>
      </c>
    </row>
    <row r="95" spans="1:19" ht="35" thickBot="1" x14ac:dyDescent="0.25">
      <c r="A95" s="5" t="s">
        <v>87</v>
      </c>
      <c r="B95" s="2">
        <v>17016.19921875</v>
      </c>
      <c r="C95" s="4" t="s">
        <v>220</v>
      </c>
      <c r="D95" s="4" t="s">
        <v>229</v>
      </c>
      <c r="E95" s="6">
        <v>196034904064</v>
      </c>
      <c r="F95" s="6">
        <v>11520487</v>
      </c>
      <c r="G95" s="4" t="s">
        <v>321</v>
      </c>
      <c r="H95" s="7">
        <v>-14108144640</v>
      </c>
      <c r="I95" s="7">
        <v>-14520529920</v>
      </c>
      <c r="J95" s="7">
        <v>635309504</v>
      </c>
      <c r="K95" s="7">
        <v>-166038487040</v>
      </c>
      <c r="L95" s="7">
        <v>210143051776</v>
      </c>
      <c r="M95" s="8">
        <v>224411549696</v>
      </c>
      <c r="N95" s="9">
        <v>0.50233274698257446</v>
      </c>
      <c r="O95" s="9">
        <v>0.40142452716827393</v>
      </c>
      <c r="P95" s="9">
        <v>0.48051536083221436</v>
      </c>
      <c r="Q95" s="9">
        <v>0.38665479421615601</v>
      </c>
      <c r="R95" s="9">
        <v>-6.7417390644550323E-2</v>
      </c>
      <c r="S95" s="9">
        <v>6.3224650919437408E-2</v>
      </c>
    </row>
    <row r="96" spans="1:19" ht="18" thickBot="1" x14ac:dyDescent="0.25">
      <c r="A96" s="5" t="s">
        <v>91</v>
      </c>
      <c r="B96" s="2">
        <v>16753.970703125</v>
      </c>
      <c r="C96" s="4" t="s">
        <v>220</v>
      </c>
      <c r="D96" s="4" t="s">
        <v>226</v>
      </c>
      <c r="E96" s="6">
        <v>112067969024</v>
      </c>
      <c r="F96" s="6">
        <v>6689039</v>
      </c>
      <c r="G96" s="4" t="s">
        <v>325</v>
      </c>
      <c r="H96" s="7">
        <v>-8651908096</v>
      </c>
      <c r="I96" s="7">
        <v>-8525047296</v>
      </c>
      <c r="J96" s="7">
        <v>-122925216</v>
      </c>
      <c r="K96" s="7">
        <v>-79476056064</v>
      </c>
      <c r="L96" s="7">
        <v>120719876096</v>
      </c>
      <c r="M96" s="8">
        <v>143419834368</v>
      </c>
      <c r="N96" s="9">
        <v>0.6114886999130249</v>
      </c>
      <c r="O96" s="9">
        <v>0.48865336179733276</v>
      </c>
      <c r="P96" s="9">
        <v>0.51398235559463501</v>
      </c>
      <c r="Q96" s="9">
        <v>0.41358458995819092</v>
      </c>
      <c r="R96" s="9">
        <v>-7.3232918977737427E-2</v>
      </c>
      <c r="S96" s="9">
        <v>5.1415678113698959E-2</v>
      </c>
    </row>
    <row r="97" spans="1:19" ht="18" thickBot="1" x14ac:dyDescent="0.25">
      <c r="A97" s="5" t="s">
        <v>88</v>
      </c>
      <c r="B97" s="2">
        <v>16243.3076171875</v>
      </c>
      <c r="C97" s="4" t="s">
        <v>220</v>
      </c>
      <c r="D97" s="4" t="s">
        <v>229</v>
      </c>
      <c r="E97" s="6">
        <v>177656348672</v>
      </c>
      <c r="F97" s="6">
        <v>10937203</v>
      </c>
      <c r="G97" s="4" t="s">
        <v>322</v>
      </c>
      <c r="H97" s="7">
        <v>-2581738752</v>
      </c>
      <c r="I97" s="7">
        <v>-2960248064</v>
      </c>
      <c r="J97" s="7">
        <v>407960640</v>
      </c>
      <c r="K97" s="7">
        <v>-41585938432</v>
      </c>
      <c r="L97" s="7">
        <v>180238090240</v>
      </c>
      <c r="M97" s="8">
        <v>210588024832</v>
      </c>
      <c r="N97" s="9">
        <v>1.3284770250320435</v>
      </c>
      <c r="O97" s="9">
        <v>1.0616135597229004</v>
      </c>
      <c r="P97" s="9">
        <v>0.57978707551956177</v>
      </c>
      <c r="Q97" s="9">
        <v>0.46653547883033752</v>
      </c>
      <c r="R97" s="9">
        <v>-1.4073390513658524E-2</v>
      </c>
      <c r="S97" s="9">
        <v>3.157232329249382E-2</v>
      </c>
    </row>
    <row r="98" spans="1:19" ht="18" thickBot="1" x14ac:dyDescent="0.25">
      <c r="A98" s="5" t="s">
        <v>94</v>
      </c>
      <c r="B98" s="2">
        <v>15891.3466796875</v>
      </c>
      <c r="C98" s="4" t="s">
        <v>220</v>
      </c>
      <c r="D98" s="4" t="s">
        <v>230</v>
      </c>
      <c r="E98" s="6">
        <v>22503674085376</v>
      </c>
      <c r="F98" s="6">
        <v>1416096094</v>
      </c>
      <c r="G98" s="4" t="s">
        <v>328</v>
      </c>
      <c r="H98" s="7">
        <v>-386279997440</v>
      </c>
      <c r="I98" s="7">
        <v>-340395556864</v>
      </c>
      <c r="J98" s="7">
        <v>-46363103232</v>
      </c>
      <c r="K98" s="7">
        <v>5489615175680</v>
      </c>
      <c r="L98" s="7">
        <v>22889952706560</v>
      </c>
      <c r="M98" s="8">
        <v>27988661895168</v>
      </c>
      <c r="N98" s="9">
        <v>0.59312444925308228</v>
      </c>
      <c r="O98" s="9">
        <v>0.47397813200950623</v>
      </c>
      <c r="P98" s="9">
        <v>0.76839393377304077</v>
      </c>
      <c r="Q98" s="9">
        <v>0.6183011531829834</v>
      </c>
      <c r="R98" s="9">
        <v>-1.7170609906315804E-2</v>
      </c>
      <c r="S98" s="9">
        <v>-3.153253928758204E-4</v>
      </c>
    </row>
    <row r="99" spans="1:19" ht="18" thickBot="1" x14ac:dyDescent="0.25">
      <c r="A99" s="5" t="s">
        <v>93</v>
      </c>
      <c r="B99" s="2">
        <v>15763.7529296875</v>
      </c>
      <c r="C99" s="4" t="s">
        <v>220</v>
      </c>
      <c r="D99" s="4" t="s">
        <v>233</v>
      </c>
      <c r="E99" s="6">
        <v>163906977792</v>
      </c>
      <c r="F99" s="6">
        <v>10397713</v>
      </c>
      <c r="G99" s="4" t="s">
        <v>327</v>
      </c>
      <c r="H99" s="7">
        <v>-4716526080</v>
      </c>
      <c r="I99" s="7">
        <v>-4855561728</v>
      </c>
      <c r="J99" s="7">
        <v>234401840</v>
      </c>
      <c r="K99" s="7">
        <v>49067606016</v>
      </c>
      <c r="L99" s="7">
        <v>168623505408</v>
      </c>
      <c r="M99" s="8">
        <v>181248065536</v>
      </c>
      <c r="N99" s="9">
        <v>0.35494539141654968</v>
      </c>
      <c r="O99" s="9">
        <v>0.28364425897598267</v>
      </c>
      <c r="P99" s="9">
        <v>0.3341815173625946</v>
      </c>
      <c r="Q99" s="9">
        <v>0.26890480518341064</v>
      </c>
      <c r="R99" s="9">
        <v>-2.8699804097414017E-2</v>
      </c>
      <c r="S99" s="9">
        <v>2.6349329855293036E-3</v>
      </c>
    </row>
    <row r="100" spans="1:19" ht="35" thickBot="1" x14ac:dyDescent="0.25">
      <c r="A100" s="5" t="s">
        <v>98</v>
      </c>
      <c r="B100" s="2">
        <v>15733.40625</v>
      </c>
      <c r="C100" s="4" t="s">
        <v>220</v>
      </c>
      <c r="D100" s="4" t="s">
        <v>226</v>
      </c>
      <c r="E100" s="6">
        <v>49404391424</v>
      </c>
      <c r="F100" s="6">
        <v>3140095</v>
      </c>
      <c r="G100" s="4" t="s">
        <v>332</v>
      </c>
      <c r="H100" s="7">
        <v>-127498640</v>
      </c>
      <c r="I100" s="7">
        <v>-1461236992</v>
      </c>
      <c r="J100" s="7">
        <v>1337883136</v>
      </c>
      <c r="K100" s="7">
        <v>-9548783616</v>
      </c>
      <c r="L100" s="7">
        <v>49531891712</v>
      </c>
      <c r="M100" s="8">
        <v>56880889856</v>
      </c>
      <c r="N100" s="9">
        <v>0.52314645051956177</v>
      </c>
      <c r="O100" s="9">
        <v>0.41805726289749146</v>
      </c>
      <c r="P100" s="9">
        <v>0.49578496813774109</v>
      </c>
      <c r="Q100" s="9">
        <v>0.3989417552947998</v>
      </c>
      <c r="R100" s="9">
        <v>-2.3777945898473263E-3</v>
      </c>
      <c r="S100" s="9">
        <v>7.862941175699234E-2</v>
      </c>
    </row>
    <row r="101" spans="1:19" ht="18" thickBot="1" x14ac:dyDescent="0.25">
      <c r="A101" s="5" t="s">
        <v>95</v>
      </c>
      <c r="B101" s="2">
        <v>15553.888671875</v>
      </c>
      <c r="C101" s="4" t="s">
        <v>220</v>
      </c>
      <c r="D101" s="4" t="s">
        <v>229</v>
      </c>
      <c r="E101" s="6">
        <v>2802017536</v>
      </c>
      <c r="F101" s="6">
        <v>180149</v>
      </c>
      <c r="G101" s="4" t="s">
        <v>329</v>
      </c>
      <c r="H101" s="7">
        <v>-319657568</v>
      </c>
      <c r="I101" s="7">
        <v>-323368800</v>
      </c>
      <c r="J101" s="7">
        <v>317561.75</v>
      </c>
      <c r="K101" s="7">
        <v>-1663187328</v>
      </c>
      <c r="L101" s="7">
        <v>3121675008</v>
      </c>
      <c r="M101" s="8">
        <v>3590059776</v>
      </c>
      <c r="N101" s="9">
        <v>0.6259533166885376</v>
      </c>
      <c r="O101" s="9">
        <v>0.50021237134933472</v>
      </c>
      <c r="P101" s="9">
        <v>0.68048673868179321</v>
      </c>
      <c r="Q101" s="9">
        <v>0.54756516218185425</v>
      </c>
      <c r="R101" s="9">
        <v>-0.11397475749254227</v>
      </c>
      <c r="S101" s="9">
        <v>9.3321048188954592E-4</v>
      </c>
    </row>
    <row r="102" spans="1:19" ht="18" thickBot="1" x14ac:dyDescent="0.25">
      <c r="A102" s="5" t="s">
        <v>96</v>
      </c>
      <c r="B102" s="2">
        <v>15267.689453125</v>
      </c>
      <c r="C102" s="4" t="s">
        <v>220</v>
      </c>
      <c r="D102" s="4" t="s">
        <v>226</v>
      </c>
      <c r="E102" s="6">
        <v>27692398592</v>
      </c>
      <c r="F102" s="6">
        <v>1813791</v>
      </c>
      <c r="G102" s="4" t="s">
        <v>330</v>
      </c>
      <c r="H102" s="7">
        <v>-1674808320</v>
      </c>
      <c r="I102" s="7">
        <v>-1892984192</v>
      </c>
      <c r="J102" s="7">
        <v>136996336</v>
      </c>
      <c r="K102" s="7">
        <v>-17211133952</v>
      </c>
      <c r="L102" s="7">
        <v>29367205888</v>
      </c>
      <c r="M102" s="8">
        <v>36280295424</v>
      </c>
      <c r="N102" s="9">
        <v>0.46755692362785339</v>
      </c>
      <c r="O102" s="9">
        <v>0.37363448739051819</v>
      </c>
      <c r="P102" s="9">
        <v>0.42768397927284241</v>
      </c>
      <c r="Q102" s="9">
        <v>0.34414312243461609</v>
      </c>
      <c r="R102" s="9">
        <v>-5.0670847296714783E-2</v>
      </c>
      <c r="S102" s="9">
        <v>0.16217438876628876</v>
      </c>
    </row>
    <row r="103" spans="1:19" ht="18" thickBot="1" x14ac:dyDescent="0.25">
      <c r="A103" s="5" t="s">
        <v>97</v>
      </c>
      <c r="B103" s="2">
        <v>14517.2958984375</v>
      </c>
      <c r="C103" s="4" t="s">
        <v>220</v>
      </c>
      <c r="D103" s="4" t="s">
        <v>228</v>
      </c>
      <c r="E103" s="6">
        <v>7689463296</v>
      </c>
      <c r="F103" s="6">
        <v>529676</v>
      </c>
      <c r="G103" s="4" t="s">
        <v>331</v>
      </c>
      <c r="H103" s="7">
        <v>-1126135168</v>
      </c>
      <c r="I103" s="7">
        <v>-1142811008</v>
      </c>
      <c r="J103" s="7">
        <v>13705444</v>
      </c>
      <c r="K103" s="7">
        <v>-16015455232</v>
      </c>
      <c r="L103" s="7">
        <v>8815598592</v>
      </c>
      <c r="M103" s="8">
        <v>10134722560</v>
      </c>
      <c r="N103" s="9">
        <v>0.64211511611938477</v>
      </c>
      <c r="O103" s="9">
        <v>0.51312756538391113</v>
      </c>
      <c r="P103" s="9">
        <v>0.66376191377639771</v>
      </c>
      <c r="Q103" s="9">
        <v>0.5341072678565979</v>
      </c>
      <c r="R103" s="9">
        <v>-0.1729552149772644</v>
      </c>
      <c r="S103" s="9">
        <v>-0.18097084760665894</v>
      </c>
    </row>
    <row r="104" spans="1:19" ht="18" thickBot="1" x14ac:dyDescent="0.25">
      <c r="A104" s="5" t="s">
        <v>110</v>
      </c>
      <c r="B104" s="2">
        <v>14492.6396484375</v>
      </c>
      <c r="C104" s="4" t="s">
        <v>220</v>
      </c>
      <c r="D104" s="4" t="s">
        <v>226</v>
      </c>
      <c r="E104" s="6">
        <v>40166465536</v>
      </c>
      <c r="F104" s="6">
        <v>2771508</v>
      </c>
      <c r="G104" s="4" t="s">
        <v>344</v>
      </c>
      <c r="H104" s="7">
        <v>-59318160</v>
      </c>
      <c r="I104" s="7">
        <v>-1110633600</v>
      </c>
      <c r="J104" s="7">
        <v>1051504448</v>
      </c>
      <c r="K104" s="7">
        <v>-14464765952</v>
      </c>
      <c r="L104" s="7">
        <v>40225783808</v>
      </c>
      <c r="M104" s="8">
        <v>42342928384</v>
      </c>
      <c r="N104" s="9">
        <v>0.63819509744644165</v>
      </c>
      <c r="O104" s="9">
        <v>0.5099949836730957</v>
      </c>
      <c r="P104" s="9">
        <v>0.49418693780899048</v>
      </c>
      <c r="Q104" s="9">
        <v>0.3976559042930603</v>
      </c>
      <c r="R104" s="9">
        <v>-1.4292909763753414E-3</v>
      </c>
      <c r="S104" s="9">
        <v>3.217562660574913E-2</v>
      </c>
    </row>
    <row r="105" spans="1:19" ht="18" thickBot="1" x14ac:dyDescent="0.25">
      <c r="A105" s="5" t="s">
        <v>102</v>
      </c>
      <c r="B105" s="2">
        <v>14460.8212890625</v>
      </c>
      <c r="C105" s="4" t="s">
        <v>220</v>
      </c>
      <c r="D105" s="4" t="s">
        <v>233</v>
      </c>
      <c r="E105" s="6">
        <v>42693623808</v>
      </c>
      <c r="F105" s="6">
        <v>2952365</v>
      </c>
      <c r="G105" s="4" t="s">
        <v>336</v>
      </c>
      <c r="H105" s="7">
        <v>-1323093248</v>
      </c>
      <c r="I105" s="7">
        <v>-2177872896</v>
      </c>
      <c r="J105" s="7">
        <v>986187328</v>
      </c>
      <c r="K105" s="7">
        <v>-22166630400</v>
      </c>
      <c r="L105" s="7">
        <v>44016717824</v>
      </c>
      <c r="M105" s="8">
        <v>51796135936</v>
      </c>
      <c r="N105" s="9">
        <v>0.48244190216064453</v>
      </c>
      <c r="O105" s="9">
        <v>0.38552939891815186</v>
      </c>
      <c r="P105" s="9">
        <v>0.36569654941558838</v>
      </c>
      <c r="Q105" s="9">
        <v>0.29426389932632446</v>
      </c>
      <c r="R105" s="9">
        <v>-3.1107096001505852E-2</v>
      </c>
      <c r="S105" s="9">
        <v>-3.7649848964065313E-3</v>
      </c>
    </row>
    <row r="106" spans="1:19" ht="18" thickBot="1" x14ac:dyDescent="0.25">
      <c r="A106" s="5" t="s">
        <v>101</v>
      </c>
      <c r="B106" s="2">
        <v>14319.787109375</v>
      </c>
      <c r="C106" s="4" t="s">
        <v>220</v>
      </c>
      <c r="D106" s="4" t="s">
        <v>229</v>
      </c>
      <c r="E106" s="6">
        <v>943258688</v>
      </c>
      <c r="F106" s="6">
        <v>65871</v>
      </c>
      <c r="G106" s="4" t="s">
        <v>335</v>
      </c>
      <c r="H106" s="7">
        <v>-25110434</v>
      </c>
      <c r="I106" s="7">
        <v>-26716364</v>
      </c>
      <c r="J106" s="7">
        <v>2857064.75</v>
      </c>
      <c r="K106" s="7">
        <v>-517033376</v>
      </c>
      <c r="L106" s="7">
        <v>968369088</v>
      </c>
      <c r="M106" s="8">
        <v>1029603008</v>
      </c>
      <c r="N106" s="9">
        <v>0.61286944150924683</v>
      </c>
      <c r="O106" s="9">
        <v>0.48975673317909241</v>
      </c>
      <c r="P106" s="9">
        <v>0.65847277641296387</v>
      </c>
      <c r="Q106" s="9">
        <v>0.52985119819641113</v>
      </c>
      <c r="R106" s="9">
        <v>-2.6421884074807167E-2</v>
      </c>
      <c r="S106" s="9">
        <v>7.4774781242012978E-3</v>
      </c>
    </row>
    <row r="107" spans="1:19" ht="18" thickBot="1" x14ac:dyDescent="0.25">
      <c r="A107" s="5" t="s">
        <v>103</v>
      </c>
      <c r="B107" s="2">
        <v>14093.056640625</v>
      </c>
      <c r="C107" s="4" t="s">
        <v>220</v>
      </c>
      <c r="D107" s="4" t="s">
        <v>228</v>
      </c>
      <c r="E107" s="6">
        <v>1009342808064</v>
      </c>
      <c r="F107" s="6">
        <v>71619863</v>
      </c>
      <c r="G107" s="4" t="s">
        <v>337</v>
      </c>
      <c r="H107" s="7">
        <v>-40707022848</v>
      </c>
      <c r="I107" s="7">
        <v>-37583622144</v>
      </c>
      <c r="J107" s="7">
        <v>-677927552</v>
      </c>
      <c r="K107" s="7">
        <v>114547056640</v>
      </c>
      <c r="L107" s="7">
        <v>1050049839104</v>
      </c>
      <c r="M107" s="8">
        <v>1266482413568</v>
      </c>
      <c r="N107" s="9">
        <v>0.38989743590354919</v>
      </c>
      <c r="O107" s="9">
        <v>0.31157517433166504</v>
      </c>
      <c r="P107" s="9">
        <v>0.43325823545455933</v>
      </c>
      <c r="Q107" s="9">
        <v>0.34862855076789856</v>
      </c>
      <c r="R107" s="9">
        <v>-4.0060233324766159E-2</v>
      </c>
      <c r="S107" s="9">
        <v>6.6945380531251431E-3</v>
      </c>
    </row>
    <row r="108" spans="1:19" ht="18" thickBot="1" x14ac:dyDescent="0.25">
      <c r="A108" s="5" t="s">
        <v>100</v>
      </c>
      <c r="B108" s="2">
        <v>13822.1337890625</v>
      </c>
      <c r="C108" s="4" t="s">
        <v>220</v>
      </c>
      <c r="D108" s="4" t="s">
        <v>229</v>
      </c>
      <c r="E108" s="6">
        <v>1823787712512</v>
      </c>
      <c r="F108" s="6">
        <v>131946900</v>
      </c>
      <c r="G108" s="4" t="s">
        <v>334</v>
      </c>
      <c r="H108" s="7">
        <v>-73218957312</v>
      </c>
      <c r="I108" s="7">
        <v>-74679230464</v>
      </c>
      <c r="J108" s="7">
        <v>1470361984</v>
      </c>
      <c r="K108" s="7">
        <v>-653967097856</v>
      </c>
      <c r="L108" s="7">
        <v>1897006759936</v>
      </c>
      <c r="M108" s="8">
        <v>2294730194944</v>
      </c>
      <c r="N108" s="9">
        <v>0.70352226495742798</v>
      </c>
      <c r="O108" s="9">
        <v>0.56219929456710815</v>
      </c>
      <c r="P108" s="9">
        <v>0.61675620079040527</v>
      </c>
      <c r="Q108" s="9">
        <v>0.49628326296806335</v>
      </c>
      <c r="R108" s="9">
        <v>-3.8995265960693359E-2</v>
      </c>
      <c r="S108" s="9">
        <v>2.867925725877285E-2</v>
      </c>
    </row>
    <row r="109" spans="1:19" ht="18" thickBot="1" x14ac:dyDescent="0.25">
      <c r="A109" s="5" t="s">
        <v>99</v>
      </c>
      <c r="B109" s="2">
        <v>13464.1630859375</v>
      </c>
      <c r="C109" s="4" t="s">
        <v>220</v>
      </c>
      <c r="D109" s="4" t="s">
        <v>233</v>
      </c>
      <c r="E109" s="6">
        <v>102581395456</v>
      </c>
      <c r="F109" s="6">
        <v>7618847</v>
      </c>
      <c r="G109" s="4" t="s">
        <v>333</v>
      </c>
      <c r="H109" s="7">
        <v>10295874560</v>
      </c>
      <c r="I109" s="7">
        <v>-1377784192</v>
      </c>
      <c r="J109" s="7">
        <v>11864159232</v>
      </c>
      <c r="K109" s="7">
        <v>22961876992</v>
      </c>
      <c r="L109" s="7">
        <v>92285526016</v>
      </c>
      <c r="M109" s="8">
        <v>105122971648</v>
      </c>
      <c r="N109" s="9">
        <v>0.62270951271057129</v>
      </c>
      <c r="O109" s="9">
        <v>0.4976201057434082</v>
      </c>
      <c r="P109" s="9">
        <v>0.53169310092926025</v>
      </c>
      <c r="Q109" s="9">
        <v>0.42783579230308533</v>
      </c>
      <c r="R109" s="9">
        <v>9.4353817403316498E-2</v>
      </c>
      <c r="S109" s="9">
        <v>5.9919901192188263E-2</v>
      </c>
    </row>
    <row r="110" spans="1:19" ht="35" thickBot="1" x14ac:dyDescent="0.25">
      <c r="A110" s="5" t="s">
        <v>104</v>
      </c>
      <c r="B110" s="2">
        <v>13137.7529296875</v>
      </c>
      <c r="C110" s="4" t="s">
        <v>220</v>
      </c>
      <c r="D110" s="4" t="s">
        <v>229</v>
      </c>
      <c r="E110" s="6">
        <v>1312776832</v>
      </c>
      <c r="F110" s="6">
        <v>99924</v>
      </c>
      <c r="G110" s="4" t="s">
        <v>338</v>
      </c>
      <c r="H110" s="7">
        <v>-46695336</v>
      </c>
      <c r="I110" s="7">
        <v>-48049336</v>
      </c>
      <c r="J110" s="7">
        <v>-1039705.5625</v>
      </c>
      <c r="K110" s="7">
        <v>-2524294144</v>
      </c>
      <c r="L110" s="7">
        <v>1359472256</v>
      </c>
      <c r="M110" s="8">
        <v>1550139776</v>
      </c>
      <c r="N110" s="9">
        <v>0.64873743057250977</v>
      </c>
      <c r="O110" s="9">
        <v>0.51841962337493896</v>
      </c>
      <c r="P110" s="9">
        <v>0.66286146640777588</v>
      </c>
      <c r="Q110" s="9">
        <v>0.53338265419006348</v>
      </c>
      <c r="R110" s="9">
        <v>-3.4432094544172287E-2</v>
      </c>
      <c r="S110" s="9">
        <v>3.1987696886062622E-2</v>
      </c>
    </row>
    <row r="111" spans="1:19" ht="18" thickBot="1" x14ac:dyDescent="0.25">
      <c r="A111" s="5" t="s">
        <v>105</v>
      </c>
      <c r="B111" s="2">
        <v>13136.634765625</v>
      </c>
      <c r="C111" s="4" t="s">
        <v>220</v>
      </c>
      <c r="D111" s="4" t="s">
        <v>231</v>
      </c>
      <c r="E111" s="6">
        <v>1554930860032</v>
      </c>
      <c r="F111" s="6">
        <v>118365995</v>
      </c>
      <c r="G111" s="4" t="s">
        <v>339</v>
      </c>
      <c r="H111" s="7">
        <v>-64210530304</v>
      </c>
      <c r="I111" s="7">
        <v>-73074040832</v>
      </c>
      <c r="J111" s="7">
        <v>8808426496</v>
      </c>
      <c r="K111" s="7">
        <v>-1226243047424</v>
      </c>
      <c r="L111" s="7">
        <v>1619141459968</v>
      </c>
      <c r="M111" s="8">
        <v>1730486730752</v>
      </c>
      <c r="N111" s="9">
        <v>0.21239255368709564</v>
      </c>
      <c r="O111" s="9">
        <v>0.16972731053829193</v>
      </c>
      <c r="P111" s="9">
        <v>0.30619844794273376</v>
      </c>
      <c r="Q111" s="9">
        <v>0.24638774991035461</v>
      </c>
      <c r="R111" s="9">
        <v>-3.8350999355316162E-2</v>
      </c>
      <c r="S111" s="9">
        <v>7.1286976337432861E-2</v>
      </c>
    </row>
    <row r="112" spans="1:19" ht="18" thickBot="1" x14ac:dyDescent="0.25">
      <c r="A112" s="5" t="s">
        <v>106</v>
      </c>
      <c r="B112" s="2">
        <v>13109.828125</v>
      </c>
      <c r="C112" s="4" t="s">
        <v>221</v>
      </c>
      <c r="D112" s="4" t="s">
        <v>229</v>
      </c>
      <c r="E112" s="6">
        <v>2789934104576</v>
      </c>
      <c r="F112" s="6">
        <v>212812405</v>
      </c>
      <c r="G112" s="4" t="s">
        <v>340</v>
      </c>
      <c r="H112" s="7">
        <v>-121092317184</v>
      </c>
      <c r="I112" s="7">
        <v>-121900662784</v>
      </c>
      <c r="J112" s="7">
        <v>998127296</v>
      </c>
      <c r="K112" s="7">
        <v>-1122693939200</v>
      </c>
      <c r="L112" s="7">
        <v>2911026282496</v>
      </c>
      <c r="M112" s="8">
        <v>3382241656832</v>
      </c>
      <c r="N112" s="9">
        <v>0.58829045295715332</v>
      </c>
      <c r="O112" s="9">
        <v>0.47011518478393555</v>
      </c>
      <c r="P112" s="9">
        <v>0.54813200235366821</v>
      </c>
      <c r="Q112" s="9">
        <v>0.44106364250183105</v>
      </c>
      <c r="R112" s="9">
        <v>-4.3313324451446533E-2</v>
      </c>
      <c r="S112" s="9">
        <v>2.0727440714836121E-3</v>
      </c>
    </row>
    <row r="113" spans="1:19" ht="18" thickBot="1" x14ac:dyDescent="0.25">
      <c r="A113" s="5" t="s">
        <v>112</v>
      </c>
      <c r="B113" s="2">
        <v>12903.5029296875</v>
      </c>
      <c r="C113" s="4" t="s">
        <v>221</v>
      </c>
      <c r="D113" s="4" t="s">
        <v>229</v>
      </c>
      <c r="E113" s="6">
        <v>8256306176</v>
      </c>
      <c r="F113" s="6">
        <v>639850</v>
      </c>
      <c r="G113" s="4" t="s">
        <v>346</v>
      </c>
      <c r="H113" s="7">
        <v>-571526720</v>
      </c>
      <c r="I113" s="7">
        <v>-487579488</v>
      </c>
      <c r="J113" s="7">
        <v>-53111352</v>
      </c>
      <c r="K113" s="7">
        <v>-5525576192</v>
      </c>
      <c r="L113" s="7">
        <v>8827832320</v>
      </c>
      <c r="M113" s="8">
        <v>9935733760</v>
      </c>
      <c r="N113" s="9">
        <v>0.44913151860237122</v>
      </c>
      <c r="O113" s="9">
        <v>0.35891035199165344</v>
      </c>
      <c r="P113" s="9">
        <v>0.3657815158367157</v>
      </c>
      <c r="Q113" s="9">
        <v>0.29433226585388184</v>
      </c>
      <c r="R113" s="9">
        <v>-6.7920632660388947E-2</v>
      </c>
      <c r="S113" s="9">
        <v>1.8814887851476669E-2</v>
      </c>
    </row>
    <row r="114" spans="1:19" ht="18" thickBot="1" x14ac:dyDescent="0.25">
      <c r="A114" s="5" t="s">
        <v>109</v>
      </c>
      <c r="B114" s="2">
        <v>12767.46875</v>
      </c>
      <c r="C114" s="4" t="s">
        <v>221</v>
      </c>
      <c r="D114" s="4" t="s">
        <v>227</v>
      </c>
      <c r="E114" s="6">
        <v>225511792</v>
      </c>
      <c r="F114" s="6">
        <v>17663</v>
      </c>
      <c r="G114" s="4" t="s">
        <v>343</v>
      </c>
      <c r="H114" s="7">
        <v>-16307820</v>
      </c>
      <c r="I114" s="7">
        <v>-18343956</v>
      </c>
      <c r="J114" s="7">
        <v>-1898036</v>
      </c>
      <c r="K114" s="7">
        <v>-187662688</v>
      </c>
      <c r="L114" s="7">
        <v>241819616</v>
      </c>
      <c r="M114" s="8">
        <v>273713888</v>
      </c>
      <c r="N114" s="9">
        <v>1.0694054365158081</v>
      </c>
      <c r="O114" s="9">
        <v>0.85458415746688843</v>
      </c>
      <c r="P114" s="9">
        <v>1.0245046615600586</v>
      </c>
      <c r="Q114" s="9">
        <v>0.82438498735427856</v>
      </c>
      <c r="R114" s="9">
        <v>-6.6844269633293152E-2</v>
      </c>
      <c r="S114" s="9">
        <v>7.5647711753845215E-2</v>
      </c>
    </row>
    <row r="115" spans="1:19" ht="18" thickBot="1" x14ac:dyDescent="0.25">
      <c r="A115" s="5" t="s">
        <v>107</v>
      </c>
      <c r="B115" s="2">
        <v>12763.9033203125</v>
      </c>
      <c r="C115" s="4" t="s">
        <v>221</v>
      </c>
      <c r="D115" s="4" t="s">
        <v>229</v>
      </c>
      <c r="E115" s="6">
        <v>681919643648</v>
      </c>
      <c r="F115" s="6">
        <v>53425635</v>
      </c>
      <c r="G115" s="4" t="s">
        <v>341</v>
      </c>
      <c r="H115" s="7">
        <v>-16641351680</v>
      </c>
      <c r="I115" s="7">
        <v>-15944199168</v>
      </c>
      <c r="J115" s="7">
        <v>1103635328</v>
      </c>
      <c r="K115" s="7">
        <v>-309944778752</v>
      </c>
      <c r="L115" s="7">
        <v>698561003520</v>
      </c>
      <c r="M115" s="8">
        <v>797218045952</v>
      </c>
      <c r="N115" s="9">
        <v>0.4813077449798584</v>
      </c>
      <c r="O115" s="9">
        <v>0.38462302088737488</v>
      </c>
      <c r="P115" s="9">
        <v>0.44486710429191589</v>
      </c>
      <c r="Q115" s="9">
        <v>0.35796982049942017</v>
      </c>
      <c r="R115" s="9">
        <v>-2.3584896698594093E-2</v>
      </c>
      <c r="S115" s="9">
        <v>3.3551745116710663E-2</v>
      </c>
    </row>
    <row r="116" spans="1:19" ht="18" thickBot="1" x14ac:dyDescent="0.25">
      <c r="A116" s="5" t="s">
        <v>116</v>
      </c>
      <c r="B116" s="2">
        <v>12041.8037109375</v>
      </c>
      <c r="C116" s="4" t="s">
        <v>221</v>
      </c>
      <c r="D116" s="4" t="s">
        <v>229</v>
      </c>
      <c r="E116" s="6">
        <v>1412539648</v>
      </c>
      <c r="F116" s="6">
        <v>117303</v>
      </c>
      <c r="G116" s="4" t="s">
        <v>350</v>
      </c>
      <c r="H116" s="7">
        <v>-100766200</v>
      </c>
      <c r="I116" s="7">
        <v>-60791260</v>
      </c>
      <c r="J116" s="7">
        <v>-48142344</v>
      </c>
      <c r="K116" s="7">
        <v>-2352814592</v>
      </c>
      <c r="L116" s="7">
        <v>1513305856</v>
      </c>
      <c r="M116" s="8">
        <v>1725509504</v>
      </c>
      <c r="N116" s="9">
        <v>0.70811718702316284</v>
      </c>
      <c r="O116" s="9">
        <v>0.56587117910385132</v>
      </c>
      <c r="P116" s="9">
        <v>0.78166729211807251</v>
      </c>
      <c r="Q116" s="9">
        <v>0.62898176908493042</v>
      </c>
      <c r="R116" s="9">
        <v>-7.6319083571434021E-2</v>
      </c>
      <c r="S116" s="9">
        <v>-6.9840200245380402E-2</v>
      </c>
    </row>
    <row r="117" spans="1:19" ht="18" thickBot="1" x14ac:dyDescent="0.25">
      <c r="A117" s="5" t="s">
        <v>115</v>
      </c>
      <c r="B117" s="2">
        <v>11827.095703125</v>
      </c>
      <c r="C117" s="4" t="s">
        <v>221</v>
      </c>
      <c r="D117" s="4" t="s">
        <v>229</v>
      </c>
      <c r="E117" s="6">
        <v>82944344064</v>
      </c>
      <c r="F117" s="6">
        <v>7013078</v>
      </c>
      <c r="G117" s="4" t="s">
        <v>349</v>
      </c>
      <c r="H117" s="7">
        <v>-3476565504</v>
      </c>
      <c r="I117" s="7">
        <v>-4012494592</v>
      </c>
      <c r="J117" s="7">
        <v>923834752</v>
      </c>
      <c r="K117" s="7">
        <v>-35359469568</v>
      </c>
      <c r="L117" s="7">
        <v>86420914176</v>
      </c>
      <c r="M117" s="8">
        <v>95415140352</v>
      </c>
      <c r="N117" s="9">
        <v>0.41499623656272888</v>
      </c>
      <c r="O117" s="9">
        <v>0.33163213729858398</v>
      </c>
      <c r="P117" s="9">
        <v>0.48213377594947815</v>
      </c>
      <c r="Q117" s="9">
        <v>0.38795709609985352</v>
      </c>
      <c r="R117" s="9">
        <v>-4.0898747742176056E-2</v>
      </c>
      <c r="S117" s="9">
        <v>2.4232352152466774E-2</v>
      </c>
    </row>
    <row r="118" spans="1:19" ht="18" thickBot="1" x14ac:dyDescent="0.25">
      <c r="A118" s="5" t="s">
        <v>111</v>
      </c>
      <c r="B118" s="2">
        <v>11425.5693359375</v>
      </c>
      <c r="C118" s="4" t="s">
        <v>221</v>
      </c>
      <c r="D118" s="4" t="s">
        <v>230</v>
      </c>
      <c r="E118" s="6">
        <v>40184868864</v>
      </c>
      <c r="F118" s="6">
        <v>3517100</v>
      </c>
      <c r="G118" s="4" t="s">
        <v>345</v>
      </c>
      <c r="H118" s="7">
        <v>-5721494016</v>
      </c>
      <c r="I118" s="7">
        <v>-6339918848</v>
      </c>
      <c r="J118" s="7">
        <v>619386880</v>
      </c>
      <c r="K118" s="7">
        <v>-87404666880</v>
      </c>
      <c r="L118" s="7">
        <v>45906362368</v>
      </c>
      <c r="M118" s="8">
        <v>51125329920</v>
      </c>
      <c r="N118" s="9">
        <v>0.44323825836181641</v>
      </c>
      <c r="O118" s="9">
        <v>0.35420092940330505</v>
      </c>
      <c r="P118" s="9">
        <v>0.37954115867614746</v>
      </c>
      <c r="Q118" s="9">
        <v>0.30540421605110168</v>
      </c>
      <c r="R118" s="9">
        <v>-0.13986365497112274</v>
      </c>
      <c r="S118" s="9">
        <v>1.7668727785348892E-2</v>
      </c>
    </row>
    <row r="119" spans="1:19" ht="18" thickBot="1" x14ac:dyDescent="0.25">
      <c r="A119" s="5" t="s">
        <v>125</v>
      </c>
      <c r="B119" s="2">
        <v>11393.84765625</v>
      </c>
      <c r="C119" s="4" t="s">
        <v>221</v>
      </c>
      <c r="D119" s="4" t="s">
        <v>231</v>
      </c>
      <c r="E119" s="6">
        <v>540470706176</v>
      </c>
      <c r="F119" s="6">
        <v>47435312</v>
      </c>
      <c r="G119" s="4" t="s">
        <v>359</v>
      </c>
      <c r="H119" s="7">
        <v>-6984437760</v>
      </c>
      <c r="I119" s="7">
        <v>-7167519744</v>
      </c>
      <c r="J119" s="7">
        <v>188553376</v>
      </c>
      <c r="K119" s="7">
        <v>77451436032</v>
      </c>
      <c r="L119" s="7">
        <v>547455139840</v>
      </c>
      <c r="M119" s="8">
        <v>597296087040</v>
      </c>
      <c r="N119" s="9">
        <v>0.40791475772857666</v>
      </c>
      <c r="O119" s="9">
        <v>0.32597318291664124</v>
      </c>
      <c r="P119" s="9">
        <v>0.35666671395301819</v>
      </c>
      <c r="Q119" s="9">
        <v>0.28699788451194763</v>
      </c>
      <c r="R119" s="9">
        <v>-1.2853012420237064E-2</v>
      </c>
      <c r="S119" s="9">
        <v>5.4064230062067509E-3</v>
      </c>
    </row>
    <row r="120" spans="1:19" ht="18" thickBot="1" x14ac:dyDescent="0.25">
      <c r="A120" s="5" t="s">
        <v>120</v>
      </c>
      <c r="B120" s="2">
        <v>11210.88671875</v>
      </c>
      <c r="C120" s="4" t="s">
        <v>221</v>
      </c>
      <c r="D120" s="4" t="s">
        <v>232</v>
      </c>
      <c r="E120" s="6">
        <v>29071286272</v>
      </c>
      <c r="F120" s="6">
        <v>2593130</v>
      </c>
      <c r="G120" s="4" t="s">
        <v>354</v>
      </c>
      <c r="H120" s="7">
        <v>-4783664128</v>
      </c>
      <c r="I120" s="7">
        <v>-4456851456</v>
      </c>
      <c r="J120" s="7">
        <v>-12720060</v>
      </c>
      <c r="K120" s="7">
        <v>-33720449024</v>
      </c>
      <c r="L120" s="7">
        <v>33854951424</v>
      </c>
      <c r="M120" s="8">
        <v>39090851840</v>
      </c>
      <c r="N120" s="9">
        <v>0.48915830254554749</v>
      </c>
      <c r="O120" s="9">
        <v>0.39089658856391907</v>
      </c>
      <c r="P120" s="9">
        <v>0.54889219999313354</v>
      </c>
      <c r="Q120" s="9">
        <v>0.44167536497116089</v>
      </c>
      <c r="R120" s="9">
        <v>-0.16662672162055969</v>
      </c>
      <c r="S120" s="9">
        <v>-1.262397039681673E-2</v>
      </c>
    </row>
    <row r="121" spans="1:19" ht="18" thickBot="1" x14ac:dyDescent="0.25">
      <c r="A121" s="5" t="s">
        <v>117</v>
      </c>
      <c r="B121" s="2">
        <v>11173.6748046875</v>
      </c>
      <c r="C121" s="4" t="s">
        <v>221</v>
      </c>
      <c r="D121" s="4" t="s">
        <v>226</v>
      </c>
      <c r="E121" s="6">
        <v>18706128896</v>
      </c>
      <c r="F121" s="6">
        <v>1674125</v>
      </c>
      <c r="G121" s="4" t="s">
        <v>351</v>
      </c>
      <c r="H121" s="7">
        <v>342766112</v>
      </c>
      <c r="I121" s="7">
        <v>-396408608</v>
      </c>
      <c r="J121" s="7">
        <v>735975744</v>
      </c>
      <c r="K121" s="7">
        <v>-2941938944</v>
      </c>
      <c r="L121" s="7">
        <v>18363361280</v>
      </c>
      <c r="M121" s="8">
        <v>20571951104</v>
      </c>
      <c r="N121" s="9">
        <v>0.53356599807739258</v>
      </c>
      <c r="O121" s="9">
        <v>0.42638373374938965</v>
      </c>
      <c r="P121" s="9">
        <v>0.52981781959533691</v>
      </c>
      <c r="Q121" s="9">
        <v>0.42632687091827393</v>
      </c>
      <c r="R121" s="9">
        <v>1.5697857365012169E-2</v>
      </c>
      <c r="S121" s="9">
        <v>0.14330470561981201</v>
      </c>
    </row>
    <row r="122" spans="1:19" ht="18" thickBot="1" x14ac:dyDescent="0.25">
      <c r="A122" s="5" t="s">
        <v>114</v>
      </c>
      <c r="B122" s="2">
        <v>11014.67578125</v>
      </c>
      <c r="C122" s="4" t="s">
        <v>221</v>
      </c>
      <c r="D122" s="4" t="s">
        <v>232</v>
      </c>
      <c r="E122" s="6">
        <v>28220942336</v>
      </c>
      <c r="F122" s="6">
        <v>2562122</v>
      </c>
      <c r="G122" s="4" t="s">
        <v>348</v>
      </c>
      <c r="H122" s="7">
        <v>-582740224</v>
      </c>
      <c r="I122" s="7">
        <v>-598644416</v>
      </c>
      <c r="J122" s="7">
        <v>-20906316</v>
      </c>
      <c r="K122" s="7">
        <v>7724469248</v>
      </c>
      <c r="L122" s="7">
        <v>28803682304</v>
      </c>
      <c r="M122" s="8">
        <v>35834482688</v>
      </c>
      <c r="N122" s="9">
        <v>0.47033816576004028</v>
      </c>
      <c r="O122" s="9">
        <v>0.37585702538490295</v>
      </c>
      <c r="P122" s="9">
        <v>0.54025149345397949</v>
      </c>
      <c r="Q122" s="9">
        <v>0.43472248315811157</v>
      </c>
      <c r="R122" s="9">
        <v>-1.8069509416818619E-2</v>
      </c>
      <c r="S122" s="9">
        <v>0.12492980808019638</v>
      </c>
    </row>
    <row r="123" spans="1:19" ht="18" thickBot="1" x14ac:dyDescent="0.25">
      <c r="A123" s="5" t="s">
        <v>130</v>
      </c>
      <c r="B123" s="2">
        <v>10990.91796875</v>
      </c>
      <c r="C123" s="4" t="s">
        <v>221</v>
      </c>
      <c r="D123" s="4" t="s">
        <v>231</v>
      </c>
      <c r="E123" s="6">
        <v>81976369152</v>
      </c>
      <c r="F123" s="6">
        <v>7458555</v>
      </c>
      <c r="G123" s="4" t="s">
        <v>364</v>
      </c>
      <c r="H123" s="7">
        <v>4206456064</v>
      </c>
      <c r="I123" s="7">
        <v>4243316480</v>
      </c>
      <c r="J123" s="7">
        <v>-36744576</v>
      </c>
      <c r="K123" s="7">
        <v>350757552128</v>
      </c>
      <c r="L123" s="7">
        <v>77769916416</v>
      </c>
      <c r="M123" s="8">
        <v>81863065600</v>
      </c>
      <c r="N123" s="9">
        <v>0.44334399700164795</v>
      </c>
      <c r="O123" s="9">
        <v>0.35428541898727417</v>
      </c>
      <c r="P123" s="9">
        <v>0.48522698879241943</v>
      </c>
      <c r="Q123" s="9">
        <v>0.39044606685638428</v>
      </c>
      <c r="R123" s="9">
        <v>6.1348255723714828E-2</v>
      </c>
      <c r="S123" s="9">
        <v>-0.19556869566440582</v>
      </c>
    </row>
    <row r="124" spans="1:19" ht="18" thickBot="1" x14ac:dyDescent="0.25">
      <c r="A124" s="5" t="s">
        <v>119</v>
      </c>
      <c r="B124" s="2">
        <v>10894.30859375</v>
      </c>
      <c r="C124" s="4" t="s">
        <v>221</v>
      </c>
      <c r="D124" s="4" t="s">
        <v>229</v>
      </c>
      <c r="E124" s="6">
        <v>376688869376</v>
      </c>
      <c r="F124" s="6">
        <v>34576665</v>
      </c>
      <c r="G124" s="4" t="s">
        <v>353</v>
      </c>
      <c r="H124" s="7">
        <v>-28139735040</v>
      </c>
      <c r="I124" s="7">
        <v>-27680507904</v>
      </c>
      <c r="J124" s="7">
        <v>521448864</v>
      </c>
      <c r="K124" s="7">
        <v>-121662726144</v>
      </c>
      <c r="L124" s="7">
        <v>404828585984</v>
      </c>
      <c r="M124" s="8">
        <v>439974690816</v>
      </c>
      <c r="N124" s="9">
        <v>0.6449468731880188</v>
      </c>
      <c r="O124" s="9">
        <v>0.51539051532745361</v>
      </c>
      <c r="P124" s="9">
        <v>0.55516749620437622</v>
      </c>
      <c r="Q124" s="9">
        <v>0.44672486186027527</v>
      </c>
      <c r="R124" s="9">
        <v>-7.3250085115432739E-2</v>
      </c>
      <c r="S124" s="9">
        <v>1.9447388127446175E-2</v>
      </c>
    </row>
    <row r="125" spans="1:19" ht="18" thickBot="1" x14ac:dyDescent="0.25">
      <c r="A125" s="5" t="s">
        <v>121</v>
      </c>
      <c r="B125" s="2">
        <v>10704.3515625</v>
      </c>
      <c r="C125" s="4" t="s">
        <v>221</v>
      </c>
      <c r="D125" s="4" t="s">
        <v>228</v>
      </c>
      <c r="E125" s="6">
        <v>8527964160</v>
      </c>
      <c r="F125" s="6">
        <v>796682</v>
      </c>
      <c r="G125" s="4" t="s">
        <v>355</v>
      </c>
      <c r="H125" s="7">
        <v>-512291648</v>
      </c>
      <c r="I125" s="7">
        <v>-511826464</v>
      </c>
      <c r="J125" s="7">
        <v>3253730</v>
      </c>
      <c r="K125" s="7">
        <v>-11038770176</v>
      </c>
      <c r="L125" s="7">
        <v>9040256000</v>
      </c>
      <c r="M125" s="8">
        <v>9917011968</v>
      </c>
      <c r="N125" s="9">
        <v>0.29247269034385681</v>
      </c>
      <c r="O125" s="9">
        <v>0.23372100293636322</v>
      </c>
      <c r="P125" s="9">
        <v>0.32970067858695984</v>
      </c>
      <c r="Q125" s="9">
        <v>0.2652992308139801</v>
      </c>
      <c r="R125" s="9">
        <v>-5.9721823781728745E-2</v>
      </c>
      <c r="S125" s="9">
        <v>5.8288290165364742E-3</v>
      </c>
    </row>
    <row r="126" spans="1:19" ht="18" thickBot="1" x14ac:dyDescent="0.25">
      <c r="A126" s="5" t="s">
        <v>118</v>
      </c>
      <c r="B126" s="2">
        <v>10619.31640625</v>
      </c>
      <c r="C126" s="4" t="s">
        <v>221</v>
      </c>
      <c r="D126" s="4" t="s">
        <v>229</v>
      </c>
      <c r="E126" s="6">
        <v>332788128</v>
      </c>
      <c r="F126" s="6">
        <v>31338</v>
      </c>
      <c r="G126" s="4" t="s">
        <v>352</v>
      </c>
      <c r="H126" s="7">
        <v>-165519792</v>
      </c>
      <c r="I126" s="7">
        <v>-168012560</v>
      </c>
      <c r="J126" s="7">
        <v>-665003.875</v>
      </c>
      <c r="K126" s="7">
        <v>5070880256</v>
      </c>
      <c r="L126" s="7">
        <v>498307936</v>
      </c>
      <c r="M126" s="8">
        <v>579444288</v>
      </c>
      <c r="N126" s="9">
        <v>1.9076004028320312</v>
      </c>
      <c r="O126" s="9">
        <v>1.5244030952453613</v>
      </c>
      <c r="P126" s="9">
        <v>1.5894583463668823</v>
      </c>
      <c r="Q126" s="9">
        <v>1.278984546661377</v>
      </c>
      <c r="R126" s="9">
        <v>-0.47464299201965332</v>
      </c>
      <c r="S126" s="9">
        <v>4.5699901878833771E-2</v>
      </c>
    </row>
    <row r="127" spans="1:19" ht="18" thickBot="1" x14ac:dyDescent="0.25">
      <c r="A127" s="5" t="s">
        <v>113</v>
      </c>
      <c r="B127" s="2">
        <v>10503.4873046875</v>
      </c>
      <c r="C127" s="4" t="s">
        <v>221</v>
      </c>
      <c r="D127" s="4" t="s">
        <v>233</v>
      </c>
      <c r="E127" s="6">
        <v>409429901312</v>
      </c>
      <c r="F127" s="6">
        <v>38980376</v>
      </c>
      <c r="G127" s="4" t="s">
        <v>347</v>
      </c>
      <c r="H127" s="7">
        <v>353799968</v>
      </c>
      <c r="I127" s="7">
        <v>-19732369408</v>
      </c>
      <c r="J127" s="7">
        <v>19716927488</v>
      </c>
      <c r="K127" s="7">
        <v>-23821819904</v>
      </c>
      <c r="L127" s="7">
        <v>409076105216</v>
      </c>
      <c r="M127" s="8">
        <v>466673467392</v>
      </c>
      <c r="N127" s="9">
        <v>0.38602381944656372</v>
      </c>
      <c r="O127" s="9">
        <v>0.30847969651222229</v>
      </c>
      <c r="P127" s="9">
        <v>0.3325771689414978</v>
      </c>
      <c r="Q127" s="9">
        <v>0.26761382818222046</v>
      </c>
      <c r="R127" s="9">
        <v>7.5813394505530596E-4</v>
      </c>
      <c r="S127" s="9">
        <v>0.12266045063734055</v>
      </c>
    </row>
    <row r="128" spans="1:19" ht="18" thickBot="1" x14ac:dyDescent="0.25">
      <c r="A128" s="5" t="s">
        <v>124</v>
      </c>
      <c r="B128" s="2">
        <v>10207.1640625</v>
      </c>
      <c r="C128" s="4" t="s">
        <v>221</v>
      </c>
      <c r="D128" s="4" t="s">
        <v>228</v>
      </c>
      <c r="E128" s="6">
        <v>1037032816640</v>
      </c>
      <c r="F128" s="6">
        <v>101598527</v>
      </c>
      <c r="G128" s="4" t="s">
        <v>358</v>
      </c>
      <c r="H128" s="7">
        <v>-64866377728</v>
      </c>
      <c r="I128" s="7">
        <v>-72765734912</v>
      </c>
      <c r="J128" s="7">
        <v>423000128</v>
      </c>
      <c r="K128" s="7">
        <v>-502651191296</v>
      </c>
      <c r="L128" s="7">
        <v>1101899235328</v>
      </c>
      <c r="M128" s="8">
        <v>1248073220096</v>
      </c>
      <c r="N128" s="9">
        <v>0.33441650867462158</v>
      </c>
      <c r="O128" s="9">
        <v>0.26723918318748474</v>
      </c>
      <c r="P128" s="9">
        <v>0.38205868005752563</v>
      </c>
      <c r="Q128" s="9">
        <v>0.3074299693107605</v>
      </c>
      <c r="R128" s="9">
        <v>-6.1628282070159912E-2</v>
      </c>
      <c r="S128" s="9">
        <v>1.4735234901309013E-2</v>
      </c>
    </row>
    <row r="129" spans="1:19" ht="18" thickBot="1" x14ac:dyDescent="0.25">
      <c r="A129" s="5" t="s">
        <v>123</v>
      </c>
      <c r="B129" s="2">
        <v>9966.8466796875</v>
      </c>
      <c r="C129" s="4" t="s">
        <v>221</v>
      </c>
      <c r="D129" s="4" t="s">
        <v>228</v>
      </c>
      <c r="E129" s="6">
        <v>231524564992</v>
      </c>
      <c r="F129" s="6">
        <v>23229470</v>
      </c>
      <c r="G129" s="4" t="s">
        <v>357</v>
      </c>
      <c r="H129" s="7">
        <v>-6728849408</v>
      </c>
      <c r="I129" s="7">
        <v>-7011991040</v>
      </c>
      <c r="J129" s="7">
        <v>341748352</v>
      </c>
      <c r="K129" s="7">
        <v>-142269104128</v>
      </c>
      <c r="L129" s="7">
        <v>238253408256</v>
      </c>
      <c r="M129" s="8">
        <v>251205828608</v>
      </c>
      <c r="N129" s="9">
        <v>0.36724260449409485</v>
      </c>
      <c r="O129" s="9">
        <v>0.29347124695777893</v>
      </c>
      <c r="P129" s="9">
        <v>0.34717312455177307</v>
      </c>
      <c r="Q129" s="9">
        <v>0.27935871481895447</v>
      </c>
      <c r="R129" s="9">
        <v>-2.7697294950485229E-2</v>
      </c>
      <c r="S129" s="9">
        <v>4.6998422592878342E-2</v>
      </c>
    </row>
    <row r="130" spans="1:19" ht="18" thickBot="1" x14ac:dyDescent="0.25">
      <c r="A130" s="5" t="s">
        <v>133</v>
      </c>
      <c r="B130" s="2">
        <v>9755.375</v>
      </c>
      <c r="C130" s="4" t="s">
        <v>221</v>
      </c>
      <c r="D130" s="4" t="s">
        <v>228</v>
      </c>
      <c r="E130" s="6">
        <v>2787317907456</v>
      </c>
      <c r="F130" s="6">
        <v>285721236</v>
      </c>
      <c r="G130" s="4" t="s">
        <v>367</v>
      </c>
      <c r="H130" s="7">
        <v>-87117758464</v>
      </c>
      <c r="I130" s="7">
        <v>-81350475776</v>
      </c>
      <c r="J130" s="7">
        <v>-1643997440</v>
      </c>
      <c r="K130" s="7">
        <v>-509875748864</v>
      </c>
      <c r="L130" s="7">
        <v>2874435698688</v>
      </c>
      <c r="M130" s="8">
        <v>3409270538240</v>
      </c>
      <c r="N130" s="9">
        <v>0.36571139097213745</v>
      </c>
      <c r="O130" s="9">
        <v>0.29224762320518494</v>
      </c>
      <c r="P130" s="9">
        <v>0.41764163970947266</v>
      </c>
      <c r="Q130" s="9">
        <v>0.33606240153312683</v>
      </c>
      <c r="R130" s="9">
        <v>-3.1332448124885559E-2</v>
      </c>
      <c r="S130" s="9">
        <v>-2.4764563422650099E-3</v>
      </c>
    </row>
    <row r="131" spans="1:19" ht="18" thickBot="1" x14ac:dyDescent="0.25">
      <c r="A131" s="5" t="s">
        <v>126</v>
      </c>
      <c r="B131" s="2">
        <v>9576.3037109375</v>
      </c>
      <c r="C131" s="4" t="s">
        <v>221</v>
      </c>
      <c r="D131" s="4" t="s">
        <v>229</v>
      </c>
      <c r="E131" s="6">
        <v>175149596672</v>
      </c>
      <c r="F131" s="6">
        <v>18289896</v>
      </c>
      <c r="G131" s="4" t="s">
        <v>360</v>
      </c>
      <c r="H131" s="7">
        <v>-5000586240</v>
      </c>
      <c r="I131" s="7">
        <v>-4742600192</v>
      </c>
      <c r="J131" s="7">
        <v>947739.3125</v>
      </c>
      <c r="K131" s="7">
        <v>-29151006720</v>
      </c>
      <c r="L131" s="7">
        <v>180150190080</v>
      </c>
      <c r="M131" s="8">
        <v>208061251584</v>
      </c>
      <c r="N131" s="9">
        <v>0.53517866134643555</v>
      </c>
      <c r="O131" s="9">
        <v>0.42767238616943359</v>
      </c>
      <c r="P131" s="9">
        <v>0.55767112970352173</v>
      </c>
      <c r="Q131" s="9">
        <v>0.44873946905136108</v>
      </c>
      <c r="R131" s="9">
        <v>-2.7345174923539162E-2</v>
      </c>
      <c r="S131" s="9">
        <v>4.2213011533021927E-2</v>
      </c>
    </row>
    <row r="132" spans="1:19" ht="18" thickBot="1" x14ac:dyDescent="0.25">
      <c r="A132" s="5" t="s">
        <v>108</v>
      </c>
      <c r="B132" s="2">
        <v>9522.1259765625</v>
      </c>
      <c r="C132" s="4" t="s">
        <v>221</v>
      </c>
      <c r="D132" s="4" t="s">
        <v>227</v>
      </c>
      <c r="E132" s="6">
        <v>114503568</v>
      </c>
      <c r="F132" s="6">
        <v>12025</v>
      </c>
      <c r="G132" s="4" t="s">
        <v>342</v>
      </c>
      <c r="H132" s="7">
        <v>15176859</v>
      </c>
      <c r="I132" s="7">
        <v>-2173143.75</v>
      </c>
      <c r="J132" s="7">
        <v>-1456603.875</v>
      </c>
      <c r="K132" s="7">
        <v>241489696</v>
      </c>
      <c r="L132" s="7">
        <v>99326712</v>
      </c>
      <c r="M132" s="8">
        <v>112431440</v>
      </c>
      <c r="N132" s="9">
        <v>1.3497804403305054</v>
      </c>
      <c r="O132" s="9">
        <v>1.0786377191543579</v>
      </c>
      <c r="P132" s="9">
        <v>1.5468791723251343</v>
      </c>
      <c r="Q132" s="9">
        <v>1.2447224855422974</v>
      </c>
      <c r="R132" s="9">
        <v>0.13226231932640076</v>
      </c>
      <c r="S132" s="9">
        <v>2.1315882913768291E-3</v>
      </c>
    </row>
    <row r="133" spans="1:19" ht="18" thickBot="1" x14ac:dyDescent="0.25">
      <c r="A133" s="5" t="s">
        <v>129</v>
      </c>
      <c r="B133" s="2">
        <v>9131.0087890625</v>
      </c>
      <c r="C133" s="4" t="s">
        <v>222</v>
      </c>
      <c r="D133" s="4" t="s">
        <v>232</v>
      </c>
      <c r="E133" s="6">
        <v>591208316928</v>
      </c>
      <c r="F133" s="6">
        <v>64747319</v>
      </c>
      <c r="G133" s="4" t="s">
        <v>363</v>
      </c>
      <c r="H133" s="7">
        <v>-9701972992</v>
      </c>
      <c r="I133" s="7">
        <v>-9824151552</v>
      </c>
      <c r="J133" s="7">
        <v>-170402720</v>
      </c>
      <c r="K133" s="7">
        <v>200134131712</v>
      </c>
      <c r="L133" s="7">
        <v>600910266368</v>
      </c>
      <c r="M133" s="8">
        <v>698486620160</v>
      </c>
      <c r="N133" s="9">
        <v>0.52392470836639404</v>
      </c>
      <c r="O133" s="9">
        <v>0.41867911815643311</v>
      </c>
      <c r="P133" s="9">
        <v>0.62026506662368774</v>
      </c>
      <c r="Q133" s="9">
        <v>0.499106764793396</v>
      </c>
      <c r="R133" s="9">
        <v>-1.649157889187336E-2</v>
      </c>
      <c r="S133" s="9">
        <v>-4.945982713252306E-3</v>
      </c>
    </row>
    <row r="134" spans="1:19" ht="18" thickBot="1" x14ac:dyDescent="0.25">
      <c r="A134" s="5" t="s">
        <v>131</v>
      </c>
      <c r="B134" s="2">
        <v>9042.8203125</v>
      </c>
      <c r="C134" s="4" t="s">
        <v>222</v>
      </c>
      <c r="D134" s="4" t="s">
        <v>231</v>
      </c>
      <c r="E134" s="6">
        <v>835716448256</v>
      </c>
      <c r="F134" s="6">
        <v>92417681</v>
      </c>
      <c r="G134" s="4" t="s">
        <v>365</v>
      </c>
      <c r="H134" s="7">
        <v>-13893675008</v>
      </c>
      <c r="I134" s="7">
        <v>-12485280768</v>
      </c>
      <c r="J134" s="7">
        <v>-1149654656</v>
      </c>
      <c r="K134" s="7">
        <v>403209715712</v>
      </c>
      <c r="L134" s="7">
        <v>849610145792</v>
      </c>
      <c r="M134" s="8">
        <v>1078651846656</v>
      </c>
      <c r="N134" s="9">
        <v>0.49030628800392151</v>
      </c>
      <c r="O134" s="9">
        <v>0.39181399345397949</v>
      </c>
      <c r="P134" s="9">
        <v>0.32408693432807922</v>
      </c>
      <c r="Q134" s="9">
        <v>0.26078203320503235</v>
      </c>
      <c r="R134" s="9">
        <v>-1.5988647937774658E-2</v>
      </c>
      <c r="S134" s="9">
        <v>3.8269117474555969E-2</v>
      </c>
    </row>
    <row r="135" spans="1:19" ht="18" thickBot="1" x14ac:dyDescent="0.25">
      <c r="A135" s="5" t="s">
        <v>132</v>
      </c>
      <c r="B135" s="2">
        <v>9015.83984375</v>
      </c>
      <c r="C135" s="4" t="s">
        <v>222</v>
      </c>
      <c r="D135" s="4" t="s">
        <v>229</v>
      </c>
      <c r="E135" s="6">
        <v>168486944768</v>
      </c>
      <c r="F135" s="6">
        <v>18687881</v>
      </c>
      <c r="G135" s="4" t="s">
        <v>366</v>
      </c>
      <c r="H135" s="7">
        <v>-2446894592</v>
      </c>
      <c r="I135" s="7">
        <v>-2541652992</v>
      </c>
      <c r="J135" s="7">
        <v>364251200</v>
      </c>
      <c r="K135" s="7">
        <v>655046784</v>
      </c>
      <c r="L135" s="7">
        <v>170933829632</v>
      </c>
      <c r="M135" s="8">
        <v>192274972672</v>
      </c>
      <c r="N135" s="9">
        <v>0.53369277715682983</v>
      </c>
      <c r="O135" s="9">
        <v>0.42648500204086304</v>
      </c>
      <c r="P135" s="9">
        <v>0.51628661155700684</v>
      </c>
      <c r="Q135" s="9">
        <v>0.41543877124786377</v>
      </c>
      <c r="R135" s="9">
        <v>-1.240068580955267E-2</v>
      </c>
      <c r="S135" s="9">
        <v>0.14612032473087311</v>
      </c>
    </row>
    <row r="136" spans="1:19" ht="18" thickBot="1" x14ac:dyDescent="0.25">
      <c r="A136" s="5" t="s">
        <v>122</v>
      </c>
      <c r="B136" s="2">
        <v>8992.380859375</v>
      </c>
      <c r="C136" s="4" t="s">
        <v>222</v>
      </c>
      <c r="D136" s="4" t="s">
        <v>232</v>
      </c>
      <c r="E136" s="6">
        <v>17431109632</v>
      </c>
      <c r="F136" s="6">
        <v>1938431</v>
      </c>
      <c r="G136" s="4" t="s">
        <v>356</v>
      </c>
      <c r="H136" s="7">
        <v>-200728896</v>
      </c>
      <c r="I136" s="7">
        <v>-172907760</v>
      </c>
      <c r="J136" s="7">
        <v>-8849385</v>
      </c>
      <c r="K136" s="7">
        <v>-25041242112</v>
      </c>
      <c r="L136" s="7">
        <v>17631838208</v>
      </c>
      <c r="M136" s="8">
        <v>21111377920</v>
      </c>
      <c r="N136" s="9">
        <v>0.50401562452316284</v>
      </c>
      <c r="O136" s="9">
        <v>0.40276941657066345</v>
      </c>
      <c r="P136" s="9">
        <v>0.51313561201095581</v>
      </c>
      <c r="Q136" s="9">
        <v>0.41290324926376343</v>
      </c>
      <c r="R136" s="9">
        <v>-1.1634091846644878E-2</v>
      </c>
      <c r="S136" s="9">
        <v>-1.0293655097484589E-2</v>
      </c>
    </row>
    <row r="137" spans="1:19" ht="18" thickBot="1" x14ac:dyDescent="0.25">
      <c r="A137" s="5" t="s">
        <v>127</v>
      </c>
      <c r="B137" s="2">
        <v>8987.2998046875</v>
      </c>
      <c r="C137" s="4" t="s">
        <v>222</v>
      </c>
      <c r="D137" s="4" t="s">
        <v>226</v>
      </c>
      <c r="E137" s="6">
        <v>26926903296</v>
      </c>
      <c r="F137" s="6">
        <v>2996106</v>
      </c>
      <c r="G137" s="4" t="s">
        <v>361</v>
      </c>
      <c r="H137" s="7">
        <v>105648952</v>
      </c>
      <c r="I137" s="7">
        <v>-1201076992</v>
      </c>
      <c r="J137" s="7">
        <v>1277608832</v>
      </c>
      <c r="K137" s="7">
        <v>-9083421696</v>
      </c>
      <c r="L137" s="7">
        <v>26821255168</v>
      </c>
      <c r="M137" s="8">
        <v>31959836672</v>
      </c>
      <c r="N137" s="9">
        <v>0.56078112125396729</v>
      </c>
      <c r="O137" s="9">
        <v>0.44813188910484314</v>
      </c>
      <c r="P137" s="9">
        <v>0.41799440979957581</v>
      </c>
      <c r="Q137" s="9">
        <v>0.33634626865386963</v>
      </c>
      <c r="R137" s="9">
        <v>3.6200426984578371E-3</v>
      </c>
      <c r="S137" s="9">
        <v>7.7354349195957184E-2</v>
      </c>
    </row>
    <row r="138" spans="1:19" ht="18" thickBot="1" x14ac:dyDescent="0.25">
      <c r="A138" s="5" t="s">
        <v>128</v>
      </c>
      <c r="B138" s="2">
        <v>8821.0673828125</v>
      </c>
      <c r="C138" s="4" t="s">
        <v>222</v>
      </c>
      <c r="D138" s="4" t="s">
        <v>227</v>
      </c>
      <c r="E138" s="6">
        <v>8231414272</v>
      </c>
      <c r="F138" s="6">
        <v>933154</v>
      </c>
      <c r="G138" s="4" t="s">
        <v>362</v>
      </c>
      <c r="H138" s="7">
        <v>-635334464</v>
      </c>
      <c r="I138" s="7">
        <v>-690240448</v>
      </c>
      <c r="J138" s="7">
        <v>40109132</v>
      </c>
      <c r="K138" s="7">
        <v>-11012185088</v>
      </c>
      <c r="L138" s="7">
        <v>8866748416</v>
      </c>
      <c r="M138" s="8">
        <v>10339251200</v>
      </c>
      <c r="N138" s="9">
        <v>0.50599950551986694</v>
      </c>
      <c r="O138" s="9">
        <v>0.4043547511100769</v>
      </c>
      <c r="P138" s="9">
        <v>0.5461917519569397</v>
      </c>
      <c r="Q138" s="9">
        <v>0.43950244784355164</v>
      </c>
      <c r="R138" s="9">
        <v>-7.0744909346103668E-2</v>
      </c>
      <c r="S138" s="9">
        <v>8.3426587283611298E-2</v>
      </c>
    </row>
    <row r="139" spans="1:19" ht="18" thickBot="1" x14ac:dyDescent="0.25">
      <c r="A139" s="5" t="s">
        <v>135</v>
      </c>
      <c r="B139" s="2">
        <v>8777.0087890625</v>
      </c>
      <c r="C139" s="4" t="s">
        <v>222</v>
      </c>
      <c r="D139" s="4" t="s">
        <v>231</v>
      </c>
      <c r="E139" s="6">
        <v>108383535104</v>
      </c>
      <c r="F139" s="6">
        <v>12348573</v>
      </c>
      <c r="G139" s="4" t="s">
        <v>369</v>
      </c>
      <c r="H139" s="7">
        <v>-3296379648</v>
      </c>
      <c r="I139" s="7">
        <v>-4131664640</v>
      </c>
      <c r="J139" s="7">
        <v>830388032</v>
      </c>
      <c r="K139" s="7">
        <v>-148442611712</v>
      </c>
      <c r="L139" s="7">
        <v>111679922176</v>
      </c>
      <c r="M139" s="8">
        <v>127588483072</v>
      </c>
      <c r="N139" s="9">
        <v>0.41264393925666809</v>
      </c>
      <c r="O139" s="9">
        <v>0.32975238561630249</v>
      </c>
      <c r="P139" s="9">
        <v>0.39016580581665039</v>
      </c>
      <c r="Q139" s="9">
        <v>0.31395348906517029</v>
      </c>
      <c r="R139" s="9">
        <v>-2.8927018865942955E-2</v>
      </c>
      <c r="S139" s="9">
        <v>4.8892121762037277E-2</v>
      </c>
    </row>
    <row r="140" spans="1:19" ht="18" thickBot="1" x14ac:dyDescent="0.25">
      <c r="A140" s="5" t="s">
        <v>134</v>
      </c>
      <c r="B140" s="2">
        <v>8768.6240234375</v>
      </c>
      <c r="C140" s="4" t="s">
        <v>222</v>
      </c>
      <c r="D140" s="4" t="s">
        <v>231</v>
      </c>
      <c r="E140" s="6">
        <v>412307488768</v>
      </c>
      <c r="F140" s="6">
        <v>47020774</v>
      </c>
      <c r="G140" s="4" t="s">
        <v>368</v>
      </c>
      <c r="H140" s="7">
        <v>2027154816</v>
      </c>
      <c r="I140" s="7">
        <v>2105148288</v>
      </c>
      <c r="J140" s="7">
        <v>-30816340</v>
      </c>
      <c r="K140" s="7">
        <v>67551612928</v>
      </c>
      <c r="L140" s="7">
        <v>410280329216</v>
      </c>
      <c r="M140" s="8">
        <v>463086780416</v>
      </c>
      <c r="N140" s="9">
        <v>0.46876135468482971</v>
      </c>
      <c r="O140" s="9">
        <v>0.37459695339202881</v>
      </c>
      <c r="P140" s="9">
        <v>0.47521522641181946</v>
      </c>
      <c r="Q140" s="9">
        <v>0.38238993287086487</v>
      </c>
      <c r="R140" s="9">
        <v>4.9197804182767868E-3</v>
      </c>
      <c r="S140" s="9">
        <v>-6.4497831044718623E-4</v>
      </c>
    </row>
    <row r="141" spans="1:19" ht="18" thickBot="1" x14ac:dyDescent="0.25">
      <c r="A141" s="5" t="s">
        <v>137</v>
      </c>
      <c r="B141" s="2">
        <v>8390.4287109375</v>
      </c>
      <c r="C141" s="4" t="s">
        <v>222</v>
      </c>
      <c r="D141" s="4" t="s">
        <v>229</v>
      </c>
      <c r="E141" s="6">
        <v>53409300480</v>
      </c>
      <c r="F141" s="6">
        <v>6365503</v>
      </c>
      <c r="G141" s="4" t="s">
        <v>371</v>
      </c>
      <c r="H141" s="7">
        <v>-3850994688</v>
      </c>
      <c r="I141" s="7">
        <v>-3840827136</v>
      </c>
      <c r="J141" s="7">
        <v>59044760</v>
      </c>
      <c r="K141" s="7">
        <v>-33420105728</v>
      </c>
      <c r="L141" s="7">
        <v>57260294144</v>
      </c>
      <c r="M141" s="8">
        <v>60874178560</v>
      </c>
      <c r="N141" s="9">
        <v>0.51942479610443115</v>
      </c>
      <c r="O141" s="9">
        <v>0.41508319973945618</v>
      </c>
      <c r="P141" s="9">
        <v>0.53374230861663818</v>
      </c>
      <c r="Q141" s="9">
        <v>0.4294847846031189</v>
      </c>
      <c r="R141" s="9">
        <v>-5.8913134038448334E-2</v>
      </c>
      <c r="S141" s="9">
        <v>0.18293590843677521</v>
      </c>
    </row>
    <row r="142" spans="1:19" ht="18" thickBot="1" x14ac:dyDescent="0.25">
      <c r="A142" s="5" t="s">
        <v>140</v>
      </c>
      <c r="B142" s="2">
        <v>8049.4716796875</v>
      </c>
      <c r="C142" s="4" t="s">
        <v>222</v>
      </c>
      <c r="D142" s="4" t="s">
        <v>229</v>
      </c>
      <c r="E142" s="6">
        <v>22836971520</v>
      </c>
      <c r="F142" s="6">
        <v>2837077</v>
      </c>
      <c r="G142" s="4" t="s">
        <v>374</v>
      </c>
      <c r="H142" s="7">
        <v>-703181312</v>
      </c>
      <c r="I142" s="7">
        <v>-838013184</v>
      </c>
      <c r="J142" s="7">
        <v>166328624</v>
      </c>
      <c r="K142" s="7">
        <v>-26018764800</v>
      </c>
      <c r="L142" s="7">
        <v>23540152320</v>
      </c>
      <c r="M142" s="8">
        <v>25880717312</v>
      </c>
      <c r="N142" s="9">
        <v>0.72874176502227783</v>
      </c>
      <c r="O142" s="9">
        <v>0.58235275745391846</v>
      </c>
      <c r="P142" s="9">
        <v>0.67026364803314209</v>
      </c>
      <c r="Q142" s="9">
        <v>0.53933894634246826</v>
      </c>
      <c r="R142" s="9">
        <v>-2.7351932600140572E-2</v>
      </c>
      <c r="S142" s="9">
        <v>0.11170093715190887</v>
      </c>
    </row>
    <row r="143" spans="1:19" ht="18" thickBot="1" x14ac:dyDescent="0.25">
      <c r="A143" s="5" t="s">
        <v>136</v>
      </c>
      <c r="B143" s="2">
        <v>7826.72412109375</v>
      </c>
      <c r="C143" s="4" t="s">
        <v>222</v>
      </c>
      <c r="D143" s="4" t="s">
        <v>229</v>
      </c>
      <c r="E143" s="6">
        <v>3310109440</v>
      </c>
      <c r="F143" s="6">
        <v>422924</v>
      </c>
      <c r="G143" s="4" t="s">
        <v>370</v>
      </c>
      <c r="H143" s="7">
        <v>-203200352</v>
      </c>
      <c r="I143" s="7">
        <v>-197739456</v>
      </c>
      <c r="J143" s="7">
        <v>-1620691.625</v>
      </c>
      <c r="K143" s="7">
        <v>-4463494656</v>
      </c>
      <c r="L143" s="7">
        <v>3513309696</v>
      </c>
      <c r="M143" s="8">
        <v>4292675840</v>
      </c>
      <c r="N143" s="9">
        <v>0.65464663505554199</v>
      </c>
      <c r="O143" s="9">
        <v>0.52314180135726929</v>
      </c>
      <c r="P143" s="9">
        <v>0.65158659219741821</v>
      </c>
      <c r="Q143" s="9">
        <v>0.52431017160415649</v>
      </c>
      <c r="R143" s="9">
        <v>-5.8965858072042465E-2</v>
      </c>
      <c r="S143" s="9">
        <v>3.9453204721212387E-2</v>
      </c>
    </row>
    <row r="144" spans="1:19" ht="18" thickBot="1" x14ac:dyDescent="0.25">
      <c r="A144" s="5" t="s">
        <v>139</v>
      </c>
      <c r="B144" s="2">
        <v>7649.17529296875</v>
      </c>
      <c r="C144" s="4" t="s">
        <v>222</v>
      </c>
      <c r="D144" s="4" t="s">
        <v>231</v>
      </c>
      <c r="E144" s="6">
        <v>44743245824</v>
      </c>
      <c r="F144" s="6">
        <v>5849421</v>
      </c>
      <c r="G144" s="4" t="s">
        <v>373</v>
      </c>
      <c r="H144" s="7">
        <v>118312368</v>
      </c>
      <c r="I144" s="7">
        <v>-110971344</v>
      </c>
      <c r="J144" s="7">
        <v>44553852</v>
      </c>
      <c r="K144" s="7">
        <v>-139981996032</v>
      </c>
      <c r="L144" s="7">
        <v>44624932864</v>
      </c>
      <c r="M144" s="8">
        <v>48542756864</v>
      </c>
      <c r="N144" s="9">
        <v>0.77943688631057739</v>
      </c>
      <c r="O144" s="9">
        <v>0.6228642463684082</v>
      </c>
      <c r="P144" s="9">
        <v>0.7052532434463501</v>
      </c>
      <c r="Q144" s="9">
        <v>0.56749391555786133</v>
      </c>
      <c r="R144" s="9">
        <v>2.4175858125090599E-3</v>
      </c>
      <c r="S144" s="9">
        <v>8.571990579366684E-2</v>
      </c>
    </row>
    <row r="145" spans="1:19" ht="18" thickBot="1" x14ac:dyDescent="0.25">
      <c r="A145" s="5" t="s">
        <v>138</v>
      </c>
      <c r="B145" s="2">
        <v>7613.03076171875</v>
      </c>
      <c r="C145" s="4" t="s">
        <v>222</v>
      </c>
      <c r="D145" s="4" t="s">
        <v>228</v>
      </c>
      <c r="E145" s="6">
        <v>889102729216</v>
      </c>
      <c r="F145" s="6">
        <v>116786962</v>
      </c>
      <c r="G145" s="4" t="s">
        <v>372</v>
      </c>
      <c r="H145" s="7">
        <v>405438528</v>
      </c>
      <c r="I145" s="7">
        <v>-18527582208</v>
      </c>
      <c r="J145" s="7">
        <v>13836580864</v>
      </c>
      <c r="K145" s="7">
        <v>-100727169024</v>
      </c>
      <c r="L145" s="7">
        <v>888697257984</v>
      </c>
      <c r="M145" s="8">
        <v>996011933696</v>
      </c>
      <c r="N145" s="9">
        <v>0.42348778247833252</v>
      </c>
      <c r="O145" s="9">
        <v>0.33841788768768311</v>
      </c>
      <c r="P145" s="9">
        <v>0.48886027932167053</v>
      </c>
      <c r="Q145" s="9">
        <v>0.39336967468261719</v>
      </c>
      <c r="R145" s="9">
        <v>4.3210171861574054E-4</v>
      </c>
      <c r="S145" s="9">
        <v>5.2426472306251526E-2</v>
      </c>
    </row>
    <row r="146" spans="1:19" ht="18" thickBot="1" x14ac:dyDescent="0.25">
      <c r="A146" s="5" t="s">
        <v>145</v>
      </c>
      <c r="B146" s="2">
        <v>7222.33740234375</v>
      </c>
      <c r="C146" s="4" t="s">
        <v>222</v>
      </c>
      <c r="D146" s="4" t="s">
        <v>232</v>
      </c>
      <c r="E146" s="6">
        <v>3808526336</v>
      </c>
      <c r="F146" s="6">
        <v>527326</v>
      </c>
      <c r="G146" s="4" t="s">
        <v>379</v>
      </c>
      <c r="H146" s="7">
        <v>-70033256</v>
      </c>
      <c r="I146" s="7">
        <v>-88414752</v>
      </c>
      <c r="J146" s="7">
        <v>18460182</v>
      </c>
      <c r="K146" s="7">
        <v>-4327740928</v>
      </c>
      <c r="L146" s="7">
        <v>3878559744</v>
      </c>
      <c r="M146" s="8">
        <v>4354958336</v>
      </c>
      <c r="N146" s="9">
        <v>0.63247036933898926</v>
      </c>
      <c r="O146" s="9">
        <v>0.5054202675819397</v>
      </c>
      <c r="P146" s="9">
        <v>0.64219182729721069</v>
      </c>
      <c r="Q146" s="9">
        <v>0.51675045490264893</v>
      </c>
      <c r="R146" s="9">
        <v>-1.6025466844439507E-2</v>
      </c>
      <c r="S146" s="9">
        <v>0.12850810587406158</v>
      </c>
    </row>
    <row r="147" spans="1:19" ht="18" thickBot="1" x14ac:dyDescent="0.25">
      <c r="A147" s="5" t="s">
        <v>141</v>
      </c>
      <c r="B147" s="2">
        <v>7199.3720703125</v>
      </c>
      <c r="C147" s="4" t="s">
        <v>222</v>
      </c>
      <c r="D147" s="4" t="s">
        <v>232</v>
      </c>
      <c r="E147" s="6">
        <v>22266333184</v>
      </c>
      <c r="F147" s="6">
        <v>3092816</v>
      </c>
      <c r="G147" s="4" t="s">
        <v>375</v>
      </c>
      <c r="H147" s="7">
        <v>225442832</v>
      </c>
      <c r="I147" s="7">
        <v>175465680</v>
      </c>
      <c r="J147" s="7">
        <v>35139400</v>
      </c>
      <c r="K147" s="7">
        <v>931821824</v>
      </c>
      <c r="L147" s="7">
        <v>22040891392</v>
      </c>
      <c r="M147" s="8">
        <v>25330006016</v>
      </c>
      <c r="N147" s="9">
        <v>0.50130718946456909</v>
      </c>
      <c r="O147" s="9">
        <v>0.40060502290725708</v>
      </c>
      <c r="P147" s="9">
        <v>0.56483638286590576</v>
      </c>
      <c r="Q147" s="9">
        <v>0.45450514554977417</v>
      </c>
      <c r="R147" s="9">
        <v>8.8043753057718277E-3</v>
      </c>
      <c r="S147" s="9">
        <v>0.13041743636131287</v>
      </c>
    </row>
    <row r="148" spans="1:19" ht="18" thickBot="1" x14ac:dyDescent="0.25">
      <c r="A148" s="5" t="s">
        <v>142</v>
      </c>
      <c r="B148" s="2">
        <v>7146.048828125</v>
      </c>
      <c r="C148" s="4" t="s">
        <v>222</v>
      </c>
      <c r="D148" s="4" t="s">
        <v>231</v>
      </c>
      <c r="E148" s="6">
        <v>274628165632</v>
      </c>
      <c r="F148" s="6">
        <v>38430770</v>
      </c>
      <c r="G148" s="4" t="s">
        <v>376</v>
      </c>
      <c r="H148" s="7">
        <v>-5636996096</v>
      </c>
      <c r="I148" s="7">
        <v>-5775424000</v>
      </c>
      <c r="J148" s="7">
        <v>148035824</v>
      </c>
      <c r="K148" s="7">
        <v>-111684780032</v>
      </c>
      <c r="L148" s="7">
        <v>280265162752</v>
      </c>
      <c r="M148" s="8">
        <v>295015972864</v>
      </c>
      <c r="N148" s="9">
        <v>0.54484599828720093</v>
      </c>
      <c r="O148" s="9">
        <v>0.43539780378341675</v>
      </c>
      <c r="P148" s="9">
        <v>0.54561388492584229</v>
      </c>
      <c r="Q148" s="9">
        <v>0.43903741240501404</v>
      </c>
      <c r="R148" s="9">
        <v>-1.9300758838653564E-2</v>
      </c>
      <c r="S148" s="9">
        <v>5.968853086233139E-2</v>
      </c>
    </row>
    <row r="149" spans="1:19" ht="18" thickBot="1" x14ac:dyDescent="0.25">
      <c r="A149" s="5" t="s">
        <v>146</v>
      </c>
      <c r="B149" s="2">
        <v>7033.98828125</v>
      </c>
      <c r="C149" s="4" t="s">
        <v>222</v>
      </c>
      <c r="D149" s="4" t="s">
        <v>231</v>
      </c>
      <c r="E149" s="6">
        <v>81036353536</v>
      </c>
      <c r="F149" s="6">
        <v>11520684</v>
      </c>
      <c r="G149" s="4" t="s">
        <v>380</v>
      </c>
      <c r="H149" s="7">
        <v>-2008862336</v>
      </c>
      <c r="I149" s="7">
        <v>-2057629568</v>
      </c>
      <c r="J149" s="7">
        <v>660356608</v>
      </c>
      <c r="K149" s="7">
        <v>-88928665600</v>
      </c>
      <c r="L149" s="7">
        <v>83045212160</v>
      </c>
      <c r="M149" s="8">
        <v>89637502976</v>
      </c>
      <c r="N149" s="9">
        <v>0.53147482872009277</v>
      </c>
      <c r="O149" s="9">
        <v>0.42471259832382202</v>
      </c>
      <c r="P149" s="9">
        <v>0.56619089841842651</v>
      </c>
      <c r="Q149" s="9">
        <v>0.45559507608413696</v>
      </c>
      <c r="R149" s="9">
        <v>-2.2626079618930817E-2</v>
      </c>
      <c r="S149" s="9">
        <v>8.7276950478553772E-2</v>
      </c>
    </row>
    <row r="150" spans="1:19" ht="18" thickBot="1" x14ac:dyDescent="0.25">
      <c r="A150" s="5" t="s">
        <v>148</v>
      </c>
      <c r="B150" s="2">
        <v>6995.490234375</v>
      </c>
      <c r="C150" s="4" t="s">
        <v>222</v>
      </c>
      <c r="D150" s="4" t="s">
        <v>228</v>
      </c>
      <c r="E150" s="6">
        <v>10240457179136</v>
      </c>
      <c r="F150" s="6">
        <v>1463865525</v>
      </c>
      <c r="G150" s="4" t="s">
        <v>382</v>
      </c>
      <c r="H150" s="7">
        <v>-314557300736</v>
      </c>
      <c r="I150" s="7">
        <v>-327940210688</v>
      </c>
      <c r="J150" s="7">
        <v>7243154432</v>
      </c>
      <c r="K150" s="7">
        <v>-3857297965056</v>
      </c>
      <c r="L150" s="7">
        <v>10555015299072</v>
      </c>
      <c r="M150" s="8">
        <v>11755394695168</v>
      </c>
      <c r="N150" s="9">
        <v>0.29662132263183594</v>
      </c>
      <c r="O150" s="9">
        <v>0.23703627288341522</v>
      </c>
      <c r="P150" s="9">
        <v>0.34848877787590027</v>
      </c>
      <c r="Q150" s="9">
        <v>0.28041738271713257</v>
      </c>
      <c r="R150" s="9">
        <v>-2.9939979314804077E-2</v>
      </c>
      <c r="S150" s="9">
        <v>2.5299688801169395E-2</v>
      </c>
    </row>
    <row r="151" spans="1:19" ht="18" thickBot="1" x14ac:dyDescent="0.25">
      <c r="A151" s="5" t="s">
        <v>153</v>
      </c>
      <c r="B151" s="2">
        <v>6682.42578125</v>
      </c>
      <c r="C151" s="4" t="s">
        <v>222</v>
      </c>
      <c r="D151" s="4" t="s">
        <v>233</v>
      </c>
      <c r="E151" s="6">
        <v>247606788096</v>
      </c>
      <c r="F151" s="6">
        <v>37053428</v>
      </c>
      <c r="G151" s="4" t="s">
        <v>387</v>
      </c>
      <c r="H151" s="7">
        <v>-70894000</v>
      </c>
      <c r="I151" s="7">
        <v>-12074321920</v>
      </c>
      <c r="J151" s="7">
        <v>12071930880</v>
      </c>
      <c r="K151" s="7">
        <v>-42722590720</v>
      </c>
      <c r="L151" s="7">
        <v>247677681664</v>
      </c>
      <c r="M151" s="8">
        <v>325013372928</v>
      </c>
      <c r="N151" s="9">
        <v>0.36153030395507812</v>
      </c>
      <c r="O151" s="9">
        <v>0.28890639543533325</v>
      </c>
      <c r="P151" s="9">
        <v>0.30351254343986511</v>
      </c>
      <c r="Q151" s="9">
        <v>0.24422650039196014</v>
      </c>
      <c r="R151" s="9">
        <v>-2.6272513787262142E-4</v>
      </c>
      <c r="S151" s="9">
        <v>8.2397215068340302E-2</v>
      </c>
    </row>
    <row r="152" spans="1:19" ht="18" thickBot="1" x14ac:dyDescent="0.25">
      <c r="A152" s="5" t="s">
        <v>143</v>
      </c>
      <c r="B152" s="2">
        <v>6655.40576171875</v>
      </c>
      <c r="C152" s="4" t="s">
        <v>222</v>
      </c>
      <c r="D152" s="4" t="s">
        <v>229</v>
      </c>
      <c r="E152" s="6">
        <v>83737272320</v>
      </c>
      <c r="F152" s="6">
        <v>12581843</v>
      </c>
      <c r="G152" s="4" t="s">
        <v>377</v>
      </c>
      <c r="H152" s="7">
        <v>-2993117184</v>
      </c>
      <c r="I152" s="7">
        <v>-3007412992</v>
      </c>
      <c r="J152" s="7">
        <v>9347992</v>
      </c>
      <c r="K152" s="7">
        <v>-22545451008</v>
      </c>
      <c r="L152" s="7">
        <v>86730391552</v>
      </c>
      <c r="M152" s="8">
        <v>95205072896</v>
      </c>
      <c r="N152" s="9">
        <v>0.48189738392829895</v>
      </c>
      <c r="O152" s="9">
        <v>0.38509425520896912</v>
      </c>
      <c r="P152" s="9">
        <v>0.44493642449378967</v>
      </c>
      <c r="Q152" s="9">
        <v>0.35802558064460754</v>
      </c>
      <c r="R152" s="9">
        <v>-3.5161230713129044E-2</v>
      </c>
      <c r="S152" s="9">
        <v>1.6307996585965157E-2</v>
      </c>
    </row>
    <row r="153" spans="1:19" ht="18" thickBot="1" x14ac:dyDescent="0.25">
      <c r="A153" s="5" t="s">
        <v>147</v>
      </c>
      <c r="B153" s="2">
        <v>6573.1181640625</v>
      </c>
      <c r="C153" s="4" t="s">
        <v>222</v>
      </c>
      <c r="D153" s="4" t="s">
        <v>232</v>
      </c>
      <c r="E153" s="6">
        <v>8256979968</v>
      </c>
      <c r="F153" s="6">
        <v>1256174</v>
      </c>
      <c r="G153" s="4" t="s">
        <v>381</v>
      </c>
      <c r="H153" s="7">
        <v>-1296385536</v>
      </c>
      <c r="I153" s="7">
        <v>-1302426240</v>
      </c>
      <c r="J153" s="7">
        <v>28268860</v>
      </c>
      <c r="K153" s="7">
        <v>835090816</v>
      </c>
      <c r="L153" s="7">
        <v>9553366016</v>
      </c>
      <c r="M153" s="8">
        <v>10434967552</v>
      </c>
      <c r="N153" s="9">
        <v>0.43187916278839111</v>
      </c>
      <c r="O153" s="9">
        <v>0.34512364864349365</v>
      </c>
      <c r="P153" s="9">
        <v>0.49558603763580322</v>
      </c>
      <c r="Q153" s="9">
        <v>0.39878165721893311</v>
      </c>
      <c r="R153" s="9">
        <v>-0.13080184161663055</v>
      </c>
      <c r="S153" s="9">
        <v>0.16689273715019226</v>
      </c>
    </row>
    <row r="154" spans="1:19" ht="18" thickBot="1" x14ac:dyDescent="0.25">
      <c r="A154" s="5" t="s">
        <v>149</v>
      </c>
      <c r="B154" s="2">
        <v>6363.22802734375</v>
      </c>
      <c r="C154" s="4" t="s">
        <v>223</v>
      </c>
      <c r="D154" s="4" t="s">
        <v>228</v>
      </c>
      <c r="E154" s="6">
        <v>1117935763456</v>
      </c>
      <c r="F154" s="6">
        <v>175686899</v>
      </c>
      <c r="G154" s="4" t="s">
        <v>383</v>
      </c>
      <c r="H154" s="7">
        <v>-11753679872</v>
      </c>
      <c r="I154" s="7">
        <v>-12551266304</v>
      </c>
      <c r="J154" s="7">
        <v>790378048</v>
      </c>
      <c r="K154" s="7">
        <v>-271618555904</v>
      </c>
      <c r="L154" s="7">
        <v>1129689382912</v>
      </c>
      <c r="M154" s="8">
        <v>1267510280192</v>
      </c>
      <c r="N154" s="9">
        <v>0.31791365146636963</v>
      </c>
      <c r="O154" s="9">
        <v>0.25405144691467285</v>
      </c>
      <c r="P154" s="9">
        <v>0.41330704092979431</v>
      </c>
      <c r="Q154" s="9">
        <v>0.33257448673248291</v>
      </c>
      <c r="R154" s="9">
        <v>-9.9219875410199165E-3</v>
      </c>
      <c r="S154" s="9">
        <v>5.6283276528120041E-2</v>
      </c>
    </row>
    <row r="155" spans="1:19" ht="18" thickBot="1" x14ac:dyDescent="0.25">
      <c r="A155" s="5" t="s">
        <v>161</v>
      </c>
      <c r="B155" s="2">
        <v>6055.43994140625</v>
      </c>
      <c r="C155" s="4" t="s">
        <v>223</v>
      </c>
      <c r="D155" s="4" t="s">
        <v>232</v>
      </c>
      <c r="E155" s="6">
        <v>236404604928</v>
      </c>
      <c r="F155" s="6">
        <v>39040039</v>
      </c>
      <c r="G155" s="4" t="s">
        <v>395</v>
      </c>
      <c r="H155" s="7">
        <v>-10420466688</v>
      </c>
      <c r="I155" s="7">
        <v>-9942699008</v>
      </c>
      <c r="J155" s="7">
        <v>-320103360</v>
      </c>
      <c r="K155" s="7">
        <v>-30164318208</v>
      </c>
      <c r="L155" s="7">
        <v>246825058304</v>
      </c>
      <c r="M155" s="8">
        <v>276054179840</v>
      </c>
      <c r="N155" s="9">
        <v>0.42524731159210205</v>
      </c>
      <c r="O155" s="9">
        <v>0.33982396125793457</v>
      </c>
      <c r="P155" s="9">
        <v>0.34263011813163757</v>
      </c>
      <c r="Q155" s="9">
        <v>0.27570310235023499</v>
      </c>
      <c r="R155" s="9">
        <v>-4.4197089970111847E-2</v>
      </c>
      <c r="S155" s="9">
        <v>-2.6801037602126598E-3</v>
      </c>
    </row>
    <row r="156" spans="1:19" ht="18" thickBot="1" x14ac:dyDescent="0.25">
      <c r="A156" s="5" t="s">
        <v>152</v>
      </c>
      <c r="B156" s="2">
        <v>6024.9560546875</v>
      </c>
      <c r="C156" s="4" t="s">
        <v>223</v>
      </c>
      <c r="D156" s="4" t="s">
        <v>228</v>
      </c>
      <c r="E156" s="6">
        <v>47434756096</v>
      </c>
      <c r="F156" s="6">
        <v>7873046</v>
      </c>
      <c r="G156" s="4" t="s">
        <v>386</v>
      </c>
      <c r="H156" s="7">
        <v>-4023888640</v>
      </c>
      <c r="I156" s="7">
        <v>-4026106368</v>
      </c>
      <c r="J156" s="7">
        <v>-246834720</v>
      </c>
      <c r="K156" s="7">
        <v>-106918617088</v>
      </c>
      <c r="L156" s="7">
        <v>51458646016</v>
      </c>
      <c r="M156" s="8">
        <v>57611452416</v>
      </c>
      <c r="N156" s="9">
        <v>0.25142201781272888</v>
      </c>
      <c r="O156" s="9">
        <v>0.200916588306427</v>
      </c>
      <c r="P156" s="9">
        <v>0.38850018382072449</v>
      </c>
      <c r="Q156" s="9">
        <v>0.31261321902275085</v>
      </c>
      <c r="R156" s="9">
        <v>-8.2639768719673157E-2</v>
      </c>
      <c r="S156" s="9">
        <v>2.5818642228841782E-2</v>
      </c>
    </row>
    <row r="157" spans="1:19" ht="18" thickBot="1" x14ac:dyDescent="0.25">
      <c r="A157" s="5" t="s">
        <v>144</v>
      </c>
      <c r="B157" s="2">
        <v>5949.5</v>
      </c>
      <c r="C157" s="4" t="s">
        <v>223</v>
      </c>
      <c r="D157" s="4" t="s">
        <v>227</v>
      </c>
      <c r="E157" s="6">
        <v>56472656</v>
      </c>
      <c r="F157" s="6">
        <v>9492</v>
      </c>
      <c r="G157" s="4" t="s">
        <v>378</v>
      </c>
      <c r="H157" s="7">
        <v>18125578</v>
      </c>
      <c r="I157" s="7">
        <v>9592810</v>
      </c>
      <c r="J157" s="7">
        <v>622039.0625</v>
      </c>
      <c r="K157" s="7">
        <v>274042016</v>
      </c>
      <c r="L157" s="7">
        <v>38347076</v>
      </c>
      <c r="M157" s="8">
        <v>42378632</v>
      </c>
      <c r="N157" s="9">
        <v>1.1651939153671265</v>
      </c>
      <c r="O157" s="9">
        <v>0.93113082647323608</v>
      </c>
      <c r="P157" s="9">
        <v>1.3709266185760498</v>
      </c>
      <c r="Q157" s="9">
        <v>1.1031392812728882</v>
      </c>
      <c r="R157" s="9">
        <v>0.21688304841518402</v>
      </c>
      <c r="S157" s="9">
        <v>0.32427197694778442</v>
      </c>
    </row>
    <row r="158" spans="1:19" ht="18" thickBot="1" x14ac:dyDescent="0.25">
      <c r="A158" s="5" t="s">
        <v>151</v>
      </c>
      <c r="B158" s="2">
        <v>5799.109375</v>
      </c>
      <c r="C158" s="4" t="s">
        <v>223</v>
      </c>
      <c r="D158" s="4" t="s">
        <v>227</v>
      </c>
      <c r="E158" s="6">
        <v>601611200</v>
      </c>
      <c r="F158" s="6">
        <v>103742</v>
      </c>
      <c r="G158" s="4" t="s">
        <v>385</v>
      </c>
      <c r="H158" s="7">
        <v>37591004</v>
      </c>
      <c r="I158" s="7">
        <v>-12796953</v>
      </c>
      <c r="J158" s="7">
        <v>54731948</v>
      </c>
      <c r="K158" s="7">
        <v>-35609012</v>
      </c>
      <c r="L158" s="7">
        <v>564020224</v>
      </c>
      <c r="M158" s="8">
        <v>613086272</v>
      </c>
      <c r="N158" s="9">
        <v>0.93513196706771851</v>
      </c>
      <c r="O158" s="9">
        <v>0.7472834587097168</v>
      </c>
      <c r="P158" s="9">
        <v>0.88795644044876099</v>
      </c>
      <c r="Q158" s="9">
        <v>0.71450906991958618</v>
      </c>
      <c r="R158" s="9">
        <v>5.0996467471122742E-2</v>
      </c>
      <c r="S158" s="9">
        <v>0.18384601175785065</v>
      </c>
    </row>
    <row r="159" spans="1:19" ht="18" thickBot="1" x14ac:dyDescent="0.25">
      <c r="A159" s="5" t="s">
        <v>166</v>
      </c>
      <c r="B159" s="2">
        <v>5774.8212890625</v>
      </c>
      <c r="C159" s="4" t="s">
        <v>223</v>
      </c>
      <c r="D159" s="4" t="s">
        <v>232</v>
      </c>
      <c r="E159" s="6">
        <v>1371680538624</v>
      </c>
      <c r="F159" s="6">
        <v>237527782</v>
      </c>
      <c r="G159" s="4" t="s">
        <v>400</v>
      </c>
      <c r="H159" s="7">
        <v>-50916982784</v>
      </c>
      <c r="I159" s="7">
        <v>-53175136256</v>
      </c>
      <c r="J159" s="7">
        <v>1085407360</v>
      </c>
      <c r="K159" s="7">
        <v>-356814848000</v>
      </c>
      <c r="L159" s="7">
        <v>1422597423104</v>
      </c>
      <c r="M159" s="8">
        <v>1535584370688</v>
      </c>
      <c r="N159" s="9">
        <v>0.15863442420959473</v>
      </c>
      <c r="O159" s="9">
        <v>0.12676806747913361</v>
      </c>
      <c r="P159" s="9">
        <v>0.45452451705932617</v>
      </c>
      <c r="Q159" s="9">
        <v>0.36574083566665649</v>
      </c>
      <c r="R159" s="9">
        <v>-3.4733936190605164E-2</v>
      </c>
      <c r="S159" s="9">
        <v>6.4283497631549835E-2</v>
      </c>
    </row>
    <row r="160" spans="1:19" ht="18" thickBot="1" x14ac:dyDescent="0.25">
      <c r="A160" s="5" t="s">
        <v>150</v>
      </c>
      <c r="B160" s="2">
        <v>5643.82080078125</v>
      </c>
      <c r="C160" s="4" t="s">
        <v>223</v>
      </c>
      <c r="D160" s="4" t="s">
        <v>227</v>
      </c>
      <c r="E160" s="6">
        <v>204769104</v>
      </c>
      <c r="F160" s="6">
        <v>36282</v>
      </c>
      <c r="G160" s="4" t="s">
        <v>384</v>
      </c>
      <c r="H160" s="7">
        <v>6459802.5</v>
      </c>
      <c r="I160" s="7">
        <v>-29324554</v>
      </c>
      <c r="J160" s="7">
        <v>23596154</v>
      </c>
      <c r="K160" s="7">
        <v>-12689568768</v>
      </c>
      <c r="L160" s="7">
        <v>198309312</v>
      </c>
      <c r="M160" s="8">
        <v>221078464</v>
      </c>
      <c r="N160" s="9">
        <v>1.1820188760757446</v>
      </c>
      <c r="O160" s="9">
        <v>0.94457584619522095</v>
      </c>
      <c r="P160" s="9">
        <v>1.1596344709396362</v>
      </c>
      <c r="Q160" s="9">
        <v>0.93311941623687744</v>
      </c>
      <c r="R160" s="9">
        <v>2.211686410009861E-2</v>
      </c>
      <c r="S160" s="9">
        <v>0.29891806840896606</v>
      </c>
    </row>
    <row r="161" spans="1:19" ht="18" thickBot="1" x14ac:dyDescent="0.25">
      <c r="A161" s="5" t="s">
        <v>154</v>
      </c>
      <c r="B161" s="2">
        <v>5639.33251953125</v>
      </c>
      <c r="C161" s="4" t="s">
        <v>223</v>
      </c>
      <c r="D161" s="4" t="s">
        <v>229</v>
      </c>
      <c r="E161" s="6">
        <v>39517634560</v>
      </c>
      <c r="F161" s="6">
        <v>7007502</v>
      </c>
      <c r="G161" s="4" t="s">
        <v>388</v>
      </c>
      <c r="H161" s="7">
        <v>-2100396928</v>
      </c>
      <c r="I161" s="7">
        <v>-2071617024</v>
      </c>
      <c r="J161" s="7">
        <v>5714631</v>
      </c>
      <c r="K161" s="7">
        <v>-35644911616</v>
      </c>
      <c r="L161" s="7">
        <v>41618030592</v>
      </c>
      <c r="M161" s="8">
        <v>44127186944</v>
      </c>
      <c r="N161" s="9">
        <v>0.42575386166572571</v>
      </c>
      <c r="O161" s="9">
        <v>0.34022879600524902</v>
      </c>
      <c r="P161" s="9">
        <v>0.37328508496284485</v>
      </c>
      <c r="Q161" s="9">
        <v>0.30037015676498413</v>
      </c>
      <c r="R161" s="9">
        <v>-4.2209021747112274E-2</v>
      </c>
      <c r="S161" s="9">
        <v>0.20586408674716949</v>
      </c>
    </row>
    <row r="162" spans="1:19" ht="18" thickBot="1" x14ac:dyDescent="0.25">
      <c r="A162" s="5" t="s">
        <v>156</v>
      </c>
      <c r="B162" s="2">
        <v>5458.3681640625</v>
      </c>
      <c r="C162" s="4" t="s">
        <v>223</v>
      </c>
      <c r="D162" s="4" t="s">
        <v>227</v>
      </c>
      <c r="E162" s="6">
        <v>1197052928</v>
      </c>
      <c r="F162" s="6">
        <v>219306</v>
      </c>
      <c r="G162" s="4" t="s">
        <v>390</v>
      </c>
      <c r="H162" s="7">
        <v>4602022</v>
      </c>
      <c r="I162" s="7">
        <v>-132826.46875</v>
      </c>
      <c r="J162" s="7">
        <v>4954113.5</v>
      </c>
      <c r="K162" s="7">
        <v>25153910</v>
      </c>
      <c r="L162" s="7">
        <v>1192450816</v>
      </c>
      <c r="M162" s="8">
        <v>1329202816</v>
      </c>
      <c r="N162" s="9">
        <v>0.81725955009460449</v>
      </c>
      <c r="O162" s="9">
        <v>0.65308916568756104</v>
      </c>
      <c r="P162" s="9">
        <v>0.79153013229370117</v>
      </c>
      <c r="Q162" s="9">
        <v>0.63691806793212891</v>
      </c>
      <c r="R162" s="9">
        <v>3.3025646116584539E-3</v>
      </c>
      <c r="S162" s="9">
        <v>0.14095492660999298</v>
      </c>
    </row>
    <row r="163" spans="1:19" ht="18" thickBot="1" x14ac:dyDescent="0.25">
      <c r="A163" s="5" t="s">
        <v>155</v>
      </c>
      <c r="B163" s="2">
        <v>5362.77099609375</v>
      </c>
      <c r="C163" s="4" t="s">
        <v>223</v>
      </c>
      <c r="D163" s="4" t="s">
        <v>233</v>
      </c>
      <c r="E163" s="6">
        <v>39121596416</v>
      </c>
      <c r="F163" s="6">
        <v>7295034</v>
      </c>
      <c r="G163" s="4" t="s">
        <v>389</v>
      </c>
      <c r="H163" s="7">
        <v>-537018688</v>
      </c>
      <c r="I163" s="7">
        <v>-774953728</v>
      </c>
      <c r="J163" s="7">
        <v>312088128</v>
      </c>
      <c r="K163" s="7">
        <v>-21752942592</v>
      </c>
      <c r="L163" s="7">
        <v>39658614784</v>
      </c>
      <c r="M163" s="8">
        <v>44887564288</v>
      </c>
      <c r="N163" s="9">
        <v>0.40105330944061279</v>
      </c>
      <c r="O163" s="9">
        <v>0.32049006223678589</v>
      </c>
      <c r="P163" s="9">
        <v>0.29246330261230469</v>
      </c>
      <c r="Q163" s="9">
        <v>0.23533552885055542</v>
      </c>
      <c r="R163" s="9">
        <v>-1.2359811924397945E-2</v>
      </c>
      <c r="S163" s="9">
        <v>9.95926633477211E-2</v>
      </c>
    </row>
    <row r="164" spans="1:19" ht="18" thickBot="1" x14ac:dyDescent="0.25">
      <c r="A164" s="5" t="s">
        <v>215</v>
      </c>
      <c r="B164" s="2">
        <v>5213.2294921875</v>
      </c>
      <c r="C164" s="4" t="s">
        <v>223</v>
      </c>
      <c r="D164" s="4" t="s">
        <v>232</v>
      </c>
      <c r="E164" s="6">
        <v>88368381952</v>
      </c>
      <c r="F164" s="6">
        <v>16950795</v>
      </c>
      <c r="G164" s="4" t="s">
        <v>449</v>
      </c>
      <c r="H164" s="7">
        <v>-1229925632</v>
      </c>
      <c r="I164" s="7">
        <v>-1262107008</v>
      </c>
      <c r="J164" s="7">
        <v>-503113.4375</v>
      </c>
      <c r="K164" s="7">
        <v>-42293121024</v>
      </c>
      <c r="L164" s="7">
        <v>89598312448</v>
      </c>
      <c r="M164" s="8">
        <v>100976746496</v>
      </c>
      <c r="N164" s="9">
        <v>0.39487490057945251</v>
      </c>
      <c r="O164" s="9">
        <v>0.31555274128913879</v>
      </c>
      <c r="P164" s="9">
        <v>0.39959904551506042</v>
      </c>
      <c r="Q164" s="9">
        <v>0.32154414057731628</v>
      </c>
      <c r="R164" s="9">
        <v>-1.2744114734232426E-2</v>
      </c>
      <c r="S164" s="9">
        <v>8.4353730082511902E-2</v>
      </c>
    </row>
    <row r="165" spans="1:19" ht="18" thickBot="1" x14ac:dyDescent="0.25">
      <c r="A165" s="5" t="s">
        <v>157</v>
      </c>
      <c r="B165" s="2">
        <v>5172.56201171875</v>
      </c>
      <c r="C165" s="4" t="s">
        <v>223</v>
      </c>
      <c r="D165" s="4" t="s">
        <v>232</v>
      </c>
      <c r="E165" s="6">
        <v>181372125184</v>
      </c>
      <c r="F165" s="6">
        <v>35064272</v>
      </c>
      <c r="G165" s="4" t="s">
        <v>391</v>
      </c>
      <c r="H165" s="7">
        <v>-7508369408</v>
      </c>
      <c r="I165" s="7">
        <v>-7486812672</v>
      </c>
      <c r="J165" s="7">
        <v>13154658</v>
      </c>
      <c r="K165" s="7">
        <v>-58224320512</v>
      </c>
      <c r="L165" s="7">
        <v>188880502784</v>
      </c>
      <c r="M165" s="8">
        <v>204455280640</v>
      </c>
      <c r="N165" s="9">
        <v>0.57173728942871094</v>
      </c>
      <c r="O165" s="9">
        <v>0.45688718557357788</v>
      </c>
      <c r="P165" s="9">
        <v>0.4599539041519165</v>
      </c>
      <c r="Q165" s="9">
        <v>0.3701096773147583</v>
      </c>
      <c r="R165" s="9">
        <v>-3.9767790585756302E-2</v>
      </c>
      <c r="S165" s="9">
        <v>3.9369449019432068E-2</v>
      </c>
    </row>
    <row r="166" spans="1:19" ht="18" thickBot="1" x14ac:dyDescent="0.25">
      <c r="A166" s="5" t="s">
        <v>158</v>
      </c>
      <c r="B166" s="2">
        <v>5055.3154296875</v>
      </c>
      <c r="C166" s="4" t="s">
        <v>223</v>
      </c>
      <c r="D166" s="4" t="s">
        <v>232</v>
      </c>
      <c r="E166" s="6">
        <v>5985877504</v>
      </c>
      <c r="F166" s="6">
        <v>1184076</v>
      </c>
      <c r="G166" s="4" t="s">
        <v>392</v>
      </c>
      <c r="H166" s="7">
        <v>-82974304</v>
      </c>
      <c r="I166" s="7">
        <v>-230026848</v>
      </c>
      <c r="J166" s="7">
        <v>60287880</v>
      </c>
      <c r="K166" s="7">
        <v>-6540104192</v>
      </c>
      <c r="L166" s="7">
        <v>6068852224</v>
      </c>
      <c r="M166" s="8">
        <v>6756057600</v>
      </c>
      <c r="N166" s="9">
        <v>0.54937314987182617</v>
      </c>
      <c r="O166" s="9">
        <v>0.43901553750038147</v>
      </c>
      <c r="P166" s="9">
        <v>0.63093686103820801</v>
      </c>
      <c r="Q166" s="9">
        <v>0.50769400596618652</v>
      </c>
      <c r="R166" s="9">
        <v>-1.3214569538831711E-2</v>
      </c>
      <c r="S166" s="9">
        <v>4.6683195978403091E-2</v>
      </c>
    </row>
    <row r="167" spans="1:19" ht="18" thickBot="1" x14ac:dyDescent="0.25">
      <c r="A167" s="5" t="s">
        <v>160</v>
      </c>
      <c r="B167" s="2">
        <v>4968.0263671875</v>
      </c>
      <c r="C167" s="4" t="s">
        <v>223</v>
      </c>
      <c r="D167" s="4" t="s">
        <v>228</v>
      </c>
      <c r="E167" s="6">
        <v>88669241344</v>
      </c>
      <c r="F167" s="6">
        <v>17847982</v>
      </c>
      <c r="G167" s="4" t="s">
        <v>394</v>
      </c>
      <c r="H167" s="7">
        <v>-2408284160</v>
      </c>
      <c r="I167" s="7">
        <v>-2446629888</v>
      </c>
      <c r="J167" s="7">
        <v>-258461648</v>
      </c>
      <c r="K167" s="7">
        <v>-80628211712</v>
      </c>
      <c r="L167" s="7">
        <v>91077525504</v>
      </c>
      <c r="M167" s="8">
        <v>101299847168</v>
      </c>
      <c r="N167" s="9">
        <v>0.41797417402267456</v>
      </c>
      <c r="O167" s="9">
        <v>0.33401185274124146</v>
      </c>
      <c r="P167" s="9">
        <v>0.43266034126281738</v>
      </c>
      <c r="Q167" s="9">
        <v>0.34814745187759399</v>
      </c>
      <c r="R167" s="9">
        <v>-2.6052245870232582E-2</v>
      </c>
      <c r="S167" s="9">
        <v>4.0797226130962372E-2</v>
      </c>
    </row>
    <row r="168" spans="1:19" ht="18" thickBot="1" x14ac:dyDescent="0.25">
      <c r="A168" s="5" t="s">
        <v>159</v>
      </c>
      <c r="B168" s="2">
        <v>4940.71923828125</v>
      </c>
      <c r="C168" s="4" t="s">
        <v>223</v>
      </c>
      <c r="D168" s="4" t="s">
        <v>232</v>
      </c>
      <c r="E168" s="6">
        <v>161618575360</v>
      </c>
      <c r="F168" s="6">
        <v>32711547</v>
      </c>
      <c r="G168" s="4" t="s">
        <v>393</v>
      </c>
      <c r="H168" s="7">
        <v>-8324029952</v>
      </c>
      <c r="I168" s="7">
        <v>-8252550144</v>
      </c>
      <c r="J168" s="7">
        <v>-72068856</v>
      </c>
      <c r="K168" s="7">
        <v>-87609974784</v>
      </c>
      <c r="L168" s="7">
        <v>169942614016</v>
      </c>
      <c r="M168" s="8">
        <v>181750972416</v>
      </c>
      <c r="N168" s="9">
        <v>0.4750160276889801</v>
      </c>
      <c r="O168" s="9">
        <v>0.37959522008895874</v>
      </c>
      <c r="P168" s="9">
        <v>0.50489127635955811</v>
      </c>
      <c r="Q168" s="9">
        <v>0.40626931190490723</v>
      </c>
      <c r="R168" s="9">
        <v>-5.2575871348381042E-2</v>
      </c>
      <c r="S168" s="9">
        <v>-2.0808134227991104E-2</v>
      </c>
    </row>
    <row r="169" spans="1:19" ht="18" thickBot="1" x14ac:dyDescent="0.25">
      <c r="A169" s="5" t="s">
        <v>162</v>
      </c>
      <c r="B169" s="2">
        <v>4663.83056640625</v>
      </c>
      <c r="C169" s="4" t="s">
        <v>223</v>
      </c>
      <c r="D169" s="4" t="s">
        <v>229</v>
      </c>
      <c r="E169" s="6">
        <v>51329417216</v>
      </c>
      <c r="F169" s="6">
        <v>11005850</v>
      </c>
      <c r="G169" s="4" t="s">
        <v>396</v>
      </c>
      <c r="H169" s="7">
        <v>-4309325824</v>
      </c>
      <c r="I169" s="7">
        <v>-3823766784</v>
      </c>
      <c r="J169" s="7">
        <v>-301619872</v>
      </c>
      <c r="K169" s="7">
        <v>-28527319040</v>
      </c>
      <c r="L169" s="7">
        <v>55638745088</v>
      </c>
      <c r="M169" s="8">
        <v>58680991744</v>
      </c>
      <c r="N169" s="9">
        <v>0.56854045391082764</v>
      </c>
      <c r="O169" s="9">
        <v>0.45433253049850464</v>
      </c>
      <c r="P169" s="9">
        <v>0.54797929525375366</v>
      </c>
      <c r="Q169" s="9">
        <v>0.44094082713127136</v>
      </c>
      <c r="R169" s="9">
        <v>-6.552848219871521E-2</v>
      </c>
      <c r="S169" s="9">
        <v>0.21947446465492249</v>
      </c>
    </row>
    <row r="170" spans="1:19" ht="18" thickBot="1" x14ac:dyDescent="0.25">
      <c r="A170" s="5" t="s">
        <v>163</v>
      </c>
      <c r="B170" s="2">
        <v>4623.06884765625</v>
      </c>
      <c r="C170" s="4" t="s">
        <v>223</v>
      </c>
      <c r="D170" s="4" t="s">
        <v>232</v>
      </c>
      <c r="E170" s="6">
        <v>24571912192</v>
      </c>
      <c r="F170" s="6">
        <v>5315065</v>
      </c>
      <c r="G170" s="4" t="s">
        <v>397</v>
      </c>
      <c r="H170" s="7">
        <v>-365047520</v>
      </c>
      <c r="I170" s="7">
        <v>-300484000</v>
      </c>
      <c r="J170" s="7">
        <v>-190341712</v>
      </c>
      <c r="K170" s="7">
        <v>-33528739840</v>
      </c>
      <c r="L170" s="7">
        <v>24936960000</v>
      </c>
      <c r="M170" s="8">
        <v>27718711296</v>
      </c>
      <c r="N170" s="9">
        <v>0.36984327435493469</v>
      </c>
      <c r="O170" s="9">
        <v>0.29554945230484009</v>
      </c>
      <c r="P170" s="9">
        <v>0.41473284363746643</v>
      </c>
      <c r="Q170" s="9">
        <v>0.33372178673744202</v>
      </c>
      <c r="R170" s="9">
        <v>-1.4356314204633236E-2</v>
      </c>
      <c r="S170" s="9">
        <v>3.3654328435659409E-2</v>
      </c>
    </row>
    <row r="171" spans="1:19" ht="18" thickBot="1" x14ac:dyDescent="0.25">
      <c r="A171" s="5" t="s">
        <v>164</v>
      </c>
      <c r="B171" s="2">
        <v>4493.169921875</v>
      </c>
      <c r="C171" s="4" t="s">
        <v>223</v>
      </c>
      <c r="D171" s="4" t="s">
        <v>233</v>
      </c>
      <c r="E171" s="6">
        <v>48466628608</v>
      </c>
      <c r="F171" s="6">
        <v>10786734</v>
      </c>
      <c r="G171" s="4" t="s">
        <v>398</v>
      </c>
      <c r="H171" s="7">
        <v>10464309248</v>
      </c>
      <c r="I171" s="7">
        <v>-541186624</v>
      </c>
      <c r="J171" s="7">
        <v>11027909632</v>
      </c>
      <c r="K171" s="7">
        <v>-8123638272</v>
      </c>
      <c r="L171" s="7">
        <v>38002319360</v>
      </c>
      <c r="M171" s="8">
        <v>43331014656</v>
      </c>
      <c r="N171" s="9">
        <v>0.33587789535522461</v>
      </c>
      <c r="O171" s="9">
        <v>0.26840701699256897</v>
      </c>
      <c r="P171" s="9">
        <v>0.27959316968917847</v>
      </c>
      <c r="Q171" s="9">
        <v>0.22497937083244324</v>
      </c>
      <c r="R171" s="9">
        <v>0.20064546167850494</v>
      </c>
      <c r="S171" s="9">
        <v>7.0687957108020782E-2</v>
      </c>
    </row>
    <row r="172" spans="1:19" ht="35" thickBot="1" x14ac:dyDescent="0.25">
      <c r="A172" s="5" t="s">
        <v>167</v>
      </c>
      <c r="B172" s="2">
        <v>4378.69580078125</v>
      </c>
      <c r="C172" s="4" t="s">
        <v>223</v>
      </c>
      <c r="D172" s="4" t="s">
        <v>232</v>
      </c>
      <c r="E172" s="6">
        <v>1051999232</v>
      </c>
      <c r="F172" s="6">
        <v>240254</v>
      </c>
      <c r="G172" s="4" t="s">
        <v>401</v>
      </c>
      <c r="H172" s="7">
        <v>56228184</v>
      </c>
      <c r="I172" s="7">
        <v>48073632</v>
      </c>
      <c r="J172" s="7">
        <v>4601800</v>
      </c>
      <c r="K172" s="7">
        <v>-557552704</v>
      </c>
      <c r="L172" s="7">
        <v>995771072</v>
      </c>
      <c r="M172" s="8">
        <v>1048180096</v>
      </c>
      <c r="N172" s="9">
        <v>0.81293457746505737</v>
      </c>
      <c r="O172" s="9">
        <v>0.64963293075561523</v>
      </c>
      <c r="P172" s="9">
        <v>0.51601004600524902</v>
      </c>
      <c r="Q172" s="9">
        <v>0.41521617770195007</v>
      </c>
      <c r="R172" s="9">
        <v>4.7959592193365097E-2</v>
      </c>
      <c r="S172" s="9">
        <v>0.10270164906978607</v>
      </c>
    </row>
    <row r="173" spans="1:19" ht="18" thickBot="1" x14ac:dyDescent="0.25">
      <c r="A173" s="5" t="s">
        <v>165</v>
      </c>
      <c r="B173" s="2">
        <v>4349.1474609375</v>
      </c>
      <c r="C173" s="4" t="s">
        <v>223</v>
      </c>
      <c r="D173" s="4" t="s">
        <v>228</v>
      </c>
      <c r="E173" s="6">
        <v>1109987426304</v>
      </c>
      <c r="F173" s="6">
        <v>255219554</v>
      </c>
      <c r="G173" s="4" t="s">
        <v>399</v>
      </c>
      <c r="H173" s="7">
        <v>-22276956160</v>
      </c>
      <c r="I173" s="7">
        <v>-23058931712</v>
      </c>
      <c r="J173" s="7">
        <v>1004727680</v>
      </c>
      <c r="K173" s="7">
        <v>-394789814272</v>
      </c>
      <c r="L173" s="7">
        <v>1132264423424</v>
      </c>
      <c r="M173" s="8">
        <v>1235793477632</v>
      </c>
      <c r="N173" s="9">
        <v>0.31179711222648621</v>
      </c>
      <c r="O173" s="9">
        <v>0.24916358292102814</v>
      </c>
      <c r="P173" s="9">
        <v>0.33139285445213318</v>
      </c>
      <c r="Q173" s="9">
        <v>0.26666086912155151</v>
      </c>
      <c r="R173" s="9">
        <v>-1.8611395731568336E-2</v>
      </c>
      <c r="S173" s="9">
        <v>7.2655297815799713E-2</v>
      </c>
    </row>
    <row r="174" spans="1:19" ht="18" thickBot="1" x14ac:dyDescent="0.25">
      <c r="A174" s="5" t="s">
        <v>168</v>
      </c>
      <c r="B174" s="2">
        <v>4177.35107421875</v>
      </c>
      <c r="C174" s="4" t="s">
        <v>223</v>
      </c>
      <c r="D174" s="4" t="s">
        <v>232</v>
      </c>
      <c r="E174" s="6">
        <v>240333422592</v>
      </c>
      <c r="F174" s="6">
        <v>57532493</v>
      </c>
      <c r="G174" s="4" t="s">
        <v>402</v>
      </c>
      <c r="H174" s="7">
        <v>-5041084416</v>
      </c>
      <c r="I174" s="7">
        <v>-5417184768</v>
      </c>
      <c r="J174" s="7">
        <v>-25554172</v>
      </c>
      <c r="K174" s="7">
        <v>-126709424128</v>
      </c>
      <c r="L174" s="7">
        <v>245374500864</v>
      </c>
      <c r="M174" s="8">
        <v>274583339008</v>
      </c>
      <c r="N174" s="9">
        <v>0.42134249210357666</v>
      </c>
      <c r="O174" s="9">
        <v>0.3367035984992981</v>
      </c>
      <c r="P174" s="9">
        <v>0.47983181476593018</v>
      </c>
      <c r="Q174" s="9">
        <v>0.38610473275184631</v>
      </c>
      <c r="R174" s="9">
        <v>-1.9744537770748138E-2</v>
      </c>
      <c r="S174" s="9">
        <v>5.8680322021245956E-2</v>
      </c>
    </row>
    <row r="175" spans="1:19" ht="18" thickBot="1" x14ac:dyDescent="0.25">
      <c r="A175" s="5" t="s">
        <v>169</v>
      </c>
      <c r="B175" s="2">
        <v>4144.49951171875</v>
      </c>
      <c r="C175" s="4" t="s">
        <v>223</v>
      </c>
      <c r="D175" s="4" t="s">
        <v>228</v>
      </c>
      <c r="E175" s="6">
        <v>122752270336</v>
      </c>
      <c r="F175" s="6">
        <v>29618118</v>
      </c>
      <c r="G175" s="4" t="s">
        <v>403</v>
      </c>
      <c r="H175" s="7">
        <v>1879394944</v>
      </c>
      <c r="I175" s="7">
        <v>1455153024</v>
      </c>
      <c r="J175" s="7">
        <v>491690624</v>
      </c>
      <c r="K175" s="7">
        <v>8365901824</v>
      </c>
      <c r="L175" s="7">
        <v>120872869888</v>
      </c>
      <c r="M175" s="8">
        <v>127485018112</v>
      </c>
      <c r="N175" s="9">
        <v>0.29601672291755676</v>
      </c>
      <c r="O175" s="9">
        <v>0.2365531325340271</v>
      </c>
      <c r="P175" s="9">
        <v>0.3417016863822937</v>
      </c>
      <c r="Q175" s="9">
        <v>0.27495601773262024</v>
      </c>
      <c r="R175" s="9">
        <v>1.2517846189439297E-2</v>
      </c>
      <c r="S175" s="9">
        <v>0.18239964544773102</v>
      </c>
    </row>
    <row r="176" spans="1:19" ht="18" thickBot="1" x14ac:dyDescent="0.25">
      <c r="A176" s="5" t="s">
        <v>188</v>
      </c>
      <c r="B176" s="2">
        <v>3979.106689453125</v>
      </c>
      <c r="C176" s="4" t="s">
        <v>224</v>
      </c>
      <c r="D176" s="4" t="s">
        <v>232</v>
      </c>
      <c r="E176" s="6">
        <v>60083425280</v>
      </c>
      <c r="F176" s="6">
        <v>15099727</v>
      </c>
      <c r="G176" s="4" t="s">
        <v>422</v>
      </c>
      <c r="H176" s="7">
        <v>-5608073216</v>
      </c>
      <c r="I176" s="7">
        <v>-5326711296</v>
      </c>
      <c r="J176" s="7">
        <v>-170191408</v>
      </c>
      <c r="K176" s="7">
        <v>-24066846720</v>
      </c>
      <c r="L176" s="7">
        <v>65691500544</v>
      </c>
      <c r="M176" s="8">
        <v>87988953088</v>
      </c>
      <c r="N176" s="9">
        <v>0.38779515027999878</v>
      </c>
      <c r="O176" s="9">
        <v>0.30989518761634827</v>
      </c>
      <c r="P176" s="9">
        <v>0.39434576034545898</v>
      </c>
      <c r="Q176" s="9">
        <v>0.31731697916984558</v>
      </c>
      <c r="R176" s="9">
        <v>-9.2322587966918945E-2</v>
      </c>
      <c r="S176" s="9">
        <v>1.0880001820623875E-2</v>
      </c>
    </row>
    <row r="177" spans="1:19" ht="18" thickBot="1" x14ac:dyDescent="0.25">
      <c r="A177" s="5" t="s">
        <v>170</v>
      </c>
      <c r="B177" s="2">
        <v>3684.119873046875</v>
      </c>
      <c r="C177" s="4" t="s">
        <v>224</v>
      </c>
      <c r="D177" s="4" t="s">
        <v>228</v>
      </c>
      <c r="E177" s="6">
        <v>202076356608</v>
      </c>
      <c r="F177" s="6">
        <v>54850648</v>
      </c>
      <c r="G177" s="4" t="s">
        <v>404</v>
      </c>
      <c r="H177" s="7">
        <v>-9198912512</v>
      </c>
      <c r="I177" s="7">
        <v>-11853751296</v>
      </c>
      <c r="J177" s="7">
        <v>2011001088</v>
      </c>
      <c r="K177" s="7">
        <v>-133379751936</v>
      </c>
      <c r="L177" s="7">
        <v>211275284480</v>
      </c>
      <c r="M177" s="8">
        <v>228111597568</v>
      </c>
      <c r="N177" s="9">
        <v>0.27741742134094238</v>
      </c>
      <c r="O177" s="9">
        <v>0.22169004380702972</v>
      </c>
      <c r="P177" s="9">
        <v>0.32222872972488403</v>
      </c>
      <c r="Q177" s="9">
        <v>0.2592867910861969</v>
      </c>
      <c r="R177" s="9">
        <v>-4.4055487960577011E-2</v>
      </c>
      <c r="S177" s="9">
        <v>3.2214652746915817E-2</v>
      </c>
    </row>
    <row r="178" spans="1:19" ht="18" thickBot="1" x14ac:dyDescent="0.25">
      <c r="A178" s="5" t="s">
        <v>173</v>
      </c>
      <c r="B178" s="2">
        <v>3625.35986328125</v>
      </c>
      <c r="C178" s="4" t="s">
        <v>224</v>
      </c>
      <c r="D178" s="4" t="s">
        <v>232</v>
      </c>
      <c r="E178" s="6">
        <v>108323348480</v>
      </c>
      <c r="F178" s="6">
        <v>29879337</v>
      </c>
      <c r="G178" s="4" t="s">
        <v>407</v>
      </c>
      <c r="H178" s="7">
        <v>-2534290944</v>
      </c>
      <c r="I178" s="7">
        <v>-2502280704</v>
      </c>
      <c r="J178" s="7">
        <v>-19676636</v>
      </c>
      <c r="K178" s="7">
        <v>-33616631808</v>
      </c>
      <c r="L178" s="7">
        <v>110857633792</v>
      </c>
      <c r="M178" s="8">
        <v>117148139520</v>
      </c>
      <c r="N178" s="9">
        <v>0.44808366894721985</v>
      </c>
      <c r="O178" s="9">
        <v>0.35807299613952637</v>
      </c>
      <c r="P178" s="9">
        <v>0.43355792760848999</v>
      </c>
      <c r="Q178" s="9">
        <v>0.34886971116065979</v>
      </c>
      <c r="R178" s="9">
        <v>-2.299053966999054E-2</v>
      </c>
      <c r="S178" s="9">
        <v>1.7313987016677856E-2</v>
      </c>
    </row>
    <row r="179" spans="1:19" ht="18" thickBot="1" x14ac:dyDescent="0.25">
      <c r="A179" s="5" t="s">
        <v>178</v>
      </c>
      <c r="B179" s="2">
        <v>3614.793701171875</v>
      </c>
      <c r="C179" s="4" t="s">
        <v>224</v>
      </c>
      <c r="D179" s="4" t="s">
        <v>232</v>
      </c>
      <c r="E179" s="6">
        <v>68435152896</v>
      </c>
      <c r="F179" s="6">
        <v>18931966</v>
      </c>
      <c r="G179" s="4" t="s">
        <v>412</v>
      </c>
      <c r="H179" s="7">
        <v>-2732173056</v>
      </c>
      <c r="I179" s="7">
        <v>-3138718464</v>
      </c>
      <c r="J179" s="7">
        <v>375373088</v>
      </c>
      <c r="K179" s="7">
        <v>-72461008896</v>
      </c>
      <c r="L179" s="7">
        <v>71167328256</v>
      </c>
      <c r="M179" s="8">
        <v>81107517440</v>
      </c>
      <c r="N179" s="9">
        <v>0.4532645046710968</v>
      </c>
      <c r="O179" s="9">
        <v>0.36221310496330261</v>
      </c>
      <c r="P179" s="9">
        <v>0.47585076093673706</v>
      </c>
      <c r="Q179" s="9">
        <v>0.38290137052536011</v>
      </c>
      <c r="R179" s="9">
        <v>-3.7282634526491165E-2</v>
      </c>
      <c r="S179" s="9">
        <v>6.6148921847343445E-2</v>
      </c>
    </row>
    <row r="180" spans="1:19" ht="18" thickBot="1" x14ac:dyDescent="0.25">
      <c r="A180" s="5" t="s">
        <v>174</v>
      </c>
      <c r="B180" s="2">
        <v>3439.95458984375</v>
      </c>
      <c r="C180" s="4" t="s">
        <v>224</v>
      </c>
      <c r="D180" s="4" t="s">
        <v>232</v>
      </c>
      <c r="E180" s="6">
        <v>22306168832</v>
      </c>
      <c r="F180" s="6">
        <v>6484437</v>
      </c>
      <c r="G180" s="4" t="s">
        <v>408</v>
      </c>
      <c r="H180" s="7">
        <v>-3922866432</v>
      </c>
      <c r="I180" s="7">
        <v>-3893003264</v>
      </c>
      <c r="J180" s="7">
        <v>-34600712</v>
      </c>
      <c r="K180" s="7">
        <v>-29504126976</v>
      </c>
      <c r="L180" s="7">
        <v>26229035008</v>
      </c>
      <c r="M180" s="8">
        <v>29068007424</v>
      </c>
      <c r="N180" s="9">
        <v>0.52773511409759521</v>
      </c>
      <c r="O180" s="9">
        <v>0.4217241108417511</v>
      </c>
      <c r="P180" s="9">
        <v>0.49925848841667175</v>
      </c>
      <c r="Q180" s="9">
        <v>0.4017367959022522</v>
      </c>
      <c r="R180" s="9">
        <v>-0.17430736124515533</v>
      </c>
      <c r="S180" s="9">
        <v>8.855004794895649E-3</v>
      </c>
    </row>
    <row r="181" spans="1:19" ht="18" thickBot="1" x14ac:dyDescent="0.25">
      <c r="A181" s="5" t="s">
        <v>175</v>
      </c>
      <c r="B181" s="2">
        <v>3338.095947265625</v>
      </c>
      <c r="C181" s="4" t="s">
        <v>224</v>
      </c>
      <c r="D181" s="4" t="s">
        <v>228</v>
      </c>
      <c r="E181" s="6">
        <v>4735145984</v>
      </c>
      <c r="F181" s="6">
        <v>1418517</v>
      </c>
      <c r="G181" s="4" t="s">
        <v>409</v>
      </c>
      <c r="H181" s="7">
        <v>398635712</v>
      </c>
      <c r="I181" s="7">
        <v>367539968</v>
      </c>
      <c r="J181" s="7">
        <v>-42390472</v>
      </c>
      <c r="K181" s="7">
        <v>44755251200</v>
      </c>
      <c r="L181" s="7">
        <v>4336510464</v>
      </c>
      <c r="M181" s="8">
        <v>4654145024</v>
      </c>
      <c r="N181" s="9">
        <v>0.3761826753616333</v>
      </c>
      <c r="O181" s="9">
        <v>0.30061540007591248</v>
      </c>
      <c r="P181" s="9">
        <v>0.48888954520225525</v>
      </c>
      <c r="Q181" s="9">
        <v>0.39339321851730347</v>
      </c>
      <c r="R181" s="9">
        <v>8.2963027060031891E-2</v>
      </c>
      <c r="S181" s="9">
        <v>1.4533726498484612E-2</v>
      </c>
    </row>
    <row r="182" spans="1:19" ht="18" thickBot="1" x14ac:dyDescent="0.25">
      <c r="A182" s="5" t="s">
        <v>172</v>
      </c>
      <c r="B182" s="2">
        <v>3248.825927734375</v>
      </c>
      <c r="C182" s="4" t="s">
        <v>224</v>
      </c>
      <c r="D182" s="4" t="s">
        <v>227</v>
      </c>
      <c r="E182" s="6">
        <v>443425760</v>
      </c>
      <c r="F182" s="6">
        <v>136488</v>
      </c>
      <c r="G182" s="4" t="s">
        <v>406</v>
      </c>
      <c r="H182" s="7">
        <v>105050448</v>
      </c>
      <c r="I182" s="7">
        <v>58162132</v>
      </c>
      <c r="J182" s="7">
        <v>3370376</v>
      </c>
      <c r="K182" s="7">
        <v>1348834048</v>
      </c>
      <c r="L182" s="7">
        <v>338375328</v>
      </c>
      <c r="M182" s="8">
        <v>364737312</v>
      </c>
      <c r="N182" s="9">
        <v>0.82882082462310791</v>
      </c>
      <c r="O182" s="9">
        <v>0.66232806444168091</v>
      </c>
      <c r="P182" s="9">
        <v>0.91423803567886353</v>
      </c>
      <c r="Q182" s="9">
        <v>0.73565709590911865</v>
      </c>
      <c r="R182" s="9">
        <v>0.19294466078281403</v>
      </c>
      <c r="S182" s="9">
        <v>0.18556623160839081</v>
      </c>
    </row>
    <row r="183" spans="1:19" ht="35" thickBot="1" x14ac:dyDescent="0.25">
      <c r="A183" s="5" t="s">
        <v>177</v>
      </c>
      <c r="B183" s="2">
        <v>3056.486572265625</v>
      </c>
      <c r="C183" s="4" t="s">
        <v>224</v>
      </c>
      <c r="D183" s="4" t="s">
        <v>227</v>
      </c>
      <c r="E183" s="6">
        <v>32896405504</v>
      </c>
      <c r="F183" s="6">
        <v>10762817</v>
      </c>
      <c r="G183" s="4" t="s">
        <v>411</v>
      </c>
      <c r="H183" s="7">
        <v>-2253853440</v>
      </c>
      <c r="I183" s="7">
        <v>-2220157696</v>
      </c>
      <c r="J183" s="7">
        <v>-68232704</v>
      </c>
      <c r="K183" s="7">
        <v>-4725190656</v>
      </c>
      <c r="L183" s="7">
        <v>35150258176</v>
      </c>
      <c r="M183" s="8">
        <v>38137610240</v>
      </c>
      <c r="N183" s="9">
        <v>0.75668007135391235</v>
      </c>
      <c r="O183" s="9">
        <v>0.60467875003814697</v>
      </c>
      <c r="P183" s="9">
        <v>0.81484723091125488</v>
      </c>
      <c r="Q183" s="9">
        <v>0.65568059682846069</v>
      </c>
      <c r="R183" s="9">
        <v>-6.7823991179466248E-2</v>
      </c>
      <c r="S183" s="9">
        <v>1.0066263377666473E-2</v>
      </c>
    </row>
    <row r="184" spans="1:19" ht="18" thickBot="1" x14ac:dyDescent="0.25">
      <c r="A184" s="5" t="s">
        <v>180</v>
      </c>
      <c r="B184" s="2">
        <v>3024.9599609375</v>
      </c>
      <c r="C184" s="4" t="s">
        <v>224</v>
      </c>
      <c r="D184" s="4" t="s">
        <v>232</v>
      </c>
      <c r="E184" s="6">
        <v>2670576896</v>
      </c>
      <c r="F184" s="6">
        <v>882847</v>
      </c>
      <c r="G184" s="4" t="s">
        <v>414</v>
      </c>
      <c r="H184" s="7">
        <v>-1825288.375</v>
      </c>
      <c r="I184" s="7">
        <v>-18701026</v>
      </c>
      <c r="J184" s="7">
        <v>2223989.5</v>
      </c>
      <c r="K184" s="7">
        <v>-287483680</v>
      </c>
      <c r="L184" s="7">
        <v>2672402176</v>
      </c>
      <c r="M184" s="8">
        <v>2942555648</v>
      </c>
      <c r="N184" s="9">
        <v>0.52397936582565308</v>
      </c>
      <c r="O184" s="9">
        <v>0.41872280836105347</v>
      </c>
      <c r="P184" s="9">
        <v>0.5720866322517395</v>
      </c>
      <c r="Q184" s="9">
        <v>0.46033918857574463</v>
      </c>
      <c r="R184" s="9">
        <v>-5.7321030180901289E-4</v>
      </c>
      <c r="S184" s="9">
        <v>0.16133679449558258</v>
      </c>
    </row>
    <row r="185" spans="1:19" ht="18" thickBot="1" x14ac:dyDescent="0.25">
      <c r="A185" s="5" t="s">
        <v>176</v>
      </c>
      <c r="B185" s="2">
        <v>2948.38134765625</v>
      </c>
      <c r="C185" s="4" t="s">
        <v>224</v>
      </c>
      <c r="D185" s="4" t="s">
        <v>227</v>
      </c>
      <c r="E185" s="6">
        <v>335180832</v>
      </c>
      <c r="F185" s="6">
        <v>113683</v>
      </c>
      <c r="G185" s="4" t="s">
        <v>410</v>
      </c>
      <c r="H185" s="7">
        <v>9921772</v>
      </c>
      <c r="I185" s="7">
        <v>-760780.6875</v>
      </c>
      <c r="J185" s="7">
        <v>-1397109.5</v>
      </c>
      <c r="K185" s="7">
        <v>566052928</v>
      </c>
      <c r="L185" s="7">
        <v>325259072</v>
      </c>
      <c r="M185" s="8">
        <v>357685856</v>
      </c>
      <c r="N185" s="9">
        <v>1.1907541751861572</v>
      </c>
      <c r="O185" s="9">
        <v>0.95155644416809082</v>
      </c>
      <c r="P185" s="9">
        <v>1.1047606468200684</v>
      </c>
      <c r="Q185" s="9">
        <v>0.88896435499191284</v>
      </c>
      <c r="R185" s="9">
        <v>2.2596437484025955E-2</v>
      </c>
      <c r="S185" s="9">
        <v>0.23663909733295441</v>
      </c>
    </row>
    <row r="186" spans="1:19" ht="18" thickBot="1" x14ac:dyDescent="0.25">
      <c r="A186" s="5" t="s">
        <v>182</v>
      </c>
      <c r="B186" s="2">
        <v>2899.969482421875</v>
      </c>
      <c r="C186" s="4" t="s">
        <v>224</v>
      </c>
      <c r="D186" s="4" t="s">
        <v>232</v>
      </c>
      <c r="E186" s="6">
        <v>42961481728</v>
      </c>
      <c r="F186" s="6">
        <v>14814460</v>
      </c>
      <c r="G186" s="4" t="s">
        <v>416</v>
      </c>
      <c r="H186" s="7">
        <v>-576313280</v>
      </c>
      <c r="I186" s="7">
        <v>-640807168</v>
      </c>
      <c r="J186" s="7">
        <v>-1243799.375</v>
      </c>
      <c r="K186" s="7">
        <v>-19012257792</v>
      </c>
      <c r="L186" s="7">
        <v>43537793024</v>
      </c>
      <c r="M186" s="8">
        <v>48141897728</v>
      </c>
      <c r="N186" s="9">
        <v>0.44846093654632568</v>
      </c>
      <c r="O186" s="9">
        <v>0.35837450623512268</v>
      </c>
      <c r="P186" s="9">
        <v>0.47304219007492065</v>
      </c>
      <c r="Q186" s="9">
        <v>0.38064137101173401</v>
      </c>
      <c r="R186" s="9">
        <v>-1.3309676200151443E-2</v>
      </c>
      <c r="S186" s="9">
        <v>7.8253541141748428E-3</v>
      </c>
    </row>
    <row r="187" spans="1:19" ht="18" thickBot="1" x14ac:dyDescent="0.25">
      <c r="A187" s="5" t="s">
        <v>183</v>
      </c>
      <c r="B187" s="2">
        <v>2701.74853515625</v>
      </c>
      <c r="C187" s="4" t="s">
        <v>224</v>
      </c>
      <c r="D187" s="4" t="s">
        <v>227</v>
      </c>
      <c r="E187" s="6">
        <v>905542336</v>
      </c>
      <c r="F187" s="6">
        <v>335169</v>
      </c>
      <c r="G187" s="4" t="s">
        <v>417</v>
      </c>
      <c r="H187" s="7">
        <v>101899776</v>
      </c>
      <c r="I187" s="7">
        <v>10083432</v>
      </c>
      <c r="J187" s="7">
        <v>94674680</v>
      </c>
      <c r="K187" s="7">
        <v>-159535440</v>
      </c>
      <c r="L187" s="7">
        <v>803642560</v>
      </c>
      <c r="M187" s="8">
        <v>879017984</v>
      </c>
      <c r="N187" s="9">
        <v>1.1142528057098389</v>
      </c>
      <c r="O187" s="9">
        <v>0.89042270183563232</v>
      </c>
      <c r="P187" s="9">
        <v>1.2314494848251343</v>
      </c>
      <c r="Q187" s="9">
        <v>0.99090665578842163</v>
      </c>
      <c r="R187" s="9">
        <v>0.10057242214679718</v>
      </c>
      <c r="S187" s="9">
        <v>0.10625331103801727</v>
      </c>
    </row>
    <row r="188" spans="1:19" ht="18" thickBot="1" x14ac:dyDescent="0.25">
      <c r="A188" s="5" t="s">
        <v>179</v>
      </c>
      <c r="B188" s="2">
        <v>2609.906494140625</v>
      </c>
      <c r="C188" s="4" t="s">
        <v>224</v>
      </c>
      <c r="D188" s="4" t="s">
        <v>231</v>
      </c>
      <c r="E188" s="6">
        <v>66866921472</v>
      </c>
      <c r="F188" s="6">
        <v>25620427</v>
      </c>
      <c r="G188" s="4" t="s">
        <v>413</v>
      </c>
      <c r="H188" s="7">
        <v>-1799818368</v>
      </c>
      <c r="I188" s="7">
        <v>-1879851520</v>
      </c>
      <c r="J188" s="7">
        <v>254065888</v>
      </c>
      <c r="K188" s="7">
        <v>4141242880</v>
      </c>
      <c r="L188" s="7">
        <v>68666740736</v>
      </c>
      <c r="M188" s="8">
        <v>72280776704</v>
      </c>
      <c r="N188" s="9">
        <v>0.23580549657344818</v>
      </c>
      <c r="O188" s="9">
        <v>0.1884370893239975</v>
      </c>
      <c r="P188" s="9">
        <v>0.4129200279712677</v>
      </c>
      <c r="Q188" s="9">
        <v>0.33226308226585388</v>
      </c>
      <c r="R188" s="9">
        <v>-2.6243139058351517E-2</v>
      </c>
      <c r="S188" s="9">
        <v>2.5013895705342293E-2</v>
      </c>
    </row>
    <row r="189" spans="1:19" ht="18" thickBot="1" x14ac:dyDescent="0.25">
      <c r="A189" s="5" t="s">
        <v>186</v>
      </c>
      <c r="B189" s="2">
        <v>2592.835205078125</v>
      </c>
      <c r="C189" s="4" t="s">
        <v>224</v>
      </c>
      <c r="D189" s="4" t="s">
        <v>232</v>
      </c>
      <c r="E189" s="6">
        <v>6127712256</v>
      </c>
      <c r="F189" s="6">
        <v>2363325</v>
      </c>
      <c r="G189" s="4" t="s">
        <v>420</v>
      </c>
      <c r="H189" s="7">
        <v>1116142976</v>
      </c>
      <c r="I189" s="7">
        <v>39248884</v>
      </c>
      <c r="J189" s="7">
        <v>1032919360</v>
      </c>
      <c r="K189" s="7">
        <v>-574763520</v>
      </c>
      <c r="L189" s="7">
        <v>5011569664</v>
      </c>
      <c r="M189" s="8">
        <v>5306501120</v>
      </c>
      <c r="N189" s="9">
        <v>0.43268543481826782</v>
      </c>
      <c r="O189" s="9">
        <v>0.34576794505119324</v>
      </c>
      <c r="P189" s="9">
        <v>0.5208699107170105</v>
      </c>
      <c r="Q189" s="9">
        <v>0.41912674903869629</v>
      </c>
      <c r="R189" s="9">
        <v>0.15093190968036652</v>
      </c>
      <c r="S189" s="9">
        <v>0.17137196660041809</v>
      </c>
    </row>
    <row r="190" spans="1:19" ht="18" thickBot="1" x14ac:dyDescent="0.25">
      <c r="A190" s="5" t="s">
        <v>184</v>
      </c>
      <c r="B190" s="2">
        <v>2571.2158203125</v>
      </c>
      <c r="C190" s="4" t="s">
        <v>224</v>
      </c>
      <c r="D190" s="4" t="s">
        <v>232</v>
      </c>
      <c r="E190" s="6">
        <v>348327870464</v>
      </c>
      <c r="F190" s="6">
        <v>135472051</v>
      </c>
      <c r="G190" s="4" t="s">
        <v>418</v>
      </c>
      <c r="H190" s="7">
        <v>-585458112</v>
      </c>
      <c r="I190" s="7">
        <v>-485873472</v>
      </c>
      <c r="J190" s="7">
        <v>-184103088</v>
      </c>
      <c r="K190" s="7">
        <v>-276385267712</v>
      </c>
      <c r="L190" s="7">
        <v>348913336320</v>
      </c>
      <c r="M190" s="8">
        <v>382063050752</v>
      </c>
      <c r="N190" s="9">
        <v>0.27576777338981628</v>
      </c>
      <c r="O190" s="9">
        <v>0.2203717827796936</v>
      </c>
      <c r="P190" s="9">
        <v>0.3901868462562561</v>
      </c>
      <c r="Q190" s="9">
        <v>0.3139704167842865</v>
      </c>
      <c r="R190" s="9">
        <v>-1.6084812814369798E-3</v>
      </c>
      <c r="S190" s="9">
        <v>4.3007783591747284E-2</v>
      </c>
    </row>
    <row r="191" spans="1:19" ht="18" thickBot="1" x14ac:dyDescent="0.25">
      <c r="A191" s="5" t="s">
        <v>185</v>
      </c>
      <c r="B191" s="2">
        <v>2506.84619140625</v>
      </c>
      <c r="C191" s="4" t="s">
        <v>224</v>
      </c>
      <c r="D191" s="4" t="s">
        <v>232</v>
      </c>
      <c r="E191" s="6">
        <v>36523098112</v>
      </c>
      <c r="F191" s="6">
        <v>14569341</v>
      </c>
      <c r="G191" s="4" t="s">
        <v>419</v>
      </c>
      <c r="H191" s="7">
        <v>-1024302144</v>
      </c>
      <c r="I191" s="7">
        <v>-974879744</v>
      </c>
      <c r="J191" s="7">
        <v>-103240256</v>
      </c>
      <c r="K191" s="7">
        <v>-30483795968</v>
      </c>
      <c r="L191" s="7">
        <v>37547401216</v>
      </c>
      <c r="M191" s="8">
        <v>40236380160</v>
      </c>
      <c r="N191" s="9">
        <v>0.33551621437072754</v>
      </c>
      <c r="O191" s="9">
        <v>0.26811796426773071</v>
      </c>
      <c r="P191" s="9">
        <v>0.37715065479278564</v>
      </c>
      <c r="Q191" s="9">
        <v>0.30348065495491028</v>
      </c>
      <c r="R191" s="9">
        <v>-2.6795634999871254E-2</v>
      </c>
      <c r="S191" s="9">
        <v>4.4559642672538757E-2</v>
      </c>
    </row>
    <row r="192" spans="1:19" ht="18" thickBot="1" x14ac:dyDescent="0.25">
      <c r="A192" s="5" t="s">
        <v>171</v>
      </c>
      <c r="B192" s="2">
        <v>2385.296142578125</v>
      </c>
      <c r="C192" s="4" t="s">
        <v>224</v>
      </c>
      <c r="D192" s="4" t="s">
        <v>231</v>
      </c>
      <c r="E192" s="6">
        <v>13332905984</v>
      </c>
      <c r="F192" s="6">
        <v>5589623</v>
      </c>
      <c r="G192" s="4" t="s">
        <v>405</v>
      </c>
      <c r="H192" s="7">
        <v>1030837632</v>
      </c>
      <c r="I192" s="7">
        <v>428616000</v>
      </c>
      <c r="J192" s="7">
        <v>608042624</v>
      </c>
      <c r="K192" s="7">
        <v>7755831808</v>
      </c>
      <c r="L192" s="7">
        <v>12302067712</v>
      </c>
      <c r="M192" s="8">
        <v>13571871744</v>
      </c>
      <c r="N192" s="9">
        <v>0.86060845851898193</v>
      </c>
      <c r="O192" s="9">
        <v>0.68773007392883301</v>
      </c>
      <c r="P192" s="9">
        <v>0.80726242065429688</v>
      </c>
      <c r="Q192" s="9">
        <v>0.64957737922668457</v>
      </c>
      <c r="R192" s="9">
        <v>6.6934652626514435E-2</v>
      </c>
      <c r="S192" s="9">
        <v>0.13426382839679718</v>
      </c>
    </row>
    <row r="193" spans="1:19" ht="18" thickBot="1" x14ac:dyDescent="0.25">
      <c r="A193" s="5" t="s">
        <v>181</v>
      </c>
      <c r="B193" s="2">
        <v>2328.292236328125</v>
      </c>
      <c r="C193" s="4" t="s">
        <v>224</v>
      </c>
      <c r="D193" s="4" t="s">
        <v>232</v>
      </c>
      <c r="E193" s="6">
        <v>51021901824</v>
      </c>
      <c r="F193" s="6">
        <v>21913874</v>
      </c>
      <c r="G193" s="4" t="s">
        <v>415</v>
      </c>
      <c r="H193" s="7">
        <v>-7024652800</v>
      </c>
      <c r="I193" s="7">
        <v>-7066587648</v>
      </c>
      <c r="J193" s="7">
        <v>115352560</v>
      </c>
      <c r="K193" s="7">
        <v>-66402328576</v>
      </c>
      <c r="L193" s="7">
        <v>58046554112</v>
      </c>
      <c r="M193" s="8">
        <v>65088331776</v>
      </c>
      <c r="N193" s="9">
        <v>0.39616665244102478</v>
      </c>
      <c r="O193" s="9">
        <v>0.31658503413200378</v>
      </c>
      <c r="P193" s="9">
        <v>0.39987596869468689</v>
      </c>
      <c r="Q193" s="9">
        <v>0.32176694273948669</v>
      </c>
      <c r="R193" s="9">
        <v>-0.1322353184223175</v>
      </c>
      <c r="S193" s="9">
        <v>3.9540141820907593E-2</v>
      </c>
    </row>
    <row r="194" spans="1:19" ht="18" thickBot="1" x14ac:dyDescent="0.25">
      <c r="A194" s="5" t="s">
        <v>187</v>
      </c>
      <c r="B194" s="2">
        <v>2322.2041015625</v>
      </c>
      <c r="C194" s="4" t="s">
        <v>224</v>
      </c>
      <c r="D194" s="4" t="s">
        <v>232</v>
      </c>
      <c r="E194" s="6">
        <v>163821895680</v>
      </c>
      <c r="F194" s="6">
        <v>70545865</v>
      </c>
      <c r="G194" s="4" t="s">
        <v>421</v>
      </c>
      <c r="H194" s="7">
        <v>-5187420160</v>
      </c>
      <c r="I194" s="7">
        <v>-5619214848</v>
      </c>
      <c r="J194" s="7">
        <v>55875912</v>
      </c>
      <c r="K194" s="7">
        <v>-116587249664</v>
      </c>
      <c r="L194" s="7">
        <v>169009315840</v>
      </c>
      <c r="M194" s="8">
        <v>199640842240</v>
      </c>
      <c r="N194" s="9">
        <v>0.36865824460983276</v>
      </c>
      <c r="O194" s="9">
        <v>0.29460245370864868</v>
      </c>
      <c r="P194" s="9">
        <v>0.412647545337677</v>
      </c>
      <c r="Q194" s="9">
        <v>0.33204379677772522</v>
      </c>
      <c r="R194" s="9">
        <v>-3.1366407871246338E-2</v>
      </c>
      <c r="S194" s="9">
        <v>9.4297006726264954E-3</v>
      </c>
    </row>
    <row r="195" spans="1:19" ht="18" thickBot="1" x14ac:dyDescent="0.25">
      <c r="A195" s="5" t="s">
        <v>189</v>
      </c>
      <c r="B195" s="2">
        <v>2303.5068359375</v>
      </c>
      <c r="C195" s="4" t="s">
        <v>224</v>
      </c>
      <c r="D195" s="4" t="s">
        <v>232</v>
      </c>
      <c r="E195" s="6">
        <v>20316454912</v>
      </c>
      <c r="F195" s="6">
        <v>8819794</v>
      </c>
      <c r="G195" s="4" t="s">
        <v>423</v>
      </c>
      <c r="H195" s="7">
        <v>-174797840</v>
      </c>
      <c r="I195" s="7">
        <v>-157416592</v>
      </c>
      <c r="J195" s="7">
        <v>-16517021</v>
      </c>
      <c r="K195" s="7">
        <v>-11260388352</v>
      </c>
      <c r="L195" s="7">
        <v>20491253760</v>
      </c>
      <c r="M195" s="8">
        <v>22194302976</v>
      </c>
      <c r="N195" s="9">
        <v>0.28803050518035889</v>
      </c>
      <c r="O195" s="9">
        <v>0.23017120361328125</v>
      </c>
      <c r="P195" s="9">
        <v>0.38616234064102173</v>
      </c>
      <c r="Q195" s="9">
        <v>0.31073203682899475</v>
      </c>
      <c r="R195" s="9">
        <v>-8.2003949210047722E-3</v>
      </c>
      <c r="S195" s="9">
        <v>4.6882025897502899E-2</v>
      </c>
    </row>
    <row r="196" spans="1:19" ht="18" thickBot="1" x14ac:dyDescent="0.25">
      <c r="A196" s="5" t="s">
        <v>190</v>
      </c>
      <c r="B196" s="2">
        <v>2252.502685546875</v>
      </c>
      <c r="C196" s="4" t="s">
        <v>224</v>
      </c>
      <c r="D196" s="4" t="s">
        <v>232</v>
      </c>
      <c r="E196" s="6">
        <v>6356772352</v>
      </c>
      <c r="F196" s="6">
        <v>2822093</v>
      </c>
      <c r="G196" s="4" t="s">
        <v>424</v>
      </c>
      <c r="H196" s="7">
        <v>138959968</v>
      </c>
      <c r="I196" s="7">
        <v>135349328</v>
      </c>
      <c r="J196" s="7">
        <v>6979770</v>
      </c>
      <c r="K196" s="7">
        <v>-5457632768</v>
      </c>
      <c r="L196" s="7">
        <v>6217812480</v>
      </c>
      <c r="M196" s="8">
        <v>7026887168</v>
      </c>
      <c r="N196" s="9">
        <v>0.30860283970832825</v>
      </c>
      <c r="O196" s="9">
        <v>0.24661096930503845</v>
      </c>
      <c r="P196" s="9">
        <v>0.35584348440170288</v>
      </c>
      <c r="Q196" s="9">
        <v>0.28633546829223633</v>
      </c>
      <c r="R196" s="9">
        <v>1.8282430246472359E-2</v>
      </c>
      <c r="S196" s="9">
        <v>0.16366377472877502</v>
      </c>
    </row>
    <row r="197" spans="1:19" ht="18" thickBot="1" x14ac:dyDescent="0.25">
      <c r="A197" s="5" t="s">
        <v>191</v>
      </c>
      <c r="B197" s="2">
        <v>2213.03076171875</v>
      </c>
      <c r="C197" s="4" t="s">
        <v>224</v>
      </c>
      <c r="D197" s="4" t="s">
        <v>232</v>
      </c>
      <c r="E197" s="6">
        <v>113716355072</v>
      </c>
      <c r="F197" s="6">
        <v>51384894</v>
      </c>
      <c r="G197" s="4" t="s">
        <v>425</v>
      </c>
      <c r="H197" s="7">
        <v>-3293124608</v>
      </c>
      <c r="I197" s="7">
        <v>-3224308224</v>
      </c>
      <c r="J197" s="7">
        <v>-238115392</v>
      </c>
      <c r="K197" s="7">
        <v>-65155309568</v>
      </c>
      <c r="L197" s="7">
        <v>117009481728</v>
      </c>
      <c r="M197" s="8">
        <v>127913074688</v>
      </c>
      <c r="N197" s="9">
        <v>0.43308904767036438</v>
      </c>
      <c r="O197" s="9">
        <v>0.34609049558639526</v>
      </c>
      <c r="P197" s="9">
        <v>0.41684046387672424</v>
      </c>
      <c r="Q197" s="9">
        <v>0.33541774749755859</v>
      </c>
      <c r="R197" s="9">
        <v>-2.8103534132242203E-2</v>
      </c>
      <c r="S197" s="9">
        <v>2.9544275254011154E-2</v>
      </c>
    </row>
    <row r="198" spans="1:19" ht="18" thickBot="1" x14ac:dyDescent="0.25">
      <c r="A198" s="5" t="s">
        <v>198</v>
      </c>
      <c r="B198" s="2">
        <v>2113.9609375</v>
      </c>
      <c r="C198" s="4" t="s">
        <v>225</v>
      </c>
      <c r="D198" s="4" t="s">
        <v>232</v>
      </c>
      <c r="E198" s="6">
        <v>53269323776</v>
      </c>
      <c r="F198" s="6">
        <v>25198821</v>
      </c>
      <c r="G198" s="4" t="s">
        <v>432</v>
      </c>
      <c r="H198" s="7">
        <v>-1658018432</v>
      </c>
      <c r="I198" s="7">
        <v>-1704300032</v>
      </c>
      <c r="J198" s="7">
        <v>56556380</v>
      </c>
      <c r="K198" s="7">
        <v>-33266997248</v>
      </c>
      <c r="L198" s="7">
        <v>54927343616</v>
      </c>
      <c r="M198" s="8">
        <v>58974793728</v>
      </c>
      <c r="N198" s="9">
        <v>0.44808900356292725</v>
      </c>
      <c r="O198" s="9">
        <v>0.3580772876739502</v>
      </c>
      <c r="P198" s="9">
        <v>0.45655947923660278</v>
      </c>
      <c r="Q198" s="9">
        <v>0.36737829446792603</v>
      </c>
      <c r="R198" s="9">
        <v>-3.0466608703136444E-2</v>
      </c>
      <c r="S198" s="9">
        <v>2.1159470081329346E-2</v>
      </c>
    </row>
    <row r="199" spans="1:19" ht="18" thickBot="1" x14ac:dyDescent="0.25">
      <c r="A199" s="5" t="s">
        <v>192</v>
      </c>
      <c r="B199" s="2">
        <v>2111.88818359375</v>
      </c>
      <c r="C199" s="4" t="s">
        <v>225</v>
      </c>
      <c r="D199" s="4" t="s">
        <v>232</v>
      </c>
      <c r="E199" s="6">
        <v>20530950144</v>
      </c>
      <c r="F199" s="6">
        <v>9721608</v>
      </c>
      <c r="G199" s="4" t="s">
        <v>426</v>
      </c>
      <c r="H199" s="7">
        <v>10996251</v>
      </c>
      <c r="I199" s="7">
        <v>-69104672</v>
      </c>
      <c r="J199" s="7">
        <v>65070932</v>
      </c>
      <c r="K199" s="7">
        <v>-384060320</v>
      </c>
      <c r="L199" s="7">
        <v>20519952384</v>
      </c>
      <c r="M199" s="8">
        <v>23332691968</v>
      </c>
      <c r="N199" s="9">
        <v>0.43127760291099548</v>
      </c>
      <c r="O199" s="9">
        <v>0.34464290738105774</v>
      </c>
      <c r="P199" s="9">
        <v>0.4530901312828064</v>
      </c>
      <c r="Q199" s="9">
        <v>0.36458662152290344</v>
      </c>
      <c r="R199" s="9">
        <v>5.021029501222074E-4</v>
      </c>
      <c r="S199" s="9">
        <v>6.2530480325222015E-2</v>
      </c>
    </row>
    <row r="200" spans="1:19" ht="18" thickBot="1" x14ac:dyDescent="0.25">
      <c r="A200" s="5" t="s">
        <v>193</v>
      </c>
      <c r="B200" s="2">
        <v>2065.290771484375</v>
      </c>
      <c r="C200" s="4" t="s">
        <v>225</v>
      </c>
      <c r="D200" s="4" t="s">
        <v>229</v>
      </c>
      <c r="E200" s="6">
        <v>24589549568</v>
      </c>
      <c r="F200" s="6">
        <v>11906095</v>
      </c>
      <c r="G200" s="4" t="s">
        <v>427</v>
      </c>
      <c r="H200" s="7">
        <v>19272408</v>
      </c>
      <c r="I200" s="7">
        <v>-15737800</v>
      </c>
      <c r="J200" s="7">
        <v>50085076</v>
      </c>
      <c r="K200" s="7">
        <v>295857856</v>
      </c>
      <c r="L200" s="7">
        <v>24570275840</v>
      </c>
      <c r="M200" s="8">
        <v>25863448576</v>
      </c>
      <c r="N200" s="9">
        <v>1.0489652156829834</v>
      </c>
      <c r="O200" s="9">
        <v>0.83824998140335083</v>
      </c>
      <c r="P200" s="9">
        <v>0.66157436370849609</v>
      </c>
      <c r="Q200" s="9">
        <v>0.53234696388244629</v>
      </c>
      <c r="R200" s="9">
        <v>7.2241469752043486E-4</v>
      </c>
      <c r="S200" s="9">
        <v>7.8275427222251892E-2</v>
      </c>
    </row>
    <row r="201" spans="1:19" ht="18" thickBot="1" x14ac:dyDescent="0.25">
      <c r="A201" s="5" t="s">
        <v>205</v>
      </c>
      <c r="B201" s="2">
        <v>1949.943115234375</v>
      </c>
      <c r="C201" s="4" t="s">
        <v>225</v>
      </c>
      <c r="D201" s="4" t="s">
        <v>232</v>
      </c>
      <c r="E201" s="6">
        <v>23767443456</v>
      </c>
      <c r="F201" s="6">
        <v>12188788</v>
      </c>
      <c r="G201" s="4" t="s">
        <v>439</v>
      </c>
      <c r="H201" s="7">
        <v>-2299350272</v>
      </c>
      <c r="I201" s="7">
        <v>-3256466688</v>
      </c>
      <c r="J201" s="7">
        <v>955684672</v>
      </c>
      <c r="K201" s="7">
        <v>-165957168</v>
      </c>
      <c r="L201" s="7">
        <v>26066792448</v>
      </c>
      <c r="M201" s="8">
        <v>28072937472</v>
      </c>
      <c r="N201" s="9">
        <v>13.594289779663086</v>
      </c>
      <c r="O201" s="9">
        <v>10.863480567932129</v>
      </c>
      <c r="P201" s="9">
        <v>0.15883958339691162</v>
      </c>
      <c r="Q201" s="9">
        <v>0.1278129518032074</v>
      </c>
      <c r="R201" s="9">
        <v>-7.9515427350997925E-2</v>
      </c>
      <c r="S201" s="9">
        <v>0.17808161675930023</v>
      </c>
    </row>
    <row r="202" spans="1:19" ht="18" thickBot="1" x14ac:dyDescent="0.25">
      <c r="A202" s="5" t="s">
        <v>194</v>
      </c>
      <c r="B202" s="2">
        <v>1897.4298095703125</v>
      </c>
      <c r="C202" s="4" t="s">
        <v>225</v>
      </c>
      <c r="D202" s="4" t="s">
        <v>229</v>
      </c>
      <c r="E202" s="6">
        <v>54108807168</v>
      </c>
      <c r="F202" s="6">
        <v>28516896</v>
      </c>
      <c r="G202" s="4" t="s">
        <v>428</v>
      </c>
      <c r="H202" s="7">
        <v>-9117789184</v>
      </c>
      <c r="I202" s="7">
        <v>-9019802624</v>
      </c>
      <c r="J202" s="7">
        <v>-12729136</v>
      </c>
      <c r="K202" s="7">
        <v>159103467520</v>
      </c>
      <c r="L202" s="7">
        <v>63226597376</v>
      </c>
      <c r="M202" s="8">
        <v>66600251392</v>
      </c>
      <c r="N202" s="9">
        <v>0.80865716934204102</v>
      </c>
      <c r="O202" s="9">
        <v>0.64621484279632568</v>
      </c>
      <c r="P202" s="9">
        <v>1.9879883527755737</v>
      </c>
      <c r="Q202" s="9">
        <v>1.5996683835983276</v>
      </c>
      <c r="R202" s="9">
        <v>-0.1683727353811264</v>
      </c>
      <c r="S202" s="9">
        <v>8.0509361578151584E-4</v>
      </c>
    </row>
    <row r="203" spans="1:19" ht="18" thickBot="1" x14ac:dyDescent="0.25">
      <c r="A203" s="5" t="s">
        <v>201</v>
      </c>
      <c r="B203" s="2">
        <v>1873.329345703125</v>
      </c>
      <c r="C203" s="4" t="s">
        <v>225</v>
      </c>
      <c r="D203" s="4" t="s">
        <v>232</v>
      </c>
      <c r="E203" s="6">
        <v>39346855936</v>
      </c>
      <c r="F203" s="6">
        <v>21003705</v>
      </c>
      <c r="G203" s="4" t="s">
        <v>435</v>
      </c>
      <c r="H203" s="7">
        <v>54109064</v>
      </c>
      <c r="I203" s="7">
        <v>-831761.875</v>
      </c>
      <c r="J203" s="7">
        <v>100574080</v>
      </c>
      <c r="K203" s="7">
        <v>-23976747008</v>
      </c>
      <c r="L203" s="7">
        <v>39292747776</v>
      </c>
      <c r="M203" s="8">
        <v>41360785408</v>
      </c>
      <c r="N203" s="9">
        <v>0.45588994026184082</v>
      </c>
      <c r="O203" s="9">
        <v>0.36431115865707397</v>
      </c>
      <c r="P203" s="9">
        <v>0.48297825455665588</v>
      </c>
      <c r="Q203" s="9">
        <v>0.38863664865493774</v>
      </c>
      <c r="R203" s="9">
        <v>1.1936050141230226E-3</v>
      </c>
      <c r="S203" s="9">
        <v>0.13203807175159454</v>
      </c>
    </row>
    <row r="204" spans="1:19" ht="18" thickBot="1" x14ac:dyDescent="0.25">
      <c r="A204" s="5" t="s">
        <v>195</v>
      </c>
      <c r="B204" s="2">
        <v>1818.2216796875</v>
      </c>
      <c r="C204" s="4" t="s">
        <v>225</v>
      </c>
      <c r="D204" s="4" t="s">
        <v>232</v>
      </c>
      <c r="E204" s="6">
        <v>43772923904</v>
      </c>
      <c r="F204" s="6">
        <v>24074580</v>
      </c>
      <c r="G204" s="4" t="s">
        <v>429</v>
      </c>
      <c r="H204" s="7">
        <v>-2512925696</v>
      </c>
      <c r="I204" s="7">
        <v>-2514700032</v>
      </c>
      <c r="J204" s="7">
        <v>41937132</v>
      </c>
      <c r="K204" s="7">
        <v>-17606406144</v>
      </c>
      <c r="L204" s="7">
        <v>46285852672</v>
      </c>
      <c r="M204" s="8">
        <v>50000953344</v>
      </c>
      <c r="N204" s="9">
        <v>0.48323270678520203</v>
      </c>
      <c r="O204" s="9">
        <v>0.38616132736206055</v>
      </c>
      <c r="P204" s="9">
        <v>0.4476000964641571</v>
      </c>
      <c r="Q204" s="9">
        <v>0.36016896367073059</v>
      </c>
      <c r="R204" s="9">
        <v>-5.5853690952062607E-2</v>
      </c>
      <c r="S204" s="9">
        <v>2.7078473940491676E-2</v>
      </c>
    </row>
    <row r="205" spans="1:19" ht="18" thickBot="1" x14ac:dyDescent="0.25">
      <c r="A205" s="5" t="s">
        <v>199</v>
      </c>
      <c r="B205" s="2">
        <v>1689.7403564453125</v>
      </c>
      <c r="C205" s="4" t="s">
        <v>225</v>
      </c>
      <c r="D205" s="4" t="s">
        <v>232</v>
      </c>
      <c r="E205" s="6">
        <v>3801096192</v>
      </c>
      <c r="F205" s="6">
        <v>2249515</v>
      </c>
      <c r="G205" s="4" t="s">
        <v>433</v>
      </c>
      <c r="H205" s="7">
        <v>-9825022</v>
      </c>
      <c r="I205" s="7">
        <v>-62190552</v>
      </c>
      <c r="J205" s="7">
        <v>29083734</v>
      </c>
      <c r="K205" s="7">
        <v>-1656088576</v>
      </c>
      <c r="L205" s="7">
        <v>3810921216</v>
      </c>
      <c r="M205" s="8">
        <v>4155754752</v>
      </c>
      <c r="N205" s="9">
        <v>0.47569003701210022</v>
      </c>
      <c r="O205" s="9">
        <v>0.38013380765914917</v>
      </c>
      <c r="P205" s="9">
        <v>0.45654511451721191</v>
      </c>
      <c r="Q205" s="9">
        <v>0.3673667311668396</v>
      </c>
      <c r="R205" s="9">
        <v>-2.4842571001499891E-3</v>
      </c>
      <c r="S205" s="9">
        <v>3.8892749696969986E-2</v>
      </c>
    </row>
    <row r="206" spans="1:19" ht="18" thickBot="1" x14ac:dyDescent="0.25">
      <c r="A206" s="5" t="s">
        <v>196</v>
      </c>
      <c r="B206" s="2">
        <v>1668.9813232421875</v>
      </c>
      <c r="C206" s="4" t="s">
        <v>225</v>
      </c>
      <c r="D206" s="4" t="s">
        <v>227</v>
      </c>
      <c r="E206" s="6">
        <v>1399682816</v>
      </c>
      <c r="F206" s="6">
        <v>838645</v>
      </c>
      <c r="G206" s="4" t="s">
        <v>430</v>
      </c>
      <c r="H206" s="7">
        <v>-12082589</v>
      </c>
      <c r="I206" s="7">
        <v>-22424504</v>
      </c>
      <c r="J206" s="7">
        <v>4481878.5</v>
      </c>
      <c r="K206" s="7">
        <v>-94594424</v>
      </c>
      <c r="L206" s="7">
        <v>1411765376</v>
      </c>
      <c r="M206" s="8">
        <v>1571112576</v>
      </c>
      <c r="N206" s="9">
        <v>0.91903787851333618</v>
      </c>
      <c r="O206" s="9">
        <v>0.73442226648330688</v>
      </c>
      <c r="P206" s="9">
        <v>1.0365818738937378</v>
      </c>
      <c r="Q206" s="9">
        <v>0.8341030478477478</v>
      </c>
      <c r="R206" s="9">
        <v>-8.4624215960502625E-3</v>
      </c>
      <c r="S206" s="9">
        <v>1.9688036292791367E-2</v>
      </c>
    </row>
    <row r="207" spans="1:19" ht="18" thickBot="1" x14ac:dyDescent="0.25">
      <c r="A207" s="5" t="s">
        <v>202</v>
      </c>
      <c r="B207" s="2">
        <v>1519.3489990234375</v>
      </c>
      <c r="C207" s="4" t="s">
        <v>225</v>
      </c>
      <c r="D207" s="4" t="s">
        <v>232</v>
      </c>
      <c r="E207" s="6">
        <v>5480296448</v>
      </c>
      <c r="F207" s="6">
        <v>3607003</v>
      </c>
      <c r="G207" s="4" t="s">
        <v>436</v>
      </c>
      <c r="H207" s="7">
        <v>-34603504</v>
      </c>
      <c r="I207" s="7">
        <v>-102958344</v>
      </c>
      <c r="J207" s="7">
        <v>10558198</v>
      </c>
      <c r="K207" s="7">
        <v>-3771376640</v>
      </c>
      <c r="L207" s="7">
        <v>5514899968</v>
      </c>
      <c r="M207" s="8">
        <v>5986009088</v>
      </c>
      <c r="N207" s="9">
        <v>0.2300875186920166</v>
      </c>
      <c r="O207" s="9">
        <v>0.18386772274971008</v>
      </c>
      <c r="P207" s="9">
        <v>0.40711748600006104</v>
      </c>
      <c r="Q207" s="9">
        <v>0.32759395241737366</v>
      </c>
      <c r="R207" s="9">
        <v>-4.1441060602664948E-3</v>
      </c>
      <c r="S207" s="9">
        <v>0.34368124604225159</v>
      </c>
    </row>
    <row r="208" spans="1:19" ht="18" thickBot="1" x14ac:dyDescent="0.25">
      <c r="A208" s="5" t="s">
        <v>200</v>
      </c>
      <c r="B208" s="2">
        <v>1408.228271484375</v>
      </c>
      <c r="C208" s="4" t="s">
        <v>225</v>
      </c>
      <c r="D208" s="4" t="s">
        <v>228</v>
      </c>
      <c r="E208" s="6">
        <v>61742518272</v>
      </c>
      <c r="F208" s="6">
        <v>43844111</v>
      </c>
      <c r="G208" s="4" t="s">
        <v>434</v>
      </c>
      <c r="H208" s="7">
        <v>592347136</v>
      </c>
      <c r="I208" s="7">
        <v>485789696</v>
      </c>
      <c r="J208" s="7">
        <v>121056168</v>
      </c>
      <c r="K208" s="7">
        <v>1536906112</v>
      </c>
      <c r="L208" s="7">
        <v>61150171136</v>
      </c>
      <c r="M208" s="8">
        <v>65939013632</v>
      </c>
      <c r="N208" s="9">
        <v>0.24501165747642517</v>
      </c>
      <c r="O208" s="9">
        <v>0.19579392671585083</v>
      </c>
      <c r="P208" s="9">
        <v>0.21967799961566925</v>
      </c>
      <c r="Q208" s="9">
        <v>0.17676760256290436</v>
      </c>
      <c r="R208" s="9">
        <v>8.6120646446943283E-3</v>
      </c>
      <c r="S208" s="9">
        <v>0.10233286023139954</v>
      </c>
    </row>
    <row r="209" spans="1:19" ht="18" thickBot="1" x14ac:dyDescent="0.25">
      <c r="A209" s="5" t="s">
        <v>204</v>
      </c>
      <c r="B209" s="2">
        <v>1309.9364013671875</v>
      </c>
      <c r="C209" s="4" t="s">
        <v>225</v>
      </c>
      <c r="D209" s="4" t="s">
        <v>232</v>
      </c>
      <c r="E209" s="6">
        <v>7507515392</v>
      </c>
      <c r="F209" s="6">
        <v>5731206</v>
      </c>
      <c r="G209" s="4" t="s">
        <v>438</v>
      </c>
      <c r="H209" s="7">
        <v>-615768064</v>
      </c>
      <c r="I209" s="7">
        <v>-700889984</v>
      </c>
      <c r="J209" s="7">
        <v>69156760</v>
      </c>
      <c r="K209" s="7">
        <v>-5228852224</v>
      </c>
      <c r="L209" s="7">
        <v>8123283456</v>
      </c>
      <c r="M209" s="8">
        <v>8997783552</v>
      </c>
      <c r="N209" s="9">
        <v>0.54056817293167114</v>
      </c>
      <c r="O209" s="9">
        <v>0.43197926878929138</v>
      </c>
      <c r="P209" s="9">
        <v>0.53931277990341187</v>
      </c>
      <c r="Q209" s="9">
        <v>0.43396714329719543</v>
      </c>
      <c r="R209" s="9">
        <v>-7.2403192520141602E-2</v>
      </c>
      <c r="S209" s="9">
        <v>0.11725188046693802</v>
      </c>
    </row>
    <row r="210" spans="1:19" ht="18" thickBot="1" x14ac:dyDescent="0.25">
      <c r="A210" s="5" t="s">
        <v>203</v>
      </c>
      <c r="B210" s="2">
        <v>1268.6309814453125</v>
      </c>
      <c r="C210" s="4" t="s">
        <v>225</v>
      </c>
      <c r="D210" s="4" t="s">
        <v>232</v>
      </c>
      <c r="E210" s="6">
        <v>35417423872</v>
      </c>
      <c r="F210" s="6">
        <v>27917831</v>
      </c>
      <c r="G210" s="4" t="s">
        <v>437</v>
      </c>
      <c r="H210" s="7">
        <v>-763460160</v>
      </c>
      <c r="I210" s="7">
        <v>-826042368</v>
      </c>
      <c r="J210" s="7">
        <v>75077528</v>
      </c>
      <c r="K210" s="7">
        <v>-34533302272</v>
      </c>
      <c r="L210" s="7">
        <v>36180881408</v>
      </c>
      <c r="M210" s="8">
        <v>38839209984</v>
      </c>
      <c r="N210" s="9">
        <v>0.43841049075126648</v>
      </c>
      <c r="O210" s="9">
        <v>0.35034295916557312</v>
      </c>
      <c r="P210" s="9">
        <v>0.47710037231445312</v>
      </c>
      <c r="Q210" s="9">
        <v>0.38390687108039856</v>
      </c>
      <c r="R210" s="9">
        <v>-2.143886499106884E-2</v>
      </c>
      <c r="S210" s="9">
        <v>5.4368395358324051E-3</v>
      </c>
    </row>
    <row r="211" spans="1:19" ht="18" thickBot="1" x14ac:dyDescent="0.25">
      <c r="A211" s="5" t="s">
        <v>206</v>
      </c>
      <c r="B211" s="2">
        <v>1177.6983642578125</v>
      </c>
      <c r="C211" s="4" t="s">
        <v>225</v>
      </c>
      <c r="D211" s="4" t="s">
        <v>232</v>
      </c>
      <c r="E211" s="6">
        <v>38558642176</v>
      </c>
      <c r="F211" s="6">
        <v>32740678</v>
      </c>
      <c r="G211" s="4" t="s">
        <v>440</v>
      </c>
      <c r="H211" s="7">
        <v>-1449374848</v>
      </c>
      <c r="I211" s="7">
        <v>-1459505792</v>
      </c>
      <c r="J211" s="7">
        <v>-41259164</v>
      </c>
      <c r="K211" s="7">
        <v>-15772733440</v>
      </c>
      <c r="L211" s="7">
        <v>40008015872</v>
      </c>
      <c r="M211" s="8">
        <v>43231551488</v>
      </c>
      <c r="N211" s="9">
        <v>0.39191344380378723</v>
      </c>
      <c r="O211" s="9">
        <v>0.31318619847297668</v>
      </c>
      <c r="P211" s="9">
        <v>0.38089224696159363</v>
      </c>
      <c r="Q211" s="9">
        <v>0.30649137496948242</v>
      </c>
      <c r="R211" s="9">
        <v>-3.5130973905324936E-2</v>
      </c>
      <c r="S211" s="9">
        <v>6.5388374030590057E-2</v>
      </c>
    </row>
    <row r="212" spans="1:19" ht="18" thickBot="1" x14ac:dyDescent="0.25">
      <c r="A212" s="5" t="s">
        <v>208</v>
      </c>
      <c r="B212" s="2">
        <v>1174.9881591796875</v>
      </c>
      <c r="C212" s="4" t="s">
        <v>225</v>
      </c>
      <c r="D212" s="4" t="s">
        <v>232</v>
      </c>
      <c r="E212" s="6">
        <v>132576821248</v>
      </c>
      <c r="F212" s="6">
        <v>112832473</v>
      </c>
      <c r="G212" s="4" t="s">
        <v>442</v>
      </c>
      <c r="H212" s="7">
        <v>-5486999552</v>
      </c>
      <c r="I212" s="7">
        <v>-5572779008</v>
      </c>
      <c r="J212" s="7">
        <v>61170196</v>
      </c>
      <c r="K212" s="7">
        <v>-69467521024</v>
      </c>
      <c r="L212" s="7">
        <v>138063822848</v>
      </c>
      <c r="M212" s="8">
        <v>147209240576</v>
      </c>
      <c r="N212" s="9">
        <v>0.47532013058662415</v>
      </c>
      <c r="O212" s="9">
        <v>0.37983822822570801</v>
      </c>
      <c r="P212" s="9">
        <v>0.52814346551895142</v>
      </c>
      <c r="Q212" s="9">
        <v>0.42497953772544861</v>
      </c>
      <c r="R212" s="9">
        <v>-4.1104938834905624E-2</v>
      </c>
      <c r="S212" s="9">
        <v>6.8228673189878464E-3</v>
      </c>
    </row>
    <row r="213" spans="1:19" ht="18" thickBot="1" x14ac:dyDescent="0.25">
      <c r="A213" s="5" t="s">
        <v>207</v>
      </c>
      <c r="B213" s="2">
        <v>1164.00146484375</v>
      </c>
      <c r="C213" s="4" t="s">
        <v>225</v>
      </c>
      <c r="D213" s="4" t="s">
        <v>232</v>
      </c>
      <c r="E213" s="6">
        <v>25859596288</v>
      </c>
      <c r="F213" s="6">
        <v>22216120</v>
      </c>
      <c r="G213" s="4" t="s">
        <v>441</v>
      </c>
      <c r="H213" s="7">
        <v>-460466144</v>
      </c>
      <c r="I213" s="7">
        <v>-449771296</v>
      </c>
      <c r="J213" s="7">
        <v>33722580</v>
      </c>
      <c r="K213" s="7">
        <v>-9111001088</v>
      </c>
      <c r="L213" s="7">
        <v>26320062464</v>
      </c>
      <c r="M213" s="8">
        <v>28710608896</v>
      </c>
      <c r="N213" s="9">
        <v>0.44583722949028015</v>
      </c>
      <c r="O213" s="9">
        <v>0.35627779364585876</v>
      </c>
      <c r="P213" s="9">
        <v>0.45469030737876892</v>
      </c>
      <c r="Q213" s="9">
        <v>0.36587423086166382</v>
      </c>
      <c r="R213" s="9">
        <v>-1.7238374799489975E-2</v>
      </c>
      <c r="S213" s="9">
        <v>3.1899675726890564E-2</v>
      </c>
    </row>
    <row r="214" spans="1:19" ht="18" thickBot="1" x14ac:dyDescent="0.25">
      <c r="A214" s="5" t="s">
        <v>209</v>
      </c>
      <c r="B214" s="2">
        <v>969.79998779296875</v>
      </c>
      <c r="C214" s="4" t="s">
        <v>225</v>
      </c>
      <c r="D214" s="4" t="s">
        <v>232</v>
      </c>
      <c r="E214" s="6">
        <v>19061166080</v>
      </c>
      <c r="F214" s="6">
        <v>19654739</v>
      </c>
      <c r="G214" s="4" t="s">
        <v>443</v>
      </c>
      <c r="H214" s="7">
        <v>57197356</v>
      </c>
      <c r="I214" s="7">
        <v>-34660288</v>
      </c>
      <c r="J214" s="7">
        <v>25211486</v>
      </c>
      <c r="K214" s="7">
        <v>-10064630784</v>
      </c>
      <c r="L214" s="7">
        <v>19003969536</v>
      </c>
      <c r="M214" s="8">
        <v>20442634240</v>
      </c>
      <c r="N214" s="9">
        <v>0.52909529209136963</v>
      </c>
      <c r="O214" s="9">
        <v>0.42281109094619751</v>
      </c>
      <c r="P214" s="9">
        <v>0.52514725923538208</v>
      </c>
      <c r="Q214" s="9">
        <v>0.42256861925125122</v>
      </c>
      <c r="R214" s="9">
        <v>2.7971649542450905E-3</v>
      </c>
      <c r="S214" s="9">
        <v>6.7837566137313843E-2</v>
      </c>
    </row>
    <row r="215" spans="1:19" ht="18" thickBot="1" x14ac:dyDescent="0.25">
      <c r="A215" s="5" t="s">
        <v>214</v>
      </c>
      <c r="B215" s="2">
        <v>916.99755859375</v>
      </c>
      <c r="C215" s="4" t="s">
        <v>225</v>
      </c>
      <c r="D215" s="4" t="s">
        <v>232</v>
      </c>
      <c r="E215" s="6">
        <v>47374061568</v>
      </c>
      <c r="F215" s="6">
        <v>51662147</v>
      </c>
      <c r="G215" s="4" t="s">
        <v>448</v>
      </c>
      <c r="H215" s="7">
        <v>-1150962944</v>
      </c>
      <c r="I215" s="7">
        <v>-1594322304</v>
      </c>
      <c r="J215" s="7">
        <v>442733728</v>
      </c>
      <c r="K215" s="7">
        <v>-33412349952</v>
      </c>
      <c r="L215" s="7">
        <v>48525025280</v>
      </c>
      <c r="M215" s="8">
        <v>52084858880</v>
      </c>
      <c r="N215" s="9">
        <v>1.9754631519317627</v>
      </c>
      <c r="O215" s="9">
        <v>1.5786336660385132</v>
      </c>
      <c r="P215" s="9">
        <v>0.23868808150291443</v>
      </c>
      <c r="Q215" s="9">
        <v>0.19206438958644867</v>
      </c>
      <c r="R215" s="9">
        <v>-2.249901182949543E-2</v>
      </c>
      <c r="S215" s="9">
        <v>7.3932342231273651E-2</v>
      </c>
    </row>
    <row r="216" spans="1:19" ht="18" thickBot="1" x14ac:dyDescent="0.25">
      <c r="A216" s="5" t="s">
        <v>210</v>
      </c>
      <c r="B216" s="2">
        <v>879.04718017578125</v>
      </c>
      <c r="C216" s="4" t="s">
        <v>225</v>
      </c>
      <c r="D216" s="4" t="s">
        <v>232</v>
      </c>
      <c r="E216" s="6">
        <v>31321903104</v>
      </c>
      <c r="F216" s="6">
        <v>35631653</v>
      </c>
      <c r="G216" s="4" t="s">
        <v>444</v>
      </c>
      <c r="H216" s="7">
        <v>-4747487232</v>
      </c>
      <c r="I216" s="7">
        <v>-4972382720</v>
      </c>
      <c r="J216" s="7">
        <v>107272008</v>
      </c>
      <c r="K216" s="7">
        <v>-125482893312</v>
      </c>
      <c r="L216" s="7">
        <v>36069388288</v>
      </c>
      <c r="M216" s="8">
        <v>41023131648</v>
      </c>
      <c r="N216" s="9">
        <v>0.46290621161460876</v>
      </c>
      <c r="O216" s="9">
        <v>0.36991798877716064</v>
      </c>
      <c r="P216" s="9">
        <v>0.43485638499259949</v>
      </c>
      <c r="Q216" s="9">
        <v>0.34991452097892761</v>
      </c>
      <c r="R216" s="9">
        <v>-0.14191906154155731</v>
      </c>
      <c r="S216" s="9">
        <v>6.3678301870822906E-2</v>
      </c>
    </row>
    <row r="217" spans="1:19" ht="35" thickBot="1" x14ac:dyDescent="0.25">
      <c r="A217" s="5" t="s">
        <v>211</v>
      </c>
      <c r="B217" s="2">
        <v>828.28436279296875</v>
      </c>
      <c r="C217" s="4" t="s">
        <v>225</v>
      </c>
      <c r="D217" s="4" t="s">
        <v>232</v>
      </c>
      <c r="E217" s="6">
        <v>4566565376</v>
      </c>
      <c r="F217" s="6">
        <v>5513282</v>
      </c>
      <c r="G217" s="4" t="s">
        <v>445</v>
      </c>
      <c r="H217" s="7">
        <v>4459847.5</v>
      </c>
      <c r="I217" s="7">
        <v>-22546962</v>
      </c>
      <c r="J217" s="7">
        <v>26837054</v>
      </c>
      <c r="K217" s="7">
        <v>-2556022784</v>
      </c>
      <c r="L217" s="7">
        <v>4562105856</v>
      </c>
      <c r="M217" s="8">
        <v>4929120768</v>
      </c>
      <c r="N217" s="9">
        <v>0.55026501417160034</v>
      </c>
      <c r="O217" s="9">
        <v>0.43972823023796082</v>
      </c>
      <c r="P217" s="9">
        <v>0.54207509756088257</v>
      </c>
      <c r="Q217" s="9">
        <v>0.43618988990783691</v>
      </c>
      <c r="R217" s="9">
        <v>9.0363272465765476E-4</v>
      </c>
      <c r="S217" s="9">
        <v>7.4744604527950287E-2</v>
      </c>
    </row>
    <row r="218" spans="1:19" ht="18" thickBot="1" x14ac:dyDescent="0.25">
      <c r="A218" s="5" t="s">
        <v>212</v>
      </c>
      <c r="B218" s="2">
        <v>708.8431396484375</v>
      </c>
      <c r="C218" s="4" t="s">
        <v>225</v>
      </c>
      <c r="D218" s="4" t="s">
        <v>231</v>
      </c>
      <c r="E218" s="6">
        <v>29611126784</v>
      </c>
      <c r="F218" s="6">
        <v>41773878</v>
      </c>
      <c r="G218" s="4" t="s">
        <v>446</v>
      </c>
      <c r="H218" s="7">
        <v>-32418236</v>
      </c>
      <c r="I218" s="7">
        <v>-73768064</v>
      </c>
      <c r="J218" s="7">
        <v>121085216</v>
      </c>
      <c r="K218" s="7">
        <v>-2284494336</v>
      </c>
      <c r="L218" s="7">
        <v>29643544576</v>
      </c>
      <c r="M218" s="8">
        <v>31203731456</v>
      </c>
      <c r="N218" s="9">
        <v>0.94936627149581909</v>
      </c>
      <c r="O218" s="9">
        <v>0.75865828990936279</v>
      </c>
      <c r="P218" s="9">
        <v>0.21044717729091644</v>
      </c>
      <c r="Q218" s="9">
        <v>0.16933988034725189</v>
      </c>
      <c r="R218" s="9">
        <v>-8.8477798271924257E-4</v>
      </c>
      <c r="S218" s="9">
        <v>0.19183535873889923</v>
      </c>
    </row>
    <row r="219" spans="1:19" ht="18" thickBot="1" x14ac:dyDescent="0.25">
      <c r="A219" s="5" t="s">
        <v>213</v>
      </c>
      <c r="B219" s="2">
        <v>622.83660888671875</v>
      </c>
      <c r="C219" s="4" t="s">
        <v>225</v>
      </c>
      <c r="D219" s="4" t="s">
        <v>232</v>
      </c>
      <c r="E219" s="6">
        <v>8962620416</v>
      </c>
      <c r="F219" s="6">
        <v>14390003</v>
      </c>
      <c r="G219" s="4" t="s">
        <v>447</v>
      </c>
      <c r="H219" s="7">
        <v>-88164904</v>
      </c>
      <c r="I219" s="7">
        <v>-126779960</v>
      </c>
      <c r="J219" s="7">
        <v>27826858</v>
      </c>
      <c r="K219" s="7">
        <v>-7880640512</v>
      </c>
      <c r="L219" s="7">
        <v>9050785792</v>
      </c>
      <c r="M219" s="8">
        <v>10833355776</v>
      </c>
      <c r="N219" s="9">
        <v>0.49313730001449585</v>
      </c>
      <c r="O219" s="9">
        <v>0.39407625794410706</v>
      </c>
      <c r="P219" s="9">
        <v>0.38339999318122864</v>
      </c>
      <c r="Q219" s="9">
        <v>0.30850929021835327</v>
      </c>
      <c r="R219" s="9">
        <v>-9.0293595567345619E-3</v>
      </c>
      <c r="S219" s="9">
        <v>8.2098215818405151E-2</v>
      </c>
    </row>
  </sheetData>
  <conditionalFormatting sqref="H4:H219">
    <cfRule type="colorScale" priority="3">
      <colorScale>
        <cfvo type="min"/>
        <cfvo type="percentile" val="50"/>
        <cfvo type="max"/>
        <color rgb="FFF8696B"/>
        <color rgb="FFFFEB84"/>
        <color rgb="FF63BE7B"/>
      </colorScale>
    </cfRule>
  </conditionalFormatting>
  <conditionalFormatting sqref="L4:L219">
    <cfRule type="colorScale" priority="4">
      <colorScale>
        <cfvo type="min"/>
        <cfvo type="percentile" val="50"/>
        <cfvo type="max"/>
        <color rgb="FFF8696B"/>
        <color rgb="FFFFEB84"/>
        <color rgb="FF63BE7B"/>
      </colorScale>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F40"/>
  <sheetViews>
    <sheetView topLeftCell="A24" workbookViewId="0">
      <selection activeCell="F4" sqref="F4"/>
    </sheetView>
  </sheetViews>
  <sheetFormatPr baseColWidth="10" defaultColWidth="8.83203125" defaultRowHeight="15" x14ac:dyDescent="0.2"/>
  <cols>
    <col min="3" max="3" width="16.1640625" customWidth="1"/>
    <col min="4" max="4" width="19.1640625" customWidth="1"/>
    <col min="5" max="5" width="18.6640625" customWidth="1"/>
    <col min="6" max="6" width="18" customWidth="1"/>
  </cols>
  <sheetData>
    <row r="1" spans="1:6" ht="16" x14ac:dyDescent="0.2">
      <c r="A1" s="14" t="s">
        <v>483</v>
      </c>
    </row>
    <row r="4" spans="1:6" ht="34" x14ac:dyDescent="0.2">
      <c r="C4" s="10" t="s">
        <v>466</v>
      </c>
      <c r="D4" s="10" t="s">
        <v>467</v>
      </c>
      <c r="E4" s="10" t="s">
        <v>468</v>
      </c>
      <c r="F4" s="10" t="s">
        <v>469</v>
      </c>
    </row>
    <row r="5" spans="1:6" ht="16" x14ac:dyDescent="0.2">
      <c r="B5" s="11">
        <v>1990</v>
      </c>
      <c r="C5" s="12">
        <v>1.3198069334030151</v>
      </c>
      <c r="D5" s="12">
        <v>1.3722079992294312</v>
      </c>
      <c r="E5" s="12">
        <v>6.3129115104675293</v>
      </c>
      <c r="F5" s="12">
        <v>1.6601442098617554</v>
      </c>
    </row>
    <row r="6" spans="1:6" ht="16" x14ac:dyDescent="0.2">
      <c r="B6" s="11">
        <v>1991</v>
      </c>
      <c r="C6" s="12">
        <v>1.2800216674804688</v>
      </c>
      <c r="D6" s="12">
        <v>1.3632115125656128</v>
      </c>
      <c r="E6" s="12">
        <v>6.8140568733215332</v>
      </c>
      <c r="F6" s="12">
        <v>1.7430330514907837</v>
      </c>
    </row>
    <row r="7" spans="1:6" ht="16" x14ac:dyDescent="0.2">
      <c r="B7" s="11">
        <v>1992</v>
      </c>
      <c r="C7" s="12">
        <v>1.3417659997940063</v>
      </c>
      <c r="D7" s="12">
        <v>1.3375370502471924</v>
      </c>
      <c r="E7" s="12">
        <v>7.3992915153503418</v>
      </c>
      <c r="F7" s="12">
        <v>1.8872716426849365</v>
      </c>
    </row>
    <row r="8" spans="1:6" ht="16" x14ac:dyDescent="0.2">
      <c r="B8" s="11">
        <v>1993</v>
      </c>
      <c r="C8" s="12">
        <v>1.1998587846755981</v>
      </c>
      <c r="D8" s="12">
        <v>1.3276165723800659</v>
      </c>
      <c r="E8" s="12">
        <v>6.9135360717773438</v>
      </c>
      <c r="F8" s="12">
        <v>2.1704933643341064</v>
      </c>
    </row>
    <row r="9" spans="1:6" ht="16" x14ac:dyDescent="0.2">
      <c r="B9" s="11">
        <v>1994</v>
      </c>
      <c r="C9" s="12">
        <v>1.2030993700027466</v>
      </c>
      <c r="D9" s="12">
        <v>1.327426552772522</v>
      </c>
      <c r="E9" s="12">
        <v>10.369204521179199</v>
      </c>
      <c r="F9" s="12">
        <v>2.6680021286010742</v>
      </c>
    </row>
    <row r="10" spans="1:6" ht="16" x14ac:dyDescent="0.2">
      <c r="B10" s="11">
        <v>1995</v>
      </c>
      <c r="C10" s="12">
        <v>1.3085800409317017</v>
      </c>
      <c r="D10" s="12">
        <v>1.323421835899353</v>
      </c>
      <c r="E10" s="12">
        <v>10.928497314453125</v>
      </c>
      <c r="F10" s="12">
        <v>2.8944549560546875</v>
      </c>
    </row>
    <row r="11" spans="1:6" ht="16" x14ac:dyDescent="0.2">
      <c r="B11" s="11">
        <v>1996</v>
      </c>
      <c r="C11" s="12">
        <v>1.2878895998001099</v>
      </c>
      <c r="D11" s="12">
        <v>1.3258109092712402</v>
      </c>
      <c r="E11" s="12">
        <v>10.70773983001709</v>
      </c>
      <c r="F11" s="12">
        <v>3.2167994976043701</v>
      </c>
    </row>
    <row r="12" spans="1:6" ht="16" x14ac:dyDescent="0.2">
      <c r="B12" s="11">
        <v>1997</v>
      </c>
      <c r="C12" s="12">
        <v>1.129968523979187</v>
      </c>
      <c r="D12" s="12">
        <v>1.3335087299346924</v>
      </c>
      <c r="E12" s="12">
        <v>9.3672323226928711</v>
      </c>
      <c r="F12" s="12">
        <v>3.297053337097168</v>
      </c>
    </row>
    <row r="13" spans="1:6" ht="16" x14ac:dyDescent="0.2">
      <c r="B13" s="11">
        <v>1998</v>
      </c>
      <c r="C13" s="12">
        <v>1.1125752925872803</v>
      </c>
      <c r="D13" s="12">
        <v>1.330879807472229</v>
      </c>
      <c r="E13" s="12">
        <v>9.2109642028808594</v>
      </c>
      <c r="F13" s="12">
        <v>3.4617142677307129</v>
      </c>
    </row>
    <row r="14" spans="1:6" ht="16" x14ac:dyDescent="0.2">
      <c r="B14" s="11">
        <v>1999</v>
      </c>
      <c r="C14" s="12">
        <v>1.0657764673233032</v>
      </c>
      <c r="D14" s="12">
        <v>1.3378736972808838</v>
      </c>
      <c r="E14" s="12">
        <v>8.8227634429931641</v>
      </c>
      <c r="F14" s="12">
        <v>3.4397468566894531</v>
      </c>
    </row>
    <row r="15" spans="1:6" ht="16" x14ac:dyDescent="0.2">
      <c r="B15" s="11">
        <v>2000</v>
      </c>
      <c r="C15" s="12">
        <v>0.92361253499984741</v>
      </c>
      <c r="D15" s="12">
        <v>1.3533813953399658</v>
      </c>
      <c r="E15" s="12">
        <v>7.6461305618286133</v>
      </c>
      <c r="F15" s="12">
        <v>3.5399935245513916</v>
      </c>
    </row>
    <row r="16" spans="1:6" ht="16" x14ac:dyDescent="0.2">
      <c r="B16" s="11">
        <v>2001</v>
      </c>
      <c r="C16" s="12">
        <v>0.89562952518463135</v>
      </c>
      <c r="D16" s="12">
        <v>1.3523480892181396</v>
      </c>
      <c r="E16" s="12">
        <v>7.4131865501403809</v>
      </c>
      <c r="F16" s="12">
        <v>3.5765111446380615</v>
      </c>
    </row>
    <row r="17" spans="2:6" ht="16" x14ac:dyDescent="0.2">
      <c r="B17" s="11">
        <v>2002</v>
      </c>
      <c r="C17" s="12">
        <v>0.94557374715805054</v>
      </c>
      <c r="D17" s="12">
        <v>1.3410552740097046</v>
      </c>
      <c r="E17" s="12">
        <v>7.8264737129211426</v>
      </c>
      <c r="F17" s="12">
        <v>3.4636774063110352</v>
      </c>
    </row>
    <row r="18" spans="2:6" ht="16" x14ac:dyDescent="0.2">
      <c r="B18" s="11">
        <v>2003</v>
      </c>
      <c r="C18" s="12">
        <v>1.1311603784561157</v>
      </c>
      <c r="D18" s="12">
        <v>1.3392343521118164</v>
      </c>
      <c r="E18" s="12">
        <v>9.3626556396484375</v>
      </c>
      <c r="F18" s="12">
        <v>3.5178213119506836</v>
      </c>
    </row>
    <row r="19" spans="2:6" ht="16" x14ac:dyDescent="0.2">
      <c r="B19" s="11">
        <v>2004</v>
      </c>
      <c r="C19" s="12">
        <v>1.243902325630188</v>
      </c>
      <c r="D19" s="12">
        <v>1.3502277135848999</v>
      </c>
      <c r="E19" s="12">
        <v>10.2955322265625</v>
      </c>
      <c r="F19" s="12">
        <v>3.6714582443237305</v>
      </c>
    </row>
    <row r="20" spans="2:6" ht="16" x14ac:dyDescent="0.2">
      <c r="B20" s="11">
        <v>2005</v>
      </c>
      <c r="C20" s="12">
        <v>1.2440903186798096</v>
      </c>
      <c r="D20" s="12">
        <v>1.3690446615219116</v>
      </c>
      <c r="E20" s="12">
        <v>10.194470405578613</v>
      </c>
      <c r="F20" s="12">
        <v>3.847419261932373</v>
      </c>
    </row>
    <row r="21" spans="2:6" ht="16" x14ac:dyDescent="0.2">
      <c r="B21" s="11">
        <v>2006</v>
      </c>
      <c r="C21" s="12">
        <v>1.255598783493042</v>
      </c>
      <c r="D21" s="12">
        <v>1.3863877058029175</v>
      </c>
      <c r="E21" s="12">
        <v>10.011439323425293</v>
      </c>
      <c r="F21" s="12">
        <v>3.9479429721832275</v>
      </c>
    </row>
    <row r="22" spans="2:6" ht="16" x14ac:dyDescent="0.2">
      <c r="B22" s="11">
        <v>2007</v>
      </c>
      <c r="C22" s="12">
        <v>1.3704780340194702</v>
      </c>
      <c r="D22" s="12">
        <v>1.3914532661437988</v>
      </c>
      <c r="E22" s="12">
        <v>10.425955772399902</v>
      </c>
      <c r="F22" s="12">
        <v>4.2289896011352539</v>
      </c>
    </row>
    <row r="23" spans="2:6" ht="16" x14ac:dyDescent="0.2">
      <c r="B23" s="11">
        <v>2008</v>
      </c>
      <c r="C23" s="12">
        <v>1.4707554578781128</v>
      </c>
      <c r="D23" s="12">
        <v>1.3917528390884399</v>
      </c>
      <c r="E23" s="12">
        <v>10.219771385192871</v>
      </c>
      <c r="F23" s="12">
        <v>4.6464323997497559</v>
      </c>
    </row>
    <row r="24" spans="2:6" ht="16" x14ac:dyDescent="0.2">
      <c r="B24" s="11">
        <v>2009</v>
      </c>
      <c r="C24" s="12">
        <v>1.3947824239730835</v>
      </c>
      <c r="D24" s="12">
        <v>1.3843721151351929</v>
      </c>
      <c r="E24" s="12">
        <v>9.5283393859863281</v>
      </c>
      <c r="F24" s="12">
        <v>4.6390819549560547</v>
      </c>
    </row>
    <row r="25" spans="2:6" ht="16" x14ac:dyDescent="0.2">
      <c r="B25" s="11">
        <v>2010</v>
      </c>
      <c r="C25" s="12">
        <v>1.3257166147232056</v>
      </c>
      <c r="D25" s="12">
        <v>1.3908780813217163</v>
      </c>
      <c r="E25" s="12">
        <v>8.9754581451416016</v>
      </c>
      <c r="F25" s="12">
        <v>4.9825620651245117</v>
      </c>
    </row>
    <row r="26" spans="2:6" ht="16" x14ac:dyDescent="0.2">
      <c r="B26" s="11">
        <v>2011</v>
      </c>
      <c r="C26" s="12">
        <v>1.3919552564620972</v>
      </c>
      <c r="D26" s="12">
        <v>1.4052689075469971</v>
      </c>
      <c r="E26" s="12">
        <v>8.9940643310546875</v>
      </c>
      <c r="F26" s="12">
        <v>5.4098138809204102</v>
      </c>
    </row>
    <row r="27" spans="2:6" ht="16" x14ac:dyDescent="0.2">
      <c r="B27" s="11">
        <v>2012</v>
      </c>
      <c r="C27" s="12">
        <v>1.2847887277603149</v>
      </c>
      <c r="D27" s="12">
        <v>1.4136265516281128</v>
      </c>
      <c r="E27" s="12">
        <v>8.1100139617919922</v>
      </c>
      <c r="F27" s="12">
        <v>5.5164051055908203</v>
      </c>
    </row>
    <row r="28" spans="2:6" ht="16" x14ac:dyDescent="0.2">
      <c r="B28" s="11">
        <v>2013</v>
      </c>
      <c r="C28" s="12">
        <v>1.3281180858612061</v>
      </c>
      <c r="D28" s="12">
        <v>1.4189608097076416</v>
      </c>
      <c r="E28" s="12">
        <v>8.22869873046875</v>
      </c>
      <c r="F28" s="12">
        <v>5.5751843452453613</v>
      </c>
    </row>
    <row r="29" spans="2:6" ht="16" x14ac:dyDescent="0.2">
      <c r="B29" s="11">
        <v>2014</v>
      </c>
      <c r="C29" s="12">
        <v>1.3285007476806641</v>
      </c>
      <c r="D29" s="12">
        <v>1.4290441274642944</v>
      </c>
      <c r="E29" s="12">
        <v>8.1615571975708008</v>
      </c>
      <c r="F29" s="12">
        <v>5.588531494140625</v>
      </c>
    </row>
    <row r="30" spans="2:6" ht="16" x14ac:dyDescent="0.2">
      <c r="B30" s="11">
        <v>2015</v>
      </c>
      <c r="C30" s="12">
        <v>1.1095129251480103</v>
      </c>
      <c r="D30" s="12">
        <v>1.4257436990737915</v>
      </c>
      <c r="E30" s="12">
        <v>6.9094791412353516</v>
      </c>
      <c r="F30" s="12">
        <v>5.5319385528564453</v>
      </c>
    </row>
    <row r="31" spans="2:6" ht="16" x14ac:dyDescent="0.2">
      <c r="B31" s="11">
        <v>2016</v>
      </c>
      <c r="C31" s="12">
        <v>1.106903076171875</v>
      </c>
      <c r="D31" s="12">
        <v>1.4265570640563965</v>
      </c>
      <c r="E31" s="12">
        <v>7.3547930717468262</v>
      </c>
      <c r="F31" s="12">
        <v>5.5639963150024414</v>
      </c>
    </row>
    <row r="32" spans="2:6" ht="16" x14ac:dyDescent="0.2">
      <c r="B32" s="11">
        <v>2017</v>
      </c>
      <c r="C32" s="12">
        <v>1.1296812295913696</v>
      </c>
      <c r="D32" s="12">
        <v>1.4363670349121094</v>
      </c>
      <c r="E32" s="12">
        <v>7.6352381706237793</v>
      </c>
      <c r="F32" s="12">
        <v>5.7318825721740723</v>
      </c>
    </row>
    <row r="33" spans="2:6" ht="16" x14ac:dyDescent="0.2">
      <c r="B33" s="11">
        <v>2018</v>
      </c>
      <c r="C33" s="12">
        <v>1.1809544563293457</v>
      </c>
      <c r="D33" s="12">
        <v>1.447170615196228</v>
      </c>
      <c r="E33" s="12">
        <v>7.8131442070007324</v>
      </c>
      <c r="F33" s="12">
        <v>5.8414440155029297</v>
      </c>
    </row>
    <row r="34" spans="2:6" ht="16" x14ac:dyDescent="0.2">
      <c r="B34" s="11">
        <v>2019</v>
      </c>
      <c r="C34" s="12">
        <v>1.1194745302200317</v>
      </c>
      <c r="D34" s="12">
        <v>1.446537971496582</v>
      </c>
      <c r="E34" s="12">
        <v>7.7337608337402344</v>
      </c>
      <c r="F34" s="12">
        <v>5.8196535110473633</v>
      </c>
    </row>
    <row r="35" spans="2:6" ht="16" x14ac:dyDescent="0.2">
      <c r="B35" s="11">
        <v>2020</v>
      </c>
      <c r="C35" s="12">
        <v>1.1421960592269897</v>
      </c>
      <c r="D35" s="12">
        <v>1.4347448348999023</v>
      </c>
      <c r="E35" s="12">
        <v>7.8820300102233887</v>
      </c>
      <c r="F35" s="12">
        <v>5.7257952690124512</v>
      </c>
    </row>
    <row r="36" spans="2:6" ht="16" x14ac:dyDescent="0.2">
      <c r="B36" s="11">
        <v>2021</v>
      </c>
      <c r="C36" s="12">
        <v>1.182740330696106</v>
      </c>
      <c r="D36" s="12">
        <v>1.4698508977890015</v>
      </c>
      <c r="E36" s="12">
        <v>7.6274628639221191</v>
      </c>
      <c r="F36" s="12">
        <v>5.8608965873718262</v>
      </c>
    </row>
    <row r="37" spans="2:6" ht="16" x14ac:dyDescent="0.2">
      <c r="B37" s="11">
        <v>2022</v>
      </c>
      <c r="C37" s="12">
        <v>1.0530486106872559</v>
      </c>
      <c r="D37" s="12">
        <v>1.5041998624801636</v>
      </c>
      <c r="E37" s="12">
        <v>7.0945549011230469</v>
      </c>
      <c r="F37" s="12">
        <v>5.7079052925109863</v>
      </c>
    </row>
    <row r="38" spans="2:6" ht="16" x14ac:dyDescent="0.2">
      <c r="B38" s="11">
        <v>2023</v>
      </c>
      <c r="C38" s="12">
        <v>1.0812686681747437</v>
      </c>
      <c r="D38" s="12">
        <v>1.473957896232605</v>
      </c>
      <c r="E38" s="12">
        <v>7.659705638885498</v>
      </c>
      <c r="F38" s="12">
        <v>5.3662428855895996</v>
      </c>
    </row>
    <row r="39" spans="2:6" ht="16" x14ac:dyDescent="0.2">
      <c r="B39" s="11">
        <v>2024</v>
      </c>
      <c r="C39" s="12">
        <v>1.0823804140090942</v>
      </c>
      <c r="D39" s="12">
        <v>1.4683740139007568</v>
      </c>
      <c r="E39" s="12">
        <v>7.7904238700866699</v>
      </c>
      <c r="F39" s="12">
        <v>5.1795616149902344</v>
      </c>
    </row>
    <row r="40" spans="2:6" ht="16" x14ac:dyDescent="0.2">
      <c r="B40" s="11">
        <v>2025</v>
      </c>
      <c r="C40" s="12">
        <v>1.1786365509033203</v>
      </c>
      <c r="D40" s="12">
        <v>1.4749164581298828</v>
      </c>
      <c r="E40" s="12">
        <v>8.4438705444335938</v>
      </c>
      <c r="F40" s="12">
        <v>5.008265495300293</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A1:BR230"/>
  <sheetViews>
    <sheetView workbookViewId="0">
      <selection activeCell="C233" sqref="C233"/>
    </sheetView>
  </sheetViews>
  <sheetFormatPr baseColWidth="10" defaultColWidth="8.83203125" defaultRowHeight="15" x14ac:dyDescent="0.2"/>
  <cols>
    <col min="3" max="44" width="9" bestFit="1" customWidth="1"/>
    <col min="45" max="45" width="9.6640625" bestFit="1" customWidth="1"/>
    <col min="46" max="60" width="9" bestFit="1" customWidth="1"/>
    <col min="61" max="61" width="9.6640625" bestFit="1" customWidth="1"/>
    <col min="62" max="65" width="9" bestFit="1" customWidth="1"/>
    <col min="66" max="66" width="9.6640625" bestFit="1" customWidth="1"/>
    <col min="67" max="70" width="9" bestFit="1" customWidth="1"/>
  </cols>
  <sheetData>
    <row r="1" spans="1:70" ht="16" x14ac:dyDescent="0.2">
      <c r="A1" s="14" t="s">
        <v>599</v>
      </c>
    </row>
    <row r="3" spans="1:70" ht="16" x14ac:dyDescent="0.2">
      <c r="L3" s="99"/>
      <c r="M3" s="99"/>
      <c r="N3" s="99"/>
      <c r="O3" s="99"/>
      <c r="P3" s="99"/>
      <c r="Q3" s="99"/>
      <c r="R3" s="99"/>
      <c r="S3" s="99"/>
      <c r="T3" s="99"/>
      <c r="U3" s="99"/>
      <c r="V3" s="99"/>
      <c r="W3" s="99"/>
      <c r="X3" s="99"/>
      <c r="Y3" s="99"/>
      <c r="Z3" s="99"/>
      <c r="AA3" s="99"/>
      <c r="AB3" s="99"/>
      <c r="AC3" s="99"/>
      <c r="AD3" s="99"/>
      <c r="AE3" s="99"/>
      <c r="AF3" s="99"/>
      <c r="AG3" s="99"/>
      <c r="AH3" s="99"/>
      <c r="AI3" s="99"/>
      <c r="AJ3" s="99"/>
      <c r="AK3" s="99"/>
      <c r="AL3" s="99"/>
      <c r="AM3" s="99"/>
      <c r="AN3" s="99"/>
      <c r="AO3" s="99"/>
      <c r="AP3" s="99"/>
      <c r="AQ3" s="99"/>
      <c r="AR3" s="99"/>
      <c r="AS3" s="99"/>
      <c r="AT3" s="99"/>
      <c r="AU3" s="99"/>
      <c r="AV3" s="99"/>
      <c r="AW3" s="99"/>
      <c r="AX3" s="99"/>
      <c r="AY3" s="99"/>
      <c r="AZ3" s="99"/>
      <c r="BA3" s="99"/>
      <c r="BB3" s="99"/>
      <c r="BC3" s="99"/>
      <c r="BD3" s="99"/>
      <c r="BE3" s="99"/>
      <c r="BF3" s="99"/>
      <c r="BG3" s="99"/>
      <c r="BH3" s="99"/>
      <c r="BI3" s="99"/>
      <c r="BJ3" s="99"/>
      <c r="BK3" s="99"/>
      <c r="BL3" s="99"/>
      <c r="BM3" s="99"/>
      <c r="BN3" s="99"/>
      <c r="BO3" s="99"/>
      <c r="BP3" s="99"/>
    </row>
    <row r="4" spans="1:70" ht="68" x14ac:dyDescent="0.2">
      <c r="C4" s="10" t="s">
        <v>450</v>
      </c>
      <c r="D4" s="10" t="s">
        <v>226</v>
      </c>
      <c r="E4" s="10" t="s">
        <v>470</v>
      </c>
      <c r="F4" s="10" t="s">
        <v>229</v>
      </c>
      <c r="G4" s="10" t="s">
        <v>471</v>
      </c>
      <c r="H4" s="10" t="s">
        <v>472</v>
      </c>
      <c r="I4" s="10" t="s">
        <v>473</v>
      </c>
      <c r="J4" s="10" t="s">
        <v>230</v>
      </c>
      <c r="K4" s="10" t="s">
        <v>228</v>
      </c>
      <c r="L4" s="99" t="s">
        <v>264</v>
      </c>
      <c r="M4" s="99" t="s">
        <v>251</v>
      </c>
      <c r="N4" s="99" t="s">
        <v>283</v>
      </c>
      <c r="O4" s="99" t="s">
        <v>273</v>
      </c>
      <c r="P4" s="99" t="s">
        <v>276</v>
      </c>
      <c r="Q4" s="99" t="s">
        <v>278</v>
      </c>
      <c r="R4" s="99" t="s">
        <v>259</v>
      </c>
      <c r="S4" s="99" t="s">
        <v>246</v>
      </c>
      <c r="T4" s="99" t="s">
        <v>260</v>
      </c>
      <c r="U4" s="99" t="s">
        <v>474</v>
      </c>
      <c r="V4" s="99" t="s">
        <v>475</v>
      </c>
      <c r="W4" s="99" t="s">
        <v>256</v>
      </c>
      <c r="X4" s="99" t="s">
        <v>269</v>
      </c>
      <c r="Y4" s="99" t="s">
        <v>266</v>
      </c>
      <c r="Z4" s="99" t="s">
        <v>285</v>
      </c>
      <c r="AA4" s="99" t="s">
        <v>476</v>
      </c>
      <c r="AB4" s="99" t="s">
        <v>318</v>
      </c>
      <c r="AC4" s="99" t="s">
        <v>340</v>
      </c>
      <c r="AD4" s="99" t="s">
        <v>314</v>
      </c>
      <c r="AE4" s="99" t="s">
        <v>341</v>
      </c>
      <c r="AF4" s="99" t="s">
        <v>334</v>
      </c>
      <c r="AG4" s="99" t="s">
        <v>477</v>
      </c>
      <c r="AH4" s="99" t="s">
        <v>255</v>
      </c>
      <c r="AI4" s="99" t="s">
        <v>359</v>
      </c>
      <c r="AJ4" s="99" t="s">
        <v>339</v>
      </c>
      <c r="AK4" s="99" t="s">
        <v>365</v>
      </c>
      <c r="AL4" s="99" t="s">
        <v>376</v>
      </c>
      <c r="AM4" s="99" t="s">
        <v>270</v>
      </c>
      <c r="AN4" s="99" t="s">
        <v>303</v>
      </c>
      <c r="AO4" s="99" t="s">
        <v>478</v>
      </c>
      <c r="AP4" s="99" t="s">
        <v>442</v>
      </c>
      <c r="AQ4" s="99" t="s">
        <v>393</v>
      </c>
      <c r="AR4" s="99" t="s">
        <v>418</v>
      </c>
      <c r="AS4" s="99" t="s">
        <v>402</v>
      </c>
      <c r="AT4" s="99" t="s">
        <v>432</v>
      </c>
      <c r="AU4" s="99" t="s">
        <v>437</v>
      </c>
      <c r="AV4" s="99" t="s">
        <v>400</v>
      </c>
      <c r="AW4" s="99" t="s">
        <v>419</v>
      </c>
      <c r="AX4" s="99" t="s">
        <v>448</v>
      </c>
      <c r="AY4" s="99" t="s">
        <v>363</v>
      </c>
      <c r="AZ4" s="99" t="s">
        <v>479</v>
      </c>
      <c r="BA4" s="99" t="s">
        <v>290</v>
      </c>
      <c r="BB4" s="99" t="s">
        <v>480</v>
      </c>
      <c r="BC4" s="99" t="s">
        <v>328</v>
      </c>
      <c r="BD4" s="99" t="s">
        <v>284</v>
      </c>
      <c r="BE4" s="99" t="s">
        <v>279</v>
      </c>
      <c r="BF4" s="99" t="s">
        <v>252</v>
      </c>
      <c r="BG4" s="99" t="s">
        <v>481</v>
      </c>
      <c r="BH4" s="99" t="s">
        <v>383</v>
      </c>
      <c r="BI4" s="99" t="s">
        <v>382</v>
      </c>
      <c r="BJ4" s="99" t="s">
        <v>367</v>
      </c>
      <c r="BK4" s="99" t="s">
        <v>404</v>
      </c>
      <c r="BL4" s="99" t="s">
        <v>399</v>
      </c>
      <c r="BM4" s="99" t="s">
        <v>372</v>
      </c>
      <c r="BN4" s="99" t="s">
        <v>337</v>
      </c>
      <c r="BO4" s="99" t="s">
        <v>358</v>
      </c>
      <c r="BP4" s="99" t="s">
        <v>482</v>
      </c>
    </row>
    <row r="5" spans="1:70" x14ac:dyDescent="0.2">
      <c r="B5">
        <v>1800</v>
      </c>
      <c r="C5" s="13">
        <v>730.17230224609375</v>
      </c>
      <c r="D5" s="13">
        <v>1370.382568359375</v>
      </c>
      <c r="E5" s="13">
        <v>1283.8397216796875</v>
      </c>
      <c r="F5" s="13">
        <v>843.0614013671875</v>
      </c>
      <c r="G5" s="13">
        <v>640.56005859375</v>
      </c>
      <c r="H5" s="13">
        <v>623.8895263671875</v>
      </c>
      <c r="I5" s="13">
        <v>630.09649658203125</v>
      </c>
      <c r="J5" s="13">
        <v>751.1754150390625</v>
      </c>
      <c r="K5" s="13">
        <v>785.3045654296875</v>
      </c>
      <c r="L5" s="13">
        <v>1810.4560546875</v>
      </c>
      <c r="M5" s="13">
        <v>1648.1148681640625</v>
      </c>
      <c r="N5" s="13">
        <v>1585.511474609375</v>
      </c>
      <c r="O5" s="13">
        <v>1256.852783203125</v>
      </c>
      <c r="P5" s="13">
        <v>2975.632568359375</v>
      </c>
      <c r="Q5" s="13">
        <v>2109.245849609375</v>
      </c>
      <c r="R5" s="13">
        <v>2572.52392578125</v>
      </c>
      <c r="S5" s="13">
        <v>1622.77783203125</v>
      </c>
      <c r="T5" s="13">
        <v>1089.989013671875</v>
      </c>
      <c r="U5" s="13">
        <v>1593.210693359375</v>
      </c>
      <c r="V5" s="13">
        <v>646.9168701171875</v>
      </c>
      <c r="W5" s="13">
        <v>1777.0087890625</v>
      </c>
      <c r="X5" s="13">
        <v>1000.8842163085938</v>
      </c>
      <c r="Y5" s="13">
        <v>847.40863037109375</v>
      </c>
      <c r="Z5" s="13">
        <v>761.202392578125</v>
      </c>
      <c r="AA5" s="13">
        <v>311.58282470703125</v>
      </c>
      <c r="AB5" s="13">
        <v>976.75042724609375</v>
      </c>
      <c r="AC5" s="13">
        <v>722.0338134765625</v>
      </c>
      <c r="AD5" s="13">
        <v>600.4349365234375</v>
      </c>
      <c r="AE5" s="13">
        <v>832.6033935546875</v>
      </c>
      <c r="AF5" s="13">
        <v>1052.448486328125</v>
      </c>
      <c r="AG5" s="13">
        <v>544.885986328125</v>
      </c>
      <c r="AH5" s="13">
        <v>448.92147827148438</v>
      </c>
      <c r="AI5" s="13">
        <v>642.2784423828125</v>
      </c>
      <c r="AJ5" s="13">
        <v>804.677490234375</v>
      </c>
      <c r="AK5" s="13">
        <v>502.864501953125</v>
      </c>
      <c r="AL5" s="13">
        <v>505.73486328125</v>
      </c>
      <c r="AM5" s="13">
        <v>1031.30029296875</v>
      </c>
      <c r="AN5" s="13">
        <v>602.97540283203125</v>
      </c>
      <c r="AO5" s="13">
        <v>1014.001708984375</v>
      </c>
      <c r="AP5" s="13">
        <v>905.3494873046875</v>
      </c>
      <c r="AQ5" s="13">
        <v>627.01953125</v>
      </c>
      <c r="AR5" s="13">
        <v>510.57046508789062</v>
      </c>
      <c r="AS5" s="13">
        <v>729.568359375</v>
      </c>
      <c r="AT5" s="13">
        <v>671.0673828125</v>
      </c>
      <c r="AU5" s="13">
        <v>659.45794677734375</v>
      </c>
      <c r="AV5" s="13">
        <v>686.46368408203125</v>
      </c>
      <c r="AW5" s="13">
        <v>391.74334716796875</v>
      </c>
      <c r="AX5" s="13">
        <v>329.47650146484375</v>
      </c>
      <c r="AY5" s="13">
        <v>2048.566650390625</v>
      </c>
      <c r="AZ5" s="13">
        <v>272.4488525390625</v>
      </c>
      <c r="BA5" s="13">
        <v>807.11590576171875</v>
      </c>
      <c r="BB5" s="13">
        <v>655.97576904296875</v>
      </c>
      <c r="BC5" s="13">
        <v>745.72686767578125</v>
      </c>
      <c r="BD5" s="13">
        <v>807.88385009765625</v>
      </c>
      <c r="BE5" s="13">
        <v>564.92596435546875</v>
      </c>
      <c r="BF5" s="13">
        <v>762.373779296875</v>
      </c>
      <c r="BG5" s="13">
        <v>1452.4786376953125</v>
      </c>
      <c r="BH5" s="13">
        <v>1152.0445556640625</v>
      </c>
      <c r="BI5" s="13">
        <v>810.89984130859375</v>
      </c>
      <c r="BJ5" s="13">
        <v>562.22808837890625</v>
      </c>
      <c r="BK5" s="13">
        <v>320.77947998046875</v>
      </c>
      <c r="BL5" s="13">
        <v>908.58953857421875</v>
      </c>
      <c r="BM5" s="13">
        <v>884.0986328125</v>
      </c>
      <c r="BN5" s="13">
        <v>791.96588134765625</v>
      </c>
      <c r="BO5" s="13">
        <v>636.47589111328125</v>
      </c>
      <c r="BP5" s="13">
        <v>1532.638671875</v>
      </c>
      <c r="BQ5" s="13"/>
      <c r="BR5" s="13"/>
    </row>
    <row r="6" spans="1:70" x14ac:dyDescent="0.2">
      <c r="B6">
        <v>1801</v>
      </c>
      <c r="C6" s="13">
        <v>731.596435546875</v>
      </c>
      <c r="D6" s="13">
        <v>1378.374267578125</v>
      </c>
      <c r="E6" s="13">
        <v>1306.8182373046875</v>
      </c>
      <c r="F6" s="13">
        <v>836.792236328125</v>
      </c>
      <c r="G6" s="13">
        <v>643.39337158203125</v>
      </c>
      <c r="H6" s="13">
        <v>623.8641357421875</v>
      </c>
      <c r="I6" s="13">
        <v>630.31988525390625</v>
      </c>
      <c r="J6" s="13">
        <v>749.0648193359375</v>
      </c>
      <c r="K6" s="13">
        <v>784.45782470703125</v>
      </c>
      <c r="L6" s="13">
        <v>1804.640380859375</v>
      </c>
      <c r="M6" s="13">
        <v>1651.184814453125</v>
      </c>
      <c r="N6" s="13">
        <v>1626.64013671875</v>
      </c>
      <c r="O6" s="13">
        <v>1230.187255859375</v>
      </c>
      <c r="P6" s="13">
        <v>3085.0478515625</v>
      </c>
      <c r="Q6" s="13">
        <v>2109.728759765625</v>
      </c>
      <c r="R6" s="13">
        <v>2532.35693359375</v>
      </c>
      <c r="S6" s="13">
        <v>1626.0260009765625</v>
      </c>
      <c r="T6" s="13">
        <v>1079.85986328125</v>
      </c>
      <c r="U6" s="13">
        <v>1601.666015625</v>
      </c>
      <c r="V6" s="13">
        <v>650.0001220703125</v>
      </c>
      <c r="W6" s="13">
        <v>1801.30224609375</v>
      </c>
      <c r="X6" s="13">
        <v>1003.0452880859375</v>
      </c>
      <c r="Y6" s="13">
        <v>847.148681640625</v>
      </c>
      <c r="Z6" s="13">
        <v>760.96893310546875</v>
      </c>
      <c r="AA6" s="13">
        <v>314.48184204101562</v>
      </c>
      <c r="AB6" s="13">
        <v>979.82666015625</v>
      </c>
      <c r="AC6" s="13">
        <v>721.425537109375</v>
      </c>
      <c r="AD6" s="13">
        <v>586.33245849609375</v>
      </c>
      <c r="AE6" s="13">
        <v>829.57147216796875</v>
      </c>
      <c r="AF6" s="13">
        <v>1046.450927734375</v>
      </c>
      <c r="AG6" s="13">
        <v>535.26806640625</v>
      </c>
      <c r="AH6" s="13">
        <v>451.15573120117188</v>
      </c>
      <c r="AI6" s="13">
        <v>644.54095458984375</v>
      </c>
      <c r="AJ6" s="13">
        <v>807.52288818359375</v>
      </c>
      <c r="AK6" s="13">
        <v>504.64266967773438</v>
      </c>
      <c r="AL6" s="13">
        <v>506.86474609375</v>
      </c>
      <c r="AM6" s="13">
        <v>1043.5986328125</v>
      </c>
      <c r="AN6" s="13">
        <v>605.77734375</v>
      </c>
      <c r="AO6" s="13">
        <v>1018.3655395507812</v>
      </c>
      <c r="AP6" s="13">
        <v>905.7381591796875</v>
      </c>
      <c r="AQ6" s="13">
        <v>627.2886962890625</v>
      </c>
      <c r="AR6" s="13">
        <v>510.7896728515625</v>
      </c>
      <c r="AS6" s="13">
        <v>729.96014404296875</v>
      </c>
      <c r="AT6" s="13">
        <v>671.35546875</v>
      </c>
      <c r="AU6" s="13">
        <v>659.7410888671875</v>
      </c>
      <c r="AV6" s="13">
        <v>686.7584228515625</v>
      </c>
      <c r="AW6" s="13">
        <v>391.91152954101562</v>
      </c>
      <c r="AX6" s="13">
        <v>329.61798095703125</v>
      </c>
      <c r="AY6" s="13">
        <v>2042.8272705078125</v>
      </c>
      <c r="AZ6" s="13">
        <v>272.4501953125</v>
      </c>
      <c r="BA6" s="13">
        <v>807.39825439453125</v>
      </c>
      <c r="BB6" s="13">
        <v>656.20526123046875</v>
      </c>
      <c r="BC6" s="13">
        <v>743.43988037109375</v>
      </c>
      <c r="BD6" s="13">
        <v>807.34173583984375</v>
      </c>
      <c r="BE6" s="13">
        <v>564.75274658203125</v>
      </c>
      <c r="BF6" s="13">
        <v>762.13995361328125</v>
      </c>
      <c r="BG6" s="13">
        <v>1448.3756103515625</v>
      </c>
      <c r="BH6" s="13">
        <v>1148.265869140625</v>
      </c>
      <c r="BI6" s="13">
        <v>810.3592529296875</v>
      </c>
      <c r="BJ6" s="13">
        <v>562.0408935546875</v>
      </c>
      <c r="BK6" s="13">
        <v>320.61920166015625</v>
      </c>
      <c r="BL6" s="13">
        <v>905.60943603515625</v>
      </c>
      <c r="BM6" s="13">
        <v>884.5631103515625</v>
      </c>
      <c r="BN6" s="13">
        <v>791.57012939453125</v>
      </c>
      <c r="BO6" s="13">
        <v>636.26397705078125</v>
      </c>
      <c r="BP6" s="13">
        <v>1530.1533203125</v>
      </c>
      <c r="BQ6" s="13"/>
      <c r="BR6" s="13"/>
    </row>
    <row r="7" spans="1:70" x14ac:dyDescent="0.2">
      <c r="B7">
        <v>1802</v>
      </c>
      <c r="C7" s="13">
        <v>736.70166015625</v>
      </c>
      <c r="D7" s="13">
        <v>1404.8834228515625</v>
      </c>
      <c r="E7" s="13">
        <v>1323.4169921875</v>
      </c>
      <c r="F7" s="13">
        <v>823.62628173828125</v>
      </c>
      <c r="G7" s="13">
        <v>646.03802490234375</v>
      </c>
      <c r="H7" s="13">
        <v>623.85198974609375</v>
      </c>
      <c r="I7" s="13">
        <v>630.37335205078125</v>
      </c>
      <c r="J7" s="13">
        <v>747.01953125</v>
      </c>
      <c r="K7" s="13">
        <v>780.72265625</v>
      </c>
      <c r="L7" s="13">
        <v>1820.78955078125</v>
      </c>
      <c r="M7" s="13">
        <v>1654.03076171875</v>
      </c>
      <c r="N7" s="13">
        <v>1609.7427978515625</v>
      </c>
      <c r="O7" s="13">
        <v>1256.65673828125</v>
      </c>
      <c r="P7" s="13">
        <v>3225.413818359375</v>
      </c>
      <c r="Q7" s="13">
        <v>2106.362060546875</v>
      </c>
      <c r="R7" s="13">
        <v>2668.27734375</v>
      </c>
      <c r="S7" s="13">
        <v>1628.737060546875</v>
      </c>
      <c r="T7" s="13">
        <v>1130.8360595703125</v>
      </c>
      <c r="U7" s="13">
        <v>1628.77490234375</v>
      </c>
      <c r="V7" s="13">
        <v>660.7703857421875</v>
      </c>
      <c r="W7" s="13">
        <v>1815.416259765625</v>
      </c>
      <c r="X7" s="13">
        <v>1005.2601928710938</v>
      </c>
      <c r="Y7" s="13">
        <v>846.93035888671875</v>
      </c>
      <c r="Z7" s="13">
        <v>760.77276611328125</v>
      </c>
      <c r="AA7" s="13">
        <v>317.27035522460938</v>
      </c>
      <c r="AB7" s="13">
        <v>982.736328125</v>
      </c>
      <c r="AC7" s="13">
        <v>720.4932861328125</v>
      </c>
      <c r="AD7" s="13">
        <v>582.4090576171875</v>
      </c>
      <c r="AE7" s="13">
        <v>841.22906494140625</v>
      </c>
      <c r="AF7" s="13">
        <v>1026.572265625</v>
      </c>
      <c r="AG7" s="13">
        <v>518.959716796875</v>
      </c>
      <c r="AH7" s="13">
        <v>453.42300415039062</v>
      </c>
      <c r="AI7" s="13">
        <v>646.69659423828125</v>
      </c>
      <c r="AJ7" s="13">
        <v>810.01739501953125</v>
      </c>
      <c r="AK7" s="13">
        <v>506.20156860351562</v>
      </c>
      <c r="AL7" s="13">
        <v>507.90695190429688</v>
      </c>
      <c r="AM7" s="13">
        <v>1056.094970703125</v>
      </c>
      <c r="AN7" s="13">
        <v>608.4300537109375</v>
      </c>
      <c r="AO7" s="13">
        <v>1022.4351196289062</v>
      </c>
      <c r="AP7" s="13">
        <v>906.1708984375</v>
      </c>
      <c r="AQ7" s="13">
        <v>627.58837890625</v>
      </c>
      <c r="AR7" s="13">
        <v>511.03372192382812</v>
      </c>
      <c r="AS7" s="13">
        <v>730.1422119140625</v>
      </c>
      <c r="AT7" s="13">
        <v>671.67626953125</v>
      </c>
      <c r="AU7" s="13">
        <v>660.0562744140625</v>
      </c>
      <c r="AV7" s="13">
        <v>687.08660888671875</v>
      </c>
      <c r="AW7" s="13">
        <v>392.09881591796875</v>
      </c>
      <c r="AX7" s="13">
        <v>329.77545166015625</v>
      </c>
      <c r="AY7" s="13">
        <v>2036.7423095703125</v>
      </c>
      <c r="AZ7" s="13">
        <v>272.46481323242188</v>
      </c>
      <c r="BA7" s="13">
        <v>807.46307373046875</v>
      </c>
      <c r="BB7" s="13">
        <v>656.2579345703125</v>
      </c>
      <c r="BC7" s="13">
        <v>741.196044921875</v>
      </c>
      <c r="BD7" s="13">
        <v>807.13360595703125</v>
      </c>
      <c r="BE7" s="13">
        <v>564.607177734375</v>
      </c>
      <c r="BF7" s="13">
        <v>761.94354248046875</v>
      </c>
      <c r="BG7" s="13">
        <v>1444.0941162109375</v>
      </c>
      <c r="BH7" s="13">
        <v>1144.1943359375</v>
      </c>
      <c r="BI7" s="13">
        <v>805.5244140625</v>
      </c>
      <c r="BJ7" s="13">
        <v>561.75396728515625</v>
      </c>
      <c r="BK7" s="13">
        <v>320.37350463867188</v>
      </c>
      <c r="BL7" s="13">
        <v>902.39837646484375</v>
      </c>
      <c r="BM7" s="13">
        <v>884.52862548828125</v>
      </c>
      <c r="BN7" s="13">
        <v>790.963623046875</v>
      </c>
      <c r="BO7" s="13">
        <v>635.93914794921875</v>
      </c>
      <c r="BP7" s="13">
        <v>1522.767578125</v>
      </c>
      <c r="BQ7" s="13"/>
      <c r="BR7" s="13"/>
    </row>
    <row r="8" spans="1:70" x14ac:dyDescent="0.2">
      <c r="B8">
        <v>1803</v>
      </c>
      <c r="C8" s="13">
        <v>737.75103759765625</v>
      </c>
      <c r="D8" s="13">
        <v>1412.5323486328125</v>
      </c>
      <c r="E8" s="13">
        <v>1348.8082275390625</v>
      </c>
      <c r="F8" s="13">
        <v>816.69769287109375</v>
      </c>
      <c r="G8" s="13">
        <v>648.82763671875</v>
      </c>
      <c r="H8" s="13">
        <v>623.87579345703125</v>
      </c>
      <c r="I8" s="13">
        <v>630.52874755859375</v>
      </c>
      <c r="J8" s="13">
        <v>745.0206298828125</v>
      </c>
      <c r="K8" s="13">
        <v>777.163818359375</v>
      </c>
      <c r="L8" s="13">
        <v>1827.60107421875</v>
      </c>
      <c r="M8" s="13">
        <v>1656.979248046875</v>
      </c>
      <c r="N8" s="13">
        <v>1523.35595703125</v>
      </c>
      <c r="O8" s="13">
        <v>1289.6419677734375</v>
      </c>
      <c r="P8" s="13">
        <v>3262.234130859375</v>
      </c>
      <c r="Q8" s="13">
        <v>2112.05078125</v>
      </c>
      <c r="R8" s="13">
        <v>2612.195556640625</v>
      </c>
      <c r="S8" s="13">
        <v>1631.683837890625</v>
      </c>
      <c r="T8" s="13">
        <v>1119.7119140625</v>
      </c>
      <c r="U8" s="13">
        <v>1636.0374755859375</v>
      </c>
      <c r="V8" s="13">
        <v>663.4691162109375</v>
      </c>
      <c r="W8" s="13">
        <v>1842.967529296875</v>
      </c>
      <c r="X8" s="13">
        <v>1007.5341796875</v>
      </c>
      <c r="Y8" s="13">
        <v>846.757568359375</v>
      </c>
      <c r="Z8" s="13">
        <v>760.6175537109375</v>
      </c>
      <c r="AA8" s="13">
        <v>320.04220581054688</v>
      </c>
      <c r="AB8" s="13">
        <v>985.76043701171875</v>
      </c>
      <c r="AC8" s="13">
        <v>719.75567626953125</v>
      </c>
      <c r="AD8" s="13">
        <v>574.099853515625</v>
      </c>
      <c r="AE8" s="13">
        <v>846.037841796875</v>
      </c>
      <c r="AF8" s="13">
        <v>1018.0983276367188</v>
      </c>
      <c r="AG8" s="13">
        <v>507.96627807617188</v>
      </c>
      <c r="AH8" s="13">
        <v>455.72589111328125</v>
      </c>
      <c r="AI8" s="13">
        <v>648.92840576171875</v>
      </c>
      <c r="AJ8" s="13">
        <v>812.73565673828125</v>
      </c>
      <c r="AK8" s="13">
        <v>507.9002685546875</v>
      </c>
      <c r="AL8" s="13">
        <v>509.00540161132812</v>
      </c>
      <c r="AM8" s="13">
        <v>1068.7977294921875</v>
      </c>
      <c r="AN8" s="13">
        <v>611.1917724609375</v>
      </c>
      <c r="AO8" s="13">
        <v>1026.7127685546875</v>
      </c>
      <c r="AP8" s="13">
        <v>906.65203857421875</v>
      </c>
      <c r="AQ8" s="13">
        <v>627.92169189453125</v>
      </c>
      <c r="AR8" s="13">
        <v>511.3050537109375</v>
      </c>
      <c r="AS8" s="13">
        <v>730.39251708984375</v>
      </c>
      <c r="AT8" s="13">
        <v>672.03289794921875</v>
      </c>
      <c r="AU8" s="13">
        <v>660.40673828125</v>
      </c>
      <c r="AV8" s="13">
        <v>687.45135498046875</v>
      </c>
      <c r="AW8" s="13">
        <v>392.30697631835938</v>
      </c>
      <c r="AX8" s="13">
        <v>329.9505615234375</v>
      </c>
      <c r="AY8" s="13">
        <v>2030.891357421875</v>
      </c>
      <c r="AZ8" s="13">
        <v>272.49392700195312</v>
      </c>
      <c r="BA8" s="13">
        <v>807.65814208984375</v>
      </c>
      <c r="BB8" s="13">
        <v>656.41644287109375</v>
      </c>
      <c r="BC8" s="13">
        <v>738.998779296875</v>
      </c>
      <c r="BD8" s="13">
        <v>806.96893310546875</v>
      </c>
      <c r="BE8" s="13">
        <v>564.49200439453125</v>
      </c>
      <c r="BF8" s="13">
        <v>761.7880859375</v>
      </c>
      <c r="BG8" s="13">
        <v>1439.9774169921875</v>
      </c>
      <c r="BH8" s="13">
        <v>1140.3193359375</v>
      </c>
      <c r="BI8" s="13">
        <v>800.8887939453125</v>
      </c>
      <c r="BJ8" s="13">
        <v>561.5269775390625</v>
      </c>
      <c r="BK8" s="13">
        <v>320.17910766601562</v>
      </c>
      <c r="BL8" s="13">
        <v>899.3421630859375</v>
      </c>
      <c r="BM8" s="13">
        <v>884.72662353515625</v>
      </c>
      <c r="BN8" s="13">
        <v>790.48370361328125</v>
      </c>
      <c r="BO8" s="13">
        <v>635.68218994140625</v>
      </c>
      <c r="BP8" s="13">
        <v>1515.66650390625</v>
      </c>
      <c r="BQ8" s="13"/>
      <c r="BR8" s="13"/>
    </row>
    <row r="9" spans="1:70" x14ac:dyDescent="0.2">
      <c r="B9">
        <v>1804</v>
      </c>
      <c r="C9" s="13">
        <v>742.59405517578125</v>
      </c>
      <c r="D9" s="13">
        <v>1438.7711181640625</v>
      </c>
      <c r="E9" s="13">
        <v>1361.287841796875</v>
      </c>
      <c r="F9" s="13">
        <v>808.1785888671875</v>
      </c>
      <c r="G9" s="13">
        <v>652.0911865234375</v>
      </c>
      <c r="H9" s="13">
        <v>620.66192626953125</v>
      </c>
      <c r="I9" s="13">
        <v>631.785400390625</v>
      </c>
      <c r="J9" s="13">
        <v>743.18792724609375</v>
      </c>
      <c r="K9" s="13">
        <v>774.2086181640625</v>
      </c>
      <c r="L9" s="13">
        <v>1833.38427734375</v>
      </c>
      <c r="M9" s="13">
        <v>1659.911376953125</v>
      </c>
      <c r="N9" s="13">
        <v>1567.8712158203125</v>
      </c>
      <c r="O9" s="13">
        <v>1334.0689697265625</v>
      </c>
      <c r="P9" s="13">
        <v>3326.5439453125</v>
      </c>
      <c r="Q9" s="13">
        <v>2117.70947265625</v>
      </c>
      <c r="R9" s="13">
        <v>2734.896728515625</v>
      </c>
      <c r="S9" s="13">
        <v>1634.5845947265625</v>
      </c>
      <c r="T9" s="13">
        <v>1047.1002197265625</v>
      </c>
      <c r="U9" s="13">
        <v>1666.180908203125</v>
      </c>
      <c r="V9" s="13">
        <v>675.594482421875</v>
      </c>
      <c r="W9" s="13">
        <v>1850.323974609375</v>
      </c>
      <c r="X9" s="13">
        <v>1010.0267333984375</v>
      </c>
      <c r="Y9" s="13">
        <v>846.76373291015625</v>
      </c>
      <c r="Z9" s="13">
        <v>760.62310791015625</v>
      </c>
      <c r="AA9" s="13">
        <v>322.87686157226562</v>
      </c>
      <c r="AB9" s="13">
        <v>989.21234130859375</v>
      </c>
      <c r="AC9" s="13">
        <v>719.781982421875</v>
      </c>
      <c r="AD9" s="13">
        <v>570.91815185546875</v>
      </c>
      <c r="AE9" s="13">
        <v>856.7982177734375</v>
      </c>
      <c r="AF9" s="13">
        <v>998.781982421875</v>
      </c>
      <c r="AG9" s="13">
        <v>502.88742065429688</v>
      </c>
      <c r="AH9" s="13">
        <v>458.1363525390625</v>
      </c>
      <c r="AI9" s="13">
        <v>651.440673828125</v>
      </c>
      <c r="AJ9" s="13">
        <v>816.3197021484375</v>
      </c>
      <c r="AK9" s="13">
        <v>510.14004516601562</v>
      </c>
      <c r="AL9" s="13">
        <v>510.31991577148438</v>
      </c>
      <c r="AM9" s="13">
        <v>1081.879638671875</v>
      </c>
      <c r="AN9" s="13">
        <v>614.352294921875</v>
      </c>
      <c r="AO9" s="13">
        <v>1031.7724609375</v>
      </c>
      <c r="AP9" s="13">
        <v>907.3232421875</v>
      </c>
      <c r="AQ9" s="13">
        <v>628.386474609375</v>
      </c>
      <c r="AR9" s="13">
        <v>511.68356323242188</v>
      </c>
      <c r="AS9" s="13">
        <v>731.03424072265625</v>
      </c>
      <c r="AT9" s="13">
        <v>672.5303955078125</v>
      </c>
      <c r="AU9" s="13">
        <v>660.89569091796875</v>
      </c>
      <c r="AV9" s="13">
        <v>687.96026611328125</v>
      </c>
      <c r="AW9" s="13">
        <v>392.59738159179688</v>
      </c>
      <c r="AX9" s="13">
        <v>330.19479370117188</v>
      </c>
      <c r="AY9" s="13">
        <v>1956.3848876953125</v>
      </c>
      <c r="AZ9" s="13">
        <v>271.17242431640625</v>
      </c>
      <c r="BA9" s="13">
        <v>809.26422119140625</v>
      </c>
      <c r="BB9" s="13">
        <v>657.7218017578125</v>
      </c>
      <c r="BC9" s="13">
        <v>736.9637451171875</v>
      </c>
      <c r="BD9" s="13">
        <v>806.974853515625</v>
      </c>
      <c r="BE9" s="13">
        <v>564.49609375</v>
      </c>
      <c r="BF9" s="13">
        <v>761.79364013671875</v>
      </c>
      <c r="BG9" s="13">
        <v>1436.47705078125</v>
      </c>
      <c r="BH9" s="13">
        <v>1137.172119140625</v>
      </c>
      <c r="BI9" s="13">
        <v>796.94830322265625</v>
      </c>
      <c r="BJ9" s="13">
        <v>561.5350341796875</v>
      </c>
      <c r="BK9" s="13">
        <v>320.18606567382812</v>
      </c>
      <c r="BL9" s="13">
        <v>896.8599853515625</v>
      </c>
      <c r="BM9" s="13">
        <v>884.87567138671875</v>
      </c>
      <c r="BN9" s="13">
        <v>790.5008544921875</v>
      </c>
      <c r="BO9" s="13">
        <v>635.69134521484375</v>
      </c>
      <c r="BP9" s="13">
        <v>1509.55712890625</v>
      </c>
      <c r="BQ9" s="13"/>
      <c r="BR9" s="13"/>
    </row>
    <row r="10" spans="1:70" x14ac:dyDescent="0.2">
      <c r="B10">
        <v>1805</v>
      </c>
      <c r="C10" s="13">
        <v>746.4068603515625</v>
      </c>
      <c r="D10" s="13">
        <v>1463.416015625</v>
      </c>
      <c r="E10" s="13">
        <v>1382.480224609375</v>
      </c>
      <c r="F10" s="13">
        <v>797.65380859375</v>
      </c>
      <c r="G10" s="13">
        <v>654.689208984375</v>
      </c>
      <c r="H10" s="13">
        <v>615.8414306640625</v>
      </c>
      <c r="I10" s="13">
        <v>631.948974609375</v>
      </c>
      <c r="J10" s="13">
        <v>741.15423583984375</v>
      </c>
      <c r="K10" s="13">
        <v>770.430908203125</v>
      </c>
      <c r="L10" s="13">
        <v>1748.9903564453125</v>
      </c>
      <c r="M10" s="13">
        <v>1662.7523193359375</v>
      </c>
      <c r="N10" s="13">
        <v>1721.4376220703125</v>
      </c>
      <c r="O10" s="13">
        <v>1417.231689453125</v>
      </c>
      <c r="P10" s="13">
        <v>3350.34814453125</v>
      </c>
      <c r="Q10" s="13">
        <v>2118.652099609375</v>
      </c>
      <c r="R10" s="13">
        <v>2573.370361328125</v>
      </c>
      <c r="S10" s="13">
        <v>1637.2623291015625</v>
      </c>
      <c r="T10" s="13">
        <v>1113.2093505859375</v>
      </c>
      <c r="U10" s="13">
        <v>1695.4710693359375</v>
      </c>
      <c r="V10" s="13">
        <v>687.246337890625</v>
      </c>
      <c r="W10" s="13">
        <v>1870.959716796875</v>
      </c>
      <c r="X10" s="13">
        <v>1012.21435546875</v>
      </c>
      <c r="Y10" s="13">
        <v>846.50982666015625</v>
      </c>
      <c r="Z10" s="13">
        <v>760.39501953125</v>
      </c>
      <c r="AA10" s="13">
        <v>325.541015625</v>
      </c>
      <c r="AB10" s="13">
        <v>992.06585693359375</v>
      </c>
      <c r="AC10" s="13">
        <v>718.69793701171875</v>
      </c>
      <c r="AD10" s="13">
        <v>567.7100830078125</v>
      </c>
      <c r="AE10" s="13">
        <v>869.65576171875</v>
      </c>
      <c r="AF10" s="13">
        <v>984.49749755859375</v>
      </c>
      <c r="AG10" s="13">
        <v>487.15640258789062</v>
      </c>
      <c r="AH10" s="13">
        <v>460.41949462890625</v>
      </c>
      <c r="AI10" s="13">
        <v>653.564697265625</v>
      </c>
      <c r="AJ10" s="13">
        <v>818.6678466796875</v>
      </c>
      <c r="AK10" s="13">
        <v>511.60745239257812</v>
      </c>
      <c r="AL10" s="13">
        <v>511.32638549804688</v>
      </c>
      <c r="AM10" s="13">
        <v>1094.78857421875</v>
      </c>
      <c r="AN10" s="13">
        <v>616.96466064453125</v>
      </c>
      <c r="AO10" s="13">
        <v>1035.7515869140625</v>
      </c>
      <c r="AP10" s="13">
        <v>907.71881103515625</v>
      </c>
      <c r="AQ10" s="13">
        <v>628.6605224609375</v>
      </c>
      <c r="AR10" s="13">
        <v>511.90664672851562</v>
      </c>
      <c r="AS10" s="13">
        <v>731.2606201171875</v>
      </c>
      <c r="AT10" s="13">
        <v>672.8236083984375</v>
      </c>
      <c r="AU10" s="13">
        <v>661.18377685546875</v>
      </c>
      <c r="AV10" s="13">
        <v>688.26025390625</v>
      </c>
      <c r="AW10" s="13">
        <v>392.76858520507812</v>
      </c>
      <c r="AX10" s="13">
        <v>330.33877563476562</v>
      </c>
      <c r="AY10" s="13">
        <v>1852.2454833984375</v>
      </c>
      <c r="AZ10" s="13">
        <v>269.18569946289062</v>
      </c>
      <c r="BA10" s="13">
        <v>809.469970703125</v>
      </c>
      <c r="BB10" s="13">
        <v>657.8890380859375</v>
      </c>
      <c r="BC10" s="13">
        <v>734.70855712890625</v>
      </c>
      <c r="BD10" s="13">
        <v>807.0269775390625</v>
      </c>
      <c r="BE10" s="13">
        <v>564.3267822265625</v>
      </c>
      <c r="BF10" s="13">
        <v>761.565185546875</v>
      </c>
      <c r="BG10" s="13">
        <v>1432.1497802734375</v>
      </c>
      <c r="BH10" s="13">
        <v>1132.9970703125</v>
      </c>
      <c r="BI10" s="13">
        <v>792.0596923828125</v>
      </c>
      <c r="BJ10" s="13">
        <v>561.201416015625</v>
      </c>
      <c r="BK10" s="13">
        <v>319.90036010742188</v>
      </c>
      <c r="BL10" s="13">
        <v>893.5672607421875</v>
      </c>
      <c r="BM10" s="13">
        <v>884.75555419921875</v>
      </c>
      <c r="BN10" s="13">
        <v>789.79547119140625</v>
      </c>
      <c r="BO10" s="13">
        <v>635.31365966796875</v>
      </c>
      <c r="BP10" s="13">
        <v>1502.1068115234375</v>
      </c>
      <c r="BQ10" s="13"/>
      <c r="BR10" s="13"/>
    </row>
    <row r="11" spans="1:70" x14ac:dyDescent="0.2">
      <c r="B11">
        <v>1806</v>
      </c>
      <c r="C11" s="13">
        <v>750.90289306640625</v>
      </c>
      <c r="D11" s="13">
        <v>1486.60400390625</v>
      </c>
      <c r="E11" s="13">
        <v>1394.624267578125</v>
      </c>
      <c r="F11" s="13">
        <v>790.07574462890625</v>
      </c>
      <c r="G11" s="13">
        <v>657.974365234375</v>
      </c>
      <c r="H11" s="13">
        <v>616.234619140625</v>
      </c>
      <c r="I11" s="13">
        <v>632.49151611328125</v>
      </c>
      <c r="J11" s="13">
        <v>739.3468017578125</v>
      </c>
      <c r="K11" s="13">
        <v>767.61016845703125</v>
      </c>
      <c r="L11" s="13">
        <v>1762.4617919921875</v>
      </c>
      <c r="M11" s="13">
        <v>1665.6842041015625</v>
      </c>
      <c r="N11" s="13">
        <v>1811.837158203125</v>
      </c>
      <c r="O11" s="13">
        <v>1490.439453125</v>
      </c>
      <c r="P11" s="13">
        <v>3309.56982421875</v>
      </c>
      <c r="Q11" s="13">
        <v>2118.03125</v>
      </c>
      <c r="R11" s="13">
        <v>2592.059814453125</v>
      </c>
      <c r="S11" s="13">
        <v>1640.1484375</v>
      </c>
      <c r="T11" s="13">
        <v>1125.9764404296875</v>
      </c>
      <c r="U11" s="13">
        <v>1723.5828857421875</v>
      </c>
      <c r="V11" s="13">
        <v>698.55181884765625</v>
      </c>
      <c r="W11" s="13">
        <v>1877.655029296875</v>
      </c>
      <c r="X11" s="13">
        <v>1014.7105102539062</v>
      </c>
      <c r="Y11" s="13">
        <v>846.50933837890625</v>
      </c>
      <c r="Z11" s="13">
        <v>760.39459228515625</v>
      </c>
      <c r="AA11" s="13">
        <v>328.203857421875</v>
      </c>
      <c r="AB11" s="13">
        <v>995.5242919921875</v>
      </c>
      <c r="AC11" s="13">
        <v>718.6959228515625</v>
      </c>
      <c r="AD11" s="13">
        <v>561.59161376953125</v>
      </c>
      <c r="AE11" s="13">
        <v>875.863037109375</v>
      </c>
      <c r="AF11" s="13">
        <v>967.59173583984375</v>
      </c>
      <c r="AG11" s="13">
        <v>482.32470703125</v>
      </c>
      <c r="AH11" s="13">
        <v>462.85113525390625</v>
      </c>
      <c r="AI11" s="13">
        <v>656.08465576171875</v>
      </c>
      <c r="AJ11" s="13">
        <v>822.24591064453125</v>
      </c>
      <c r="AK11" s="13">
        <v>513.843505859375</v>
      </c>
      <c r="AL11" s="13">
        <v>512.63885498046875</v>
      </c>
      <c r="AM11" s="13">
        <v>1108.179931640625</v>
      </c>
      <c r="AN11" s="13">
        <v>620.1405029296875</v>
      </c>
      <c r="AO11" s="13">
        <v>1040.83447265625</v>
      </c>
      <c r="AP11" s="13">
        <v>908.38372802734375</v>
      </c>
      <c r="AQ11" s="13">
        <v>629.1209716796875</v>
      </c>
      <c r="AR11" s="13">
        <v>512.2816162109375</v>
      </c>
      <c r="AS11" s="13">
        <v>731.86553955078125</v>
      </c>
      <c r="AT11" s="13">
        <v>673.31646728515625</v>
      </c>
      <c r="AU11" s="13">
        <v>661.6680908203125</v>
      </c>
      <c r="AV11" s="13">
        <v>688.764404296875</v>
      </c>
      <c r="AW11" s="13">
        <v>393.05630493164062</v>
      </c>
      <c r="AX11" s="13">
        <v>330.58074951171875</v>
      </c>
      <c r="AY11" s="13">
        <v>1852.2435302734375</v>
      </c>
      <c r="AZ11" s="13">
        <v>269.36495971679688</v>
      </c>
      <c r="BA11" s="13">
        <v>810.161376953125</v>
      </c>
      <c r="BB11" s="13">
        <v>658.450927734375</v>
      </c>
      <c r="BC11" s="13">
        <v>732.67962646484375</v>
      </c>
      <c r="BD11" s="13">
        <v>807.0264892578125</v>
      </c>
      <c r="BE11" s="13">
        <v>564.32647705078125</v>
      </c>
      <c r="BF11" s="13">
        <v>761.56475830078125</v>
      </c>
      <c r="BG11" s="13">
        <v>1428.66796875</v>
      </c>
      <c r="BH11" s="13">
        <v>1129.843505859375</v>
      </c>
      <c r="BI11" s="13">
        <v>788.13800048828125</v>
      </c>
      <c r="BJ11" s="13">
        <v>561.2008056640625</v>
      </c>
      <c r="BK11" s="13">
        <v>319.89984130859375</v>
      </c>
      <c r="BL11" s="13">
        <v>891.08013916015625</v>
      </c>
      <c r="BM11" s="13">
        <v>892.41424560546875</v>
      </c>
      <c r="BN11" s="13">
        <v>789.79425048828125</v>
      </c>
      <c r="BO11" s="13">
        <v>635.31292724609375</v>
      </c>
      <c r="BP11" s="13">
        <v>1496.042724609375</v>
      </c>
      <c r="BQ11" s="13"/>
      <c r="BR11" s="13"/>
    </row>
    <row r="12" spans="1:70" x14ac:dyDescent="0.2">
      <c r="B12">
        <v>1807</v>
      </c>
      <c r="C12" s="13">
        <v>752.69757080078125</v>
      </c>
      <c r="D12" s="13">
        <v>1495.4686279296875</v>
      </c>
      <c r="E12" s="13">
        <v>1411.41943359375</v>
      </c>
      <c r="F12" s="13">
        <v>778.20147705078125</v>
      </c>
      <c r="G12" s="13">
        <v>661.2506103515625</v>
      </c>
      <c r="H12" s="13">
        <v>624.2802734375</v>
      </c>
      <c r="I12" s="13">
        <v>633.02435302734375</v>
      </c>
      <c r="J12" s="13">
        <v>737.536376953125</v>
      </c>
      <c r="K12" s="13">
        <v>764.67926025390625</v>
      </c>
      <c r="L12" s="13">
        <v>1764.63232421875</v>
      </c>
      <c r="M12" s="13">
        <v>1668.6121826171875</v>
      </c>
      <c r="N12" s="13">
        <v>1835.090576171875</v>
      </c>
      <c r="O12" s="13">
        <v>1573.004150390625</v>
      </c>
      <c r="P12" s="13">
        <v>3227.81396484375</v>
      </c>
      <c r="Q12" s="13">
        <v>2119.1572265625</v>
      </c>
      <c r="R12" s="13">
        <v>2376.882080078125</v>
      </c>
      <c r="S12" s="13">
        <v>1643.0181884765625</v>
      </c>
      <c r="T12" s="13">
        <v>1078.8800048828125</v>
      </c>
      <c r="U12" s="13">
        <v>1736.059814453125</v>
      </c>
      <c r="V12" s="13">
        <v>703.5233154296875</v>
      </c>
      <c r="W12" s="13">
        <v>1891.31201171875</v>
      </c>
      <c r="X12" s="13">
        <v>1017.2044677734375</v>
      </c>
      <c r="Y12" s="13">
        <v>846.501953125</v>
      </c>
      <c r="Z12" s="13">
        <v>760.38787841796875</v>
      </c>
      <c r="AA12" s="13">
        <v>330.67593383789062</v>
      </c>
      <c r="AB12" s="13">
        <v>998.97821044921875</v>
      </c>
      <c r="AC12" s="13">
        <v>718.66424560546875</v>
      </c>
      <c r="AD12" s="13">
        <v>550.87957763671875</v>
      </c>
      <c r="AE12" s="13">
        <v>874.64544677734375</v>
      </c>
      <c r="AF12" s="13">
        <v>943.42559814453125</v>
      </c>
      <c r="AG12" s="13">
        <v>474.623779296875</v>
      </c>
      <c r="AH12" s="13">
        <v>465.29183959960938</v>
      </c>
      <c r="AI12" s="13">
        <v>658.6036376953125</v>
      </c>
      <c r="AJ12" s="13">
        <v>825.805908203125</v>
      </c>
      <c r="AK12" s="13">
        <v>516.06817626953125</v>
      </c>
      <c r="AL12" s="13">
        <v>513.9464111328125</v>
      </c>
      <c r="AM12" s="13">
        <v>1121.725830078125</v>
      </c>
      <c r="AN12" s="13">
        <v>623.3173828125</v>
      </c>
      <c r="AO12" s="13">
        <v>1045.918212890625</v>
      </c>
      <c r="AP12" s="13">
        <v>909.04168701171875</v>
      </c>
      <c r="AQ12" s="13">
        <v>629.57666015625</v>
      </c>
      <c r="AR12" s="13">
        <v>512.6527099609375</v>
      </c>
      <c r="AS12" s="13">
        <v>732.4888916015625</v>
      </c>
      <c r="AT12" s="13">
        <v>673.80413818359375</v>
      </c>
      <c r="AU12" s="13">
        <v>662.14739990234375</v>
      </c>
      <c r="AV12" s="13">
        <v>689.2633056640625</v>
      </c>
      <c r="AW12" s="13">
        <v>393.34100341796875</v>
      </c>
      <c r="AX12" s="13">
        <v>330.82022094726562</v>
      </c>
      <c r="AY12" s="13">
        <v>2008.6798095703125</v>
      </c>
      <c r="AZ12" s="13">
        <v>272.72817993164062</v>
      </c>
      <c r="BA12" s="13">
        <v>810.84002685546875</v>
      </c>
      <c r="BB12" s="13">
        <v>659.00250244140625</v>
      </c>
      <c r="BC12" s="13">
        <v>730.65020751953125</v>
      </c>
      <c r="BD12" s="13">
        <v>807.01947021484375</v>
      </c>
      <c r="BE12" s="13">
        <v>564.321533203125</v>
      </c>
      <c r="BF12" s="13">
        <v>761.55810546875</v>
      </c>
      <c r="BG12" s="13">
        <v>1425.1583251953125</v>
      </c>
      <c r="BH12" s="13">
        <v>1126.67138671875</v>
      </c>
      <c r="BI12" s="13">
        <v>784.2100830078125</v>
      </c>
      <c r="BJ12" s="13">
        <v>561.1910400390625</v>
      </c>
      <c r="BK12" s="13">
        <v>319.89151000976562</v>
      </c>
      <c r="BL12" s="13">
        <v>888.57830810546875</v>
      </c>
      <c r="BM12" s="13">
        <v>892.3155517578125</v>
      </c>
      <c r="BN12" s="13">
        <v>789.7735595703125</v>
      </c>
      <c r="BO12" s="13">
        <v>635.3018798828125</v>
      </c>
      <c r="BP12" s="13">
        <v>1489.97607421875</v>
      </c>
      <c r="BQ12" s="13"/>
      <c r="BR12" s="13"/>
    </row>
    <row r="13" spans="1:70" x14ac:dyDescent="0.2">
      <c r="B13">
        <v>1808</v>
      </c>
      <c r="C13" s="13">
        <v>753.078369140625</v>
      </c>
      <c r="D13" s="13">
        <v>1501.9033203125</v>
      </c>
      <c r="E13" s="13">
        <v>1429.09765625</v>
      </c>
      <c r="F13" s="13">
        <v>766.4805908203125</v>
      </c>
      <c r="G13" s="13">
        <v>664.57244873046875</v>
      </c>
      <c r="H13" s="13">
        <v>612.42633056640625</v>
      </c>
      <c r="I13" s="13">
        <v>633.56427001953125</v>
      </c>
      <c r="J13" s="13">
        <v>735.73974609375</v>
      </c>
      <c r="K13" s="13">
        <v>761.78057861328125</v>
      </c>
      <c r="L13" s="13">
        <v>1821.82177734375</v>
      </c>
      <c r="M13" s="13">
        <v>1671.551025390625</v>
      </c>
      <c r="N13" s="13">
        <v>1860.2449951171875</v>
      </c>
      <c r="O13" s="13">
        <v>1579.059326171875</v>
      </c>
      <c r="P13" s="13">
        <v>3216.160400390625</v>
      </c>
      <c r="Q13" s="13">
        <v>2114.960205078125</v>
      </c>
      <c r="R13" s="13">
        <v>2228.165771484375</v>
      </c>
      <c r="S13" s="13">
        <v>1645.9063720703125</v>
      </c>
      <c r="T13" s="13">
        <v>1021.419189453125</v>
      </c>
      <c r="U13" s="13">
        <v>1744.018310546875</v>
      </c>
      <c r="V13" s="13">
        <v>706.6612548828125</v>
      </c>
      <c r="W13" s="13">
        <v>1906.6966552734375</v>
      </c>
      <c r="X13" s="13">
        <v>1019.709716796875</v>
      </c>
      <c r="Y13" s="13">
        <v>846.498779296875</v>
      </c>
      <c r="Z13" s="13">
        <v>760.3851318359375</v>
      </c>
      <c r="AA13" s="13">
        <v>333.36138916015625</v>
      </c>
      <c r="AB13" s="13">
        <v>1002.4545288085938</v>
      </c>
      <c r="AC13" s="13">
        <v>718.65106201171875</v>
      </c>
      <c r="AD13" s="13">
        <v>536.4263916015625</v>
      </c>
      <c r="AE13" s="13">
        <v>866.89434814453125</v>
      </c>
      <c r="AF13" s="13">
        <v>920.07476806640625</v>
      </c>
      <c r="AG13" s="13">
        <v>466.97518920898438</v>
      </c>
      <c r="AH13" s="13">
        <v>467.74777221679688</v>
      </c>
      <c r="AI13" s="13">
        <v>661.13897705078125</v>
      </c>
      <c r="AJ13" s="13">
        <v>829.40240478515625</v>
      </c>
      <c r="AK13" s="13">
        <v>518.31573486328125</v>
      </c>
      <c r="AL13" s="13">
        <v>515.262451171875</v>
      </c>
      <c r="AM13" s="13">
        <v>1135.4432373046875</v>
      </c>
      <c r="AN13" s="13">
        <v>626.5201416015625</v>
      </c>
      <c r="AO13" s="13">
        <v>1051.0472412109375</v>
      </c>
      <c r="AP13" s="13">
        <v>909.70477294921875</v>
      </c>
      <c r="AQ13" s="13">
        <v>630.035888671875</v>
      </c>
      <c r="AR13" s="13">
        <v>513.026611328125</v>
      </c>
      <c r="AS13" s="13">
        <v>733.1141357421875</v>
      </c>
      <c r="AT13" s="13">
        <v>674.295654296875</v>
      </c>
      <c r="AU13" s="13">
        <v>662.63043212890625</v>
      </c>
      <c r="AV13" s="13">
        <v>689.76605224609375</v>
      </c>
      <c r="AW13" s="13">
        <v>393.62789916992188</v>
      </c>
      <c r="AX13" s="13">
        <v>331.0615234375</v>
      </c>
      <c r="AY13" s="13">
        <v>1758.5849609375</v>
      </c>
      <c r="AZ13" s="13">
        <v>267.81134033203125</v>
      </c>
      <c r="BA13" s="13">
        <v>811.527587890625</v>
      </c>
      <c r="BB13" s="13">
        <v>659.56134033203125</v>
      </c>
      <c r="BC13" s="13">
        <v>728.6302490234375</v>
      </c>
      <c r="BD13" s="13">
        <v>807.0164794921875</v>
      </c>
      <c r="BE13" s="13">
        <v>564.31951904296875</v>
      </c>
      <c r="BF13" s="13">
        <v>764.730224609375</v>
      </c>
      <c r="BG13" s="13">
        <v>1421.724853515625</v>
      </c>
      <c r="BH13" s="13">
        <v>1123.525146484375</v>
      </c>
      <c r="BI13" s="13">
        <v>780.31768798828125</v>
      </c>
      <c r="BJ13" s="13">
        <v>561.18695068359375</v>
      </c>
      <c r="BK13" s="13">
        <v>319.88803100585938</v>
      </c>
      <c r="BL13" s="13">
        <v>886.09698486328125</v>
      </c>
      <c r="BM13" s="13">
        <v>892.27490234375</v>
      </c>
      <c r="BN13" s="13">
        <v>789.76495361328125</v>
      </c>
      <c r="BO13" s="13">
        <v>635.29730224609375</v>
      </c>
      <c r="BP13" s="13">
        <v>1483.965087890625</v>
      </c>
      <c r="BQ13" s="13"/>
      <c r="BR13" s="13"/>
    </row>
    <row r="14" spans="1:70" x14ac:dyDescent="0.2">
      <c r="B14">
        <v>1809</v>
      </c>
      <c r="C14" s="13">
        <v>750.48016357421875</v>
      </c>
      <c r="D14" s="13">
        <v>1491.6209716796875</v>
      </c>
      <c r="E14" s="13">
        <v>1442.8013916015625</v>
      </c>
      <c r="F14" s="13">
        <v>753.6968994140625</v>
      </c>
      <c r="G14" s="13">
        <v>667.95257568359375</v>
      </c>
      <c r="H14" s="13">
        <v>610.856689453125</v>
      </c>
      <c r="I14" s="13">
        <v>634.1317138671875</v>
      </c>
      <c r="J14" s="13">
        <v>733.92974853515625</v>
      </c>
      <c r="K14" s="13">
        <v>759.1107177734375</v>
      </c>
      <c r="L14" s="13">
        <v>1863.1397705078125</v>
      </c>
      <c r="M14" s="13">
        <v>1674.51904296875</v>
      </c>
      <c r="N14" s="13">
        <v>1685.9722900390625</v>
      </c>
      <c r="O14" s="13">
        <v>1544.6805419921875</v>
      </c>
      <c r="P14" s="13">
        <v>3219.015625</v>
      </c>
      <c r="Q14" s="13">
        <v>2110.85791015625</v>
      </c>
      <c r="R14" s="13">
        <v>2453.3857421875</v>
      </c>
      <c r="S14" s="13">
        <v>1648.8563232421875</v>
      </c>
      <c r="T14" s="13">
        <v>974.36468505859375</v>
      </c>
      <c r="U14" s="13">
        <v>1729.7064208984375</v>
      </c>
      <c r="V14" s="13">
        <v>700.7596435546875</v>
      </c>
      <c r="W14" s="13">
        <v>1916.18505859375</v>
      </c>
      <c r="X14" s="13">
        <v>1022.2432861328125</v>
      </c>
      <c r="Y14" s="13">
        <v>846.513916015625</v>
      </c>
      <c r="Z14" s="13">
        <v>760.398681640625</v>
      </c>
      <c r="AA14" s="13">
        <v>336.16387939453125</v>
      </c>
      <c r="AB14" s="13">
        <v>1005.9862060546875</v>
      </c>
      <c r="AC14" s="13">
        <v>718.715576171875</v>
      </c>
      <c r="AD14" s="13">
        <v>515.436767578125</v>
      </c>
      <c r="AE14" s="13">
        <v>853.63818359375</v>
      </c>
      <c r="AF14" s="13">
        <v>894.34783935546875</v>
      </c>
      <c r="AG14" s="13">
        <v>459.48110961914062</v>
      </c>
      <c r="AH14" s="13">
        <v>470.22671508789062</v>
      </c>
      <c r="AI14" s="13">
        <v>663.71246337890625</v>
      </c>
      <c r="AJ14" s="13">
        <v>833.10369873046875</v>
      </c>
      <c r="AK14" s="13">
        <v>520.6287841796875</v>
      </c>
      <c r="AL14" s="13">
        <v>516.60394287109375</v>
      </c>
      <c r="AM14" s="13">
        <v>1149.352783203125</v>
      </c>
      <c r="AN14" s="13">
        <v>629.7796630859375</v>
      </c>
      <c r="AO14" s="13">
        <v>1056.286865234375</v>
      </c>
      <c r="AP14" s="13">
        <v>910.3876953125</v>
      </c>
      <c r="AQ14" s="13">
        <v>630.50885009765625</v>
      </c>
      <c r="AR14" s="13">
        <v>513.4117431640625</v>
      </c>
      <c r="AS14" s="13">
        <v>733.75732421875</v>
      </c>
      <c r="AT14" s="13">
        <v>674.8018798828125</v>
      </c>
      <c r="AU14" s="13">
        <v>663.1278076171875</v>
      </c>
      <c r="AV14" s="13">
        <v>690.28387451171875</v>
      </c>
      <c r="AW14" s="13">
        <v>393.92340087890625</v>
      </c>
      <c r="AX14" s="13">
        <v>331.31002807617188</v>
      </c>
      <c r="AY14" s="13">
        <v>1718.526123046875</v>
      </c>
      <c r="AZ14" s="13">
        <v>267.17266845703125</v>
      </c>
      <c r="BA14" s="13">
        <v>812.25067138671875</v>
      </c>
      <c r="BB14" s="13">
        <v>660.1490478515625</v>
      </c>
      <c r="BC14" s="13">
        <v>726.63140869140625</v>
      </c>
      <c r="BD14" s="13">
        <v>807.0308837890625</v>
      </c>
      <c r="BE14" s="13">
        <v>564.32952880859375</v>
      </c>
      <c r="BF14" s="13">
        <v>761.56890869140625</v>
      </c>
      <c r="BG14" s="13">
        <v>1418.36181640625</v>
      </c>
      <c r="BH14" s="13">
        <v>1120.45947265625</v>
      </c>
      <c r="BI14" s="13">
        <v>776.510986328125</v>
      </c>
      <c r="BJ14" s="13">
        <v>561.20684814453125</v>
      </c>
      <c r="BK14" s="13">
        <v>319.905029296875</v>
      </c>
      <c r="BL14" s="13">
        <v>883.67913818359375</v>
      </c>
      <c r="BM14" s="13">
        <v>902.3046875</v>
      </c>
      <c r="BN14" s="13">
        <v>789.8070068359375</v>
      </c>
      <c r="BO14" s="13">
        <v>635.31976318359375</v>
      </c>
      <c r="BP14" s="13">
        <v>1478.08447265625</v>
      </c>
      <c r="BQ14" s="13"/>
      <c r="BR14" s="13"/>
    </row>
    <row r="15" spans="1:70" x14ac:dyDescent="0.2">
      <c r="B15">
        <v>1810</v>
      </c>
      <c r="C15" s="13">
        <v>745.41546630859375</v>
      </c>
      <c r="D15" s="13">
        <v>1465.7869873046875</v>
      </c>
      <c r="E15" s="13">
        <v>1459.7637939453125</v>
      </c>
      <c r="F15" s="13">
        <v>735.7437744140625</v>
      </c>
      <c r="G15" s="13">
        <v>671.17022705078125</v>
      </c>
      <c r="H15" s="13">
        <v>620.083740234375</v>
      </c>
      <c r="I15" s="13">
        <v>634.596923828125</v>
      </c>
      <c r="J15" s="13">
        <v>732.0780029296875</v>
      </c>
      <c r="K15" s="13">
        <v>756.07757568359375</v>
      </c>
      <c r="L15" s="13">
        <v>1944.328125</v>
      </c>
      <c r="M15" s="13">
        <v>1677.4027099609375</v>
      </c>
      <c r="N15" s="13">
        <v>1594.333740234375</v>
      </c>
      <c r="O15" s="13">
        <v>1461.804931640625</v>
      </c>
      <c r="P15" s="13">
        <v>3122.3955078125</v>
      </c>
      <c r="Q15" s="13">
        <v>2103.468017578125</v>
      </c>
      <c r="R15" s="13">
        <v>2426.643310546875</v>
      </c>
      <c r="S15" s="13">
        <v>1651.599365234375</v>
      </c>
      <c r="T15" s="13">
        <v>1053.2669677734375</v>
      </c>
      <c r="U15" s="13">
        <v>1695.1806640625</v>
      </c>
      <c r="V15" s="13">
        <v>687.9859619140625</v>
      </c>
      <c r="W15" s="13">
        <v>1930.608154296875</v>
      </c>
      <c r="X15" s="13">
        <v>1024.70068359375</v>
      </c>
      <c r="Y15" s="13">
        <v>846.46099853515625</v>
      </c>
      <c r="Z15" s="13">
        <v>760.3511962890625</v>
      </c>
      <c r="AA15" s="13">
        <v>339.07022094726562</v>
      </c>
      <c r="AB15" s="13">
        <v>1009.3677978515625</v>
      </c>
      <c r="AC15" s="13">
        <v>718.48974609375</v>
      </c>
      <c r="AD15" s="13">
        <v>486.27099609375</v>
      </c>
      <c r="AE15" s="13">
        <v>820.14013671875</v>
      </c>
      <c r="AF15" s="13">
        <v>863.6500244140625</v>
      </c>
      <c r="AG15" s="13">
        <v>446.19662475585938</v>
      </c>
      <c r="AH15" s="13">
        <v>472.68115234375</v>
      </c>
      <c r="AI15" s="13">
        <v>666.1898193359375</v>
      </c>
      <c r="AJ15" s="13">
        <v>836.48699951171875</v>
      </c>
      <c r="AK15" s="13">
        <v>522.74310302734375</v>
      </c>
      <c r="AL15" s="13">
        <v>517.86639404296875</v>
      </c>
      <c r="AM15" s="13">
        <v>1163.340087890625</v>
      </c>
      <c r="AN15" s="13">
        <v>632.90472412109375</v>
      </c>
      <c r="AO15" s="13">
        <v>1061.2587890625</v>
      </c>
      <c r="AP15" s="13">
        <v>910.9986572265625</v>
      </c>
      <c r="AQ15" s="13">
        <v>630.93206787109375</v>
      </c>
      <c r="AR15" s="13">
        <v>513.75634765625</v>
      </c>
      <c r="AS15" s="13">
        <v>734.3275146484375</v>
      </c>
      <c r="AT15" s="13">
        <v>675.2547607421875</v>
      </c>
      <c r="AU15" s="13">
        <v>663.5728759765625</v>
      </c>
      <c r="AV15" s="13">
        <v>690.74713134765625</v>
      </c>
      <c r="AW15" s="13">
        <v>394.18777465820312</v>
      </c>
      <c r="AX15" s="13">
        <v>331.53240966796875</v>
      </c>
      <c r="AY15" s="13">
        <v>1898.83642578125</v>
      </c>
      <c r="AZ15" s="13">
        <v>271.02685546875</v>
      </c>
      <c r="BA15" s="13">
        <v>812.84368896484375</v>
      </c>
      <c r="BB15" s="13">
        <v>660.63092041015625</v>
      </c>
      <c r="BC15" s="13">
        <v>724.579833984375</v>
      </c>
      <c r="BD15" s="13">
        <v>806.98046875</v>
      </c>
      <c r="BE15" s="13">
        <v>564.29425048828125</v>
      </c>
      <c r="BF15" s="13">
        <v>761.52130126953125</v>
      </c>
      <c r="BG15" s="13">
        <v>1414.7734375</v>
      </c>
      <c r="BH15" s="13">
        <v>1117.1348876953125</v>
      </c>
      <c r="BI15" s="13">
        <v>772.47607421875</v>
      </c>
      <c r="BJ15" s="13">
        <v>561.1373291015625</v>
      </c>
      <c r="BK15" s="13">
        <v>319.84552001953125</v>
      </c>
      <c r="BL15" s="13">
        <v>881.05712890625</v>
      </c>
      <c r="BM15" s="13">
        <v>900.93121337890625</v>
      </c>
      <c r="BN15" s="13">
        <v>789.6600341796875</v>
      </c>
      <c r="BO15" s="13">
        <v>635.2410888671875</v>
      </c>
      <c r="BP15" s="13">
        <v>1471.8873291015625</v>
      </c>
      <c r="BQ15" s="13"/>
      <c r="BR15" s="13"/>
    </row>
    <row r="16" spans="1:70" x14ac:dyDescent="0.2">
      <c r="B16">
        <v>1811</v>
      </c>
      <c r="C16" s="13">
        <v>736.2401123046875</v>
      </c>
      <c r="D16" s="13">
        <v>1426.021484375</v>
      </c>
      <c r="E16" s="13">
        <v>1484.9798583984375</v>
      </c>
      <c r="F16" s="13">
        <v>718.43731689453125</v>
      </c>
      <c r="G16" s="13">
        <v>674.2454833984375</v>
      </c>
      <c r="H16" s="13">
        <v>601.03765869140625</v>
      </c>
      <c r="I16" s="13">
        <v>634.9732666015625</v>
      </c>
      <c r="J16" s="13">
        <v>730.5845947265625</v>
      </c>
      <c r="K16" s="13">
        <v>752.6812744140625</v>
      </c>
      <c r="L16" s="13">
        <v>1921.7525634765625</v>
      </c>
      <c r="M16" s="13">
        <v>1680.2127685546875</v>
      </c>
      <c r="N16" s="13">
        <v>1523.53173828125</v>
      </c>
      <c r="O16" s="13">
        <v>1396.998779296875</v>
      </c>
      <c r="P16" s="13">
        <v>2978.94189453125</v>
      </c>
      <c r="Q16" s="13">
        <v>2097.951904296875</v>
      </c>
      <c r="R16" s="13">
        <v>2399.24560546875</v>
      </c>
      <c r="S16" s="13">
        <v>1654.161376953125</v>
      </c>
      <c r="T16" s="13">
        <v>1128.5115966796875</v>
      </c>
      <c r="U16" s="13">
        <v>1649.49755859375</v>
      </c>
      <c r="V16" s="13">
        <v>669.41607666015625</v>
      </c>
      <c r="W16" s="13">
        <v>1957.54248046875</v>
      </c>
      <c r="X16" s="13">
        <v>1027.0919189453125</v>
      </c>
      <c r="Y16" s="13">
        <v>846.3487548828125</v>
      </c>
      <c r="Z16" s="13">
        <v>760.25030517578125</v>
      </c>
      <c r="AA16" s="13">
        <v>343.34051513671875</v>
      </c>
      <c r="AB16" s="13">
        <v>1012.6185302734375</v>
      </c>
      <c r="AC16" s="13">
        <v>718.01043701171875</v>
      </c>
      <c r="AD16" s="13">
        <v>421.02182006835938</v>
      </c>
      <c r="AE16" s="13">
        <v>804.50030517578125</v>
      </c>
      <c r="AF16" s="13">
        <v>840.0848388671875</v>
      </c>
      <c r="AG16" s="13">
        <v>432.12411499023438</v>
      </c>
      <c r="AH16" s="13">
        <v>475.115478515625</v>
      </c>
      <c r="AI16" s="13">
        <v>668.58343505859375</v>
      </c>
      <c r="AJ16" s="13">
        <v>839.59063720703125</v>
      </c>
      <c r="AK16" s="13">
        <v>524.68267822265625</v>
      </c>
      <c r="AL16" s="13">
        <v>519.05975341796875</v>
      </c>
      <c r="AM16" s="13">
        <v>1177.4161376953125</v>
      </c>
      <c r="AN16" s="13">
        <v>635.912353515625</v>
      </c>
      <c r="AO16" s="13">
        <v>1065.9971923828125</v>
      </c>
      <c r="AP16" s="13">
        <v>911.54681396484375</v>
      </c>
      <c r="AQ16" s="13">
        <v>631.3116455078125</v>
      </c>
      <c r="AR16" s="13">
        <v>514.0654296875</v>
      </c>
      <c r="AS16" s="13">
        <v>734.814697265625</v>
      </c>
      <c r="AT16" s="13">
        <v>675.6610107421875</v>
      </c>
      <c r="AU16" s="13">
        <v>663.97210693359375</v>
      </c>
      <c r="AV16" s="13">
        <v>691.1627197265625</v>
      </c>
      <c r="AW16" s="13">
        <v>394.42498779296875</v>
      </c>
      <c r="AX16" s="13">
        <v>331.73187255859375</v>
      </c>
      <c r="AY16" s="13">
        <v>1506.6380615234375</v>
      </c>
      <c r="AZ16" s="13">
        <v>263.12359619140625</v>
      </c>
      <c r="BA16" s="13">
        <v>813.32269287109375</v>
      </c>
      <c r="BB16" s="13">
        <v>661.020263671875</v>
      </c>
      <c r="BC16" s="13">
        <v>722.9412841796875</v>
      </c>
      <c r="BD16" s="13">
        <v>806.87347412109375</v>
      </c>
      <c r="BE16" s="13">
        <v>564.21942138671875</v>
      </c>
      <c r="BF16" s="13">
        <v>764.4658203125</v>
      </c>
      <c r="BG16" s="13">
        <v>1411.779296875</v>
      </c>
      <c r="BH16" s="13">
        <v>1113.58740234375</v>
      </c>
      <c r="BI16" s="13">
        <v>768.24774169921875</v>
      </c>
      <c r="BJ16" s="13">
        <v>560.98980712890625</v>
      </c>
      <c r="BK16" s="13">
        <v>319.71920776367188</v>
      </c>
      <c r="BL16" s="13">
        <v>878.2593994140625</v>
      </c>
      <c r="BM16" s="13">
        <v>898.33331298828125</v>
      </c>
      <c r="BN16" s="13">
        <v>789.34820556640625</v>
      </c>
      <c r="BO16" s="13">
        <v>635.07403564453125</v>
      </c>
      <c r="BP16" s="13">
        <v>1465.324951171875</v>
      </c>
      <c r="BQ16" s="13"/>
      <c r="BR16" s="13"/>
    </row>
    <row r="17" spans="2:70" x14ac:dyDescent="0.2">
      <c r="B17">
        <v>1812</v>
      </c>
      <c r="C17" s="13">
        <v>734.95977783203125</v>
      </c>
      <c r="D17" s="13">
        <v>1411.599365234375</v>
      </c>
      <c r="E17" s="13">
        <v>1516.072265625</v>
      </c>
      <c r="F17" s="13">
        <v>717.42279052734375</v>
      </c>
      <c r="G17" s="13">
        <v>677.466796875</v>
      </c>
      <c r="H17" s="13">
        <v>602.2296142578125</v>
      </c>
      <c r="I17" s="13">
        <v>635.426025390625</v>
      </c>
      <c r="J17" s="13">
        <v>729.09149169921875</v>
      </c>
      <c r="K17" s="13">
        <v>749.9334716796875</v>
      </c>
      <c r="L17" s="13">
        <v>1865.6339111328125</v>
      </c>
      <c r="M17" s="13">
        <v>1683.142578125</v>
      </c>
      <c r="N17" s="13">
        <v>1587.6051025390625</v>
      </c>
      <c r="O17" s="13">
        <v>1366.551513671875</v>
      </c>
      <c r="P17" s="13">
        <v>2947.091064453125</v>
      </c>
      <c r="Q17" s="13">
        <v>2097.909912109375</v>
      </c>
      <c r="R17" s="13">
        <v>2374.500732421875</v>
      </c>
      <c r="S17" s="13">
        <v>1656.8857421875</v>
      </c>
      <c r="T17" s="13">
        <v>1057.148193359375</v>
      </c>
      <c r="U17" s="13">
        <v>1634.4832763671875</v>
      </c>
      <c r="V17" s="13">
        <v>663.28729248046875</v>
      </c>
      <c r="W17" s="13">
        <v>1992.4058837890625</v>
      </c>
      <c r="X17" s="13">
        <v>1029.55029296875</v>
      </c>
      <c r="Y17" s="13">
        <v>846.28717041015625</v>
      </c>
      <c r="Z17" s="13">
        <v>760.1949462890625</v>
      </c>
      <c r="AA17" s="13">
        <v>347.89004516601562</v>
      </c>
      <c r="AB17" s="13">
        <v>1016.00146484375</v>
      </c>
      <c r="AC17" s="13">
        <v>717.747314453125</v>
      </c>
      <c r="AD17" s="13">
        <v>445.056640625</v>
      </c>
      <c r="AE17" s="13">
        <v>808.556884765625</v>
      </c>
      <c r="AF17" s="13">
        <v>836.60137939453125</v>
      </c>
      <c r="AG17" s="13">
        <v>429.60415649414062</v>
      </c>
      <c r="AH17" s="13">
        <v>477.590576171875</v>
      </c>
      <c r="AI17" s="13">
        <v>671.065185546875</v>
      </c>
      <c r="AJ17" s="13">
        <v>842.956787109375</v>
      </c>
      <c r="AK17" s="13">
        <v>526.7862548828125</v>
      </c>
      <c r="AL17" s="13">
        <v>520.31756591796875</v>
      </c>
      <c r="AM17" s="13">
        <v>1191.7327880859375</v>
      </c>
      <c r="AN17" s="13">
        <v>639.04815673828125</v>
      </c>
      <c r="AO17" s="13">
        <v>1070.9854736328125</v>
      </c>
      <c r="AP17" s="13">
        <v>912.1492919921875</v>
      </c>
      <c r="AQ17" s="13">
        <v>631.7288818359375</v>
      </c>
      <c r="AR17" s="13">
        <v>514.40521240234375</v>
      </c>
      <c r="AS17" s="13">
        <v>735.3468017578125</v>
      </c>
      <c r="AT17" s="13">
        <v>676.10760498046875</v>
      </c>
      <c r="AU17" s="13">
        <v>664.4110107421875</v>
      </c>
      <c r="AV17" s="13">
        <v>691.61956787109375</v>
      </c>
      <c r="AW17" s="13">
        <v>394.68563842773438</v>
      </c>
      <c r="AX17" s="13">
        <v>331.95114135742188</v>
      </c>
      <c r="AY17" s="13">
        <v>1525.1339111328125</v>
      </c>
      <c r="AZ17" s="13">
        <v>263.64175415039062</v>
      </c>
      <c r="BA17" s="13">
        <v>813.8995361328125</v>
      </c>
      <c r="BB17" s="13">
        <v>661.4891357421875</v>
      </c>
      <c r="BC17" s="13">
        <v>721.34954833984375</v>
      </c>
      <c r="BD17" s="13">
        <v>806.814697265625</v>
      </c>
      <c r="BE17" s="13">
        <v>564.1783447265625</v>
      </c>
      <c r="BF17" s="13">
        <v>764.337646484375</v>
      </c>
      <c r="BG17" s="13">
        <v>1409.0753173828125</v>
      </c>
      <c r="BH17" s="13">
        <v>1110.2490234375</v>
      </c>
      <c r="BI17" s="13">
        <v>764.35321044921875</v>
      </c>
      <c r="BJ17" s="13">
        <v>560.9088134765625</v>
      </c>
      <c r="BK17" s="13">
        <v>319.64987182617188</v>
      </c>
      <c r="BL17" s="13">
        <v>875.62646484375</v>
      </c>
      <c r="BM17" s="13">
        <v>897.094970703125</v>
      </c>
      <c r="BN17" s="13">
        <v>789.177001953125</v>
      </c>
      <c r="BO17" s="13">
        <v>634.982421875</v>
      </c>
      <c r="BP17" s="13">
        <v>1458.9013671875</v>
      </c>
      <c r="BQ17" s="13"/>
      <c r="BR17" s="13"/>
    </row>
    <row r="18" spans="2:70" x14ac:dyDescent="0.2">
      <c r="B18">
        <v>1813</v>
      </c>
      <c r="C18" s="13">
        <v>733.82403564453125</v>
      </c>
      <c r="D18" s="13">
        <v>1397.105224609375</v>
      </c>
      <c r="E18" s="13">
        <v>1538.864990234375</v>
      </c>
      <c r="F18" s="13">
        <v>716.2635498046875</v>
      </c>
      <c r="G18" s="13">
        <v>680.91168212890625</v>
      </c>
      <c r="H18" s="13">
        <v>622.19451904296875</v>
      </c>
      <c r="I18" s="13">
        <v>635.9830322265625</v>
      </c>
      <c r="J18" s="13">
        <v>727.6651611328125</v>
      </c>
      <c r="K18" s="13">
        <v>747.4334716796875</v>
      </c>
      <c r="L18" s="13">
        <v>1785.326171875</v>
      </c>
      <c r="M18" s="13">
        <v>1686.267333984375</v>
      </c>
      <c r="N18" s="13">
        <v>1636.2080078125</v>
      </c>
      <c r="O18" s="13">
        <v>1310.1405029296875</v>
      </c>
      <c r="P18" s="13">
        <v>2969.6796875</v>
      </c>
      <c r="Q18" s="13">
        <v>2096.3291015625</v>
      </c>
      <c r="R18" s="13">
        <v>2351.735595703125</v>
      </c>
      <c r="S18" s="13">
        <v>1659.8297119140625</v>
      </c>
      <c r="T18" s="13">
        <v>1074.476318359375</v>
      </c>
      <c r="U18" s="13">
        <v>1617.87158203125</v>
      </c>
      <c r="V18" s="13">
        <v>656.49017333984375</v>
      </c>
      <c r="W18" s="13">
        <v>2015.187744140625</v>
      </c>
      <c r="X18" s="13">
        <v>1032.0982666015625</v>
      </c>
      <c r="Y18" s="13">
        <v>846.2940673828125</v>
      </c>
      <c r="Z18" s="13">
        <v>760.201171875</v>
      </c>
      <c r="AA18" s="13">
        <v>352.66537475585938</v>
      </c>
      <c r="AB18" s="13">
        <v>1019.5611572265625</v>
      </c>
      <c r="AC18" s="13">
        <v>717.77685546875</v>
      </c>
      <c r="AD18" s="13">
        <v>443.48208618164062</v>
      </c>
      <c r="AE18" s="13">
        <v>812.47271728515625</v>
      </c>
      <c r="AF18" s="13">
        <v>833.267578125</v>
      </c>
      <c r="AG18" s="13">
        <v>429.29071044921875</v>
      </c>
      <c r="AH18" s="13">
        <v>480.1170654296875</v>
      </c>
      <c r="AI18" s="13">
        <v>673.664306640625</v>
      </c>
      <c r="AJ18" s="13">
        <v>846.6778564453125</v>
      </c>
      <c r="AK18" s="13">
        <v>529.1116943359375</v>
      </c>
      <c r="AL18" s="13">
        <v>521.66217041015625</v>
      </c>
      <c r="AM18" s="13">
        <v>1206.3203125</v>
      </c>
      <c r="AN18" s="13">
        <v>642.3543701171875</v>
      </c>
      <c r="AO18" s="13">
        <v>1076.3048095703125</v>
      </c>
      <c r="AP18" s="13">
        <v>912.8253173828125</v>
      </c>
      <c r="AQ18" s="13">
        <v>632.197021484375</v>
      </c>
      <c r="AR18" s="13">
        <v>514.7864990234375</v>
      </c>
      <c r="AS18" s="13">
        <v>735.9573974609375</v>
      </c>
      <c r="AT18" s="13">
        <v>676.608642578125</v>
      </c>
      <c r="AU18" s="13">
        <v>664.90338134765625</v>
      </c>
      <c r="AV18" s="13">
        <v>692.13214111328125</v>
      </c>
      <c r="AW18" s="13">
        <v>394.97817993164062</v>
      </c>
      <c r="AX18" s="13">
        <v>332.1971435546875</v>
      </c>
      <c r="AY18" s="13">
        <v>1922.154296875</v>
      </c>
      <c r="AZ18" s="13">
        <v>271.97265625</v>
      </c>
      <c r="BA18" s="13">
        <v>814.60894775390625</v>
      </c>
      <c r="BB18" s="13">
        <v>662.065673828125</v>
      </c>
      <c r="BC18" s="13">
        <v>719.81964111328125</v>
      </c>
      <c r="BD18" s="13">
        <v>806.8212890625</v>
      </c>
      <c r="BE18" s="13">
        <v>564.1829833984375</v>
      </c>
      <c r="BF18" s="13">
        <v>764.42547607421875</v>
      </c>
      <c r="BG18" s="13">
        <v>1406.59130859375</v>
      </c>
      <c r="BH18" s="13">
        <v>1107.1876220703125</v>
      </c>
      <c r="BI18" s="13">
        <v>760.7235107421875</v>
      </c>
      <c r="BJ18" s="13">
        <v>560.91790771484375</v>
      </c>
      <c r="BK18" s="13">
        <v>319.65765380859375</v>
      </c>
      <c r="BL18" s="13">
        <v>873.2120361328125</v>
      </c>
      <c r="BM18" s="13">
        <v>897.22735595703125</v>
      </c>
      <c r="BN18" s="13">
        <v>789.19622802734375</v>
      </c>
      <c r="BO18" s="13">
        <v>634.99273681640625</v>
      </c>
      <c r="BP18" s="13">
        <v>1452.8651123046875</v>
      </c>
      <c r="BQ18" s="13"/>
      <c r="BR18" s="13"/>
    </row>
    <row r="19" spans="2:70" x14ac:dyDescent="0.2">
      <c r="B19">
        <v>1814</v>
      </c>
      <c r="C19" s="13">
        <v>739.4517822265625</v>
      </c>
      <c r="D19" s="13">
        <v>1420.079345703125</v>
      </c>
      <c r="E19" s="13">
        <v>1566.4808349609375</v>
      </c>
      <c r="F19" s="13">
        <v>715.1654052734375</v>
      </c>
      <c r="G19" s="13">
        <v>684.13043212890625</v>
      </c>
      <c r="H19" s="13">
        <v>623.60760498046875</v>
      </c>
      <c r="I19" s="13">
        <v>636.41070556640625</v>
      </c>
      <c r="J19" s="13">
        <v>726.1663818359375</v>
      </c>
      <c r="K19" s="13">
        <v>744.6614990234375</v>
      </c>
      <c r="L19" s="13">
        <v>1891.6461181640625</v>
      </c>
      <c r="M19" s="13">
        <v>1689.2364501953125</v>
      </c>
      <c r="N19" s="13">
        <v>1721.5750732421875</v>
      </c>
      <c r="O19" s="13">
        <v>1277.4385986328125</v>
      </c>
      <c r="P19" s="13">
        <v>3022.852783203125</v>
      </c>
      <c r="Q19" s="13">
        <v>2098.099365234375</v>
      </c>
      <c r="R19" s="13">
        <v>2407.025390625</v>
      </c>
      <c r="S19" s="13">
        <v>1662.508056640625</v>
      </c>
      <c r="T19" s="13">
        <v>1084.7802734375</v>
      </c>
      <c r="U19" s="13">
        <v>1642.71533203125</v>
      </c>
      <c r="V19" s="13">
        <v>666.51043701171875</v>
      </c>
      <c r="W19" s="13">
        <v>2044.9993896484375</v>
      </c>
      <c r="X19" s="13">
        <v>1034.547119140625</v>
      </c>
      <c r="Y19" s="13">
        <v>846.21478271484375</v>
      </c>
      <c r="Z19" s="13">
        <v>760.1300048828125</v>
      </c>
      <c r="AA19" s="13">
        <v>357.60232543945312</v>
      </c>
      <c r="AB19" s="13">
        <v>1022.924560546875</v>
      </c>
      <c r="AC19" s="13">
        <v>717.43853759765625</v>
      </c>
      <c r="AD19" s="13">
        <v>428.75827026367188</v>
      </c>
      <c r="AE19" s="13">
        <v>824.80645751953125</v>
      </c>
      <c r="AF19" s="13">
        <v>829.77764892578125</v>
      </c>
      <c r="AG19" s="13">
        <v>425.31439208984375</v>
      </c>
      <c r="AH19" s="13">
        <v>482.6082763671875</v>
      </c>
      <c r="AI19" s="13">
        <v>676.13702392578125</v>
      </c>
      <c r="AJ19" s="13">
        <v>849.98406982421875</v>
      </c>
      <c r="AK19" s="13">
        <v>531.17779541015625</v>
      </c>
      <c r="AL19" s="13">
        <v>522.9046630859375</v>
      </c>
      <c r="AM19" s="13">
        <v>1220.9635009765625</v>
      </c>
      <c r="AN19" s="13">
        <v>645.48187255859375</v>
      </c>
      <c r="AO19" s="13">
        <v>1081.27099609375</v>
      </c>
      <c r="AP19" s="13">
        <v>913.4097900390625</v>
      </c>
      <c r="AQ19" s="13">
        <v>632.60186767578125</v>
      </c>
      <c r="AR19" s="13">
        <v>515.1160888671875</v>
      </c>
      <c r="AS19" s="13">
        <v>736.4510498046875</v>
      </c>
      <c r="AT19" s="13">
        <v>677.04193115234375</v>
      </c>
      <c r="AU19" s="13">
        <v>665.3291015625</v>
      </c>
      <c r="AV19" s="13">
        <v>692.57525634765625</v>
      </c>
      <c r="AW19" s="13">
        <v>395.23104858398438</v>
      </c>
      <c r="AX19" s="13">
        <v>332.40985107421875</v>
      </c>
      <c r="AY19" s="13">
        <v>1944.516845703125</v>
      </c>
      <c r="AZ19" s="13">
        <v>272.58526611328125</v>
      </c>
      <c r="BA19" s="13">
        <v>815.1527099609375</v>
      </c>
      <c r="BB19" s="13">
        <v>662.507568359375</v>
      </c>
      <c r="BC19" s="13">
        <v>718.21990966796875</v>
      </c>
      <c r="BD19" s="13">
        <v>806.7457275390625</v>
      </c>
      <c r="BE19" s="13">
        <v>564.130126953125</v>
      </c>
      <c r="BF19" s="13">
        <v>764.2403564453125</v>
      </c>
      <c r="BG19" s="13">
        <v>1403.8206787109375</v>
      </c>
      <c r="BH19" s="13">
        <v>1103.7999267578125</v>
      </c>
      <c r="BI19" s="13">
        <v>756.80438232421875</v>
      </c>
      <c r="BJ19" s="13">
        <v>560.81378173828125</v>
      </c>
      <c r="BK19" s="13">
        <v>319.56851196289062</v>
      </c>
      <c r="BL19" s="13">
        <v>870.54022216796875</v>
      </c>
      <c r="BM19" s="13">
        <v>895.807373046875</v>
      </c>
      <c r="BN19" s="13">
        <v>788.97607421875</v>
      </c>
      <c r="BO19" s="13">
        <v>634.87481689453125</v>
      </c>
      <c r="BP19" s="13">
        <v>1446.42431640625</v>
      </c>
      <c r="BQ19" s="13"/>
      <c r="BR19" s="13"/>
    </row>
    <row r="20" spans="2:70" x14ac:dyDescent="0.2">
      <c r="B20">
        <v>1815</v>
      </c>
      <c r="C20" s="13">
        <v>743.06280517578125</v>
      </c>
      <c r="D20" s="13">
        <v>1433.537109375</v>
      </c>
      <c r="E20" s="13">
        <v>1588.8883056640625</v>
      </c>
      <c r="F20" s="13">
        <v>711.72381591796875</v>
      </c>
      <c r="G20" s="13">
        <v>687.4591064453125</v>
      </c>
      <c r="H20" s="13">
        <v>607.65753173828125</v>
      </c>
      <c r="I20" s="13">
        <v>636.8818359375</v>
      </c>
      <c r="J20" s="13">
        <v>724.70135498046875</v>
      </c>
      <c r="K20" s="13">
        <v>742.15411376953125</v>
      </c>
      <c r="L20" s="13">
        <v>1941.865234375</v>
      </c>
      <c r="M20" s="13">
        <v>1692.244140625</v>
      </c>
      <c r="N20" s="13">
        <v>1806.0849609375</v>
      </c>
      <c r="O20" s="13">
        <v>1227.1522216796875</v>
      </c>
      <c r="P20" s="13">
        <v>3090.629638671875</v>
      </c>
      <c r="Q20" s="13">
        <v>2099.023193359375</v>
      </c>
      <c r="R20" s="13">
        <v>2441.758056640625</v>
      </c>
      <c r="S20" s="13">
        <v>1665.291259765625</v>
      </c>
      <c r="T20" s="13">
        <v>1120.561767578125</v>
      </c>
      <c r="U20" s="13">
        <v>1655.5947265625</v>
      </c>
      <c r="V20" s="13">
        <v>671.68701171875</v>
      </c>
      <c r="W20" s="13">
        <v>2067.1904296875</v>
      </c>
      <c r="X20" s="13">
        <v>1037.0408935546875</v>
      </c>
      <c r="Y20" s="13">
        <v>846.16754150390625</v>
      </c>
      <c r="Z20" s="13">
        <v>760.0875244140625</v>
      </c>
      <c r="AA20" s="13">
        <v>362.60757446289062</v>
      </c>
      <c r="AB20" s="13">
        <v>1026.376708984375</v>
      </c>
      <c r="AC20" s="13">
        <v>717.236572265625</v>
      </c>
      <c r="AD20" s="13">
        <v>386.44754028320312</v>
      </c>
      <c r="AE20" s="13">
        <v>836.13604736328125</v>
      </c>
      <c r="AF20" s="13">
        <v>826.36492919921875</v>
      </c>
      <c r="AG20" s="13">
        <v>421.83511352539062</v>
      </c>
      <c r="AH20" s="13">
        <v>485.13055419921875</v>
      </c>
      <c r="AI20" s="13">
        <v>678.6695556640625</v>
      </c>
      <c r="AJ20" s="13">
        <v>853.46368408203125</v>
      </c>
      <c r="AK20" s="13">
        <v>533.35223388671875</v>
      </c>
      <c r="AL20" s="13">
        <v>524.1893310546875</v>
      </c>
      <c r="AM20" s="13">
        <v>1235.8304443359375</v>
      </c>
      <c r="AN20" s="13">
        <v>648.69744873046875</v>
      </c>
      <c r="AO20" s="13">
        <v>1086.4073486328125</v>
      </c>
      <c r="AP20" s="13">
        <v>914.02874755859375</v>
      </c>
      <c r="AQ20" s="13">
        <v>633.03057861328125</v>
      </c>
      <c r="AR20" s="13">
        <v>515.46514892578125</v>
      </c>
      <c r="AS20" s="13">
        <v>736.98046875</v>
      </c>
      <c r="AT20" s="13">
        <v>677.500732421875</v>
      </c>
      <c r="AU20" s="13">
        <v>665.77996826171875</v>
      </c>
      <c r="AV20" s="13">
        <v>693.044677734375</v>
      </c>
      <c r="AW20" s="13">
        <v>395.4989013671875</v>
      </c>
      <c r="AX20" s="13">
        <v>332.63510131835938</v>
      </c>
      <c r="AY20" s="13">
        <v>1616.910400390625</v>
      </c>
      <c r="AZ20" s="13">
        <v>265.9716796875</v>
      </c>
      <c r="BA20" s="13">
        <v>815.758544921875</v>
      </c>
      <c r="BB20" s="13">
        <v>662.99993896484375</v>
      </c>
      <c r="BC20" s="13">
        <v>716.65069580078125</v>
      </c>
      <c r="BD20" s="13">
        <v>806.70062255859375</v>
      </c>
      <c r="BE20" s="13">
        <v>564.09857177734375</v>
      </c>
      <c r="BF20" s="13">
        <v>764.15826416015625</v>
      </c>
      <c r="BG20" s="13">
        <v>1401.1502685546875</v>
      </c>
      <c r="BH20" s="13">
        <v>1100.5462646484375</v>
      </c>
      <c r="BI20" s="13">
        <v>753.01849365234375</v>
      </c>
      <c r="BJ20" s="13">
        <v>560.75164794921875</v>
      </c>
      <c r="BK20" s="13">
        <v>319.5152587890625</v>
      </c>
      <c r="BL20" s="13">
        <v>867.97412109375</v>
      </c>
      <c r="BM20" s="13">
        <v>895.0574951171875</v>
      </c>
      <c r="BN20" s="13">
        <v>788.8447265625</v>
      </c>
      <c r="BO20" s="13">
        <v>634.80450439453125</v>
      </c>
      <c r="BP20" s="13">
        <v>1440.1824951171875</v>
      </c>
      <c r="BQ20" s="13"/>
      <c r="BR20" s="13"/>
    </row>
    <row r="21" spans="2:70" x14ac:dyDescent="0.2">
      <c r="B21">
        <v>1816</v>
      </c>
      <c r="C21" s="13">
        <v>744.20361328125</v>
      </c>
      <c r="D21" s="13">
        <v>1428.07666015625</v>
      </c>
      <c r="E21" s="13">
        <v>1613.0162353515625</v>
      </c>
      <c r="F21" s="13">
        <v>711.709716796875</v>
      </c>
      <c r="G21" s="13">
        <v>690.76007080078125</v>
      </c>
      <c r="H21" s="13">
        <v>611.32391357421875</v>
      </c>
      <c r="I21" s="13">
        <v>637.32366943359375</v>
      </c>
      <c r="J21" s="13">
        <v>723.20635986328125</v>
      </c>
      <c r="K21" s="13">
        <v>744.35919189453125</v>
      </c>
      <c r="L21" s="13">
        <v>1852.1697998046875</v>
      </c>
      <c r="M21" s="13">
        <v>1695.20263671875</v>
      </c>
      <c r="N21" s="13">
        <v>1813.6328125</v>
      </c>
      <c r="O21" s="13">
        <v>1188.4091796875</v>
      </c>
      <c r="P21" s="13">
        <v>3183.0673828125</v>
      </c>
      <c r="Q21" s="13">
        <v>2094.54931640625</v>
      </c>
      <c r="R21" s="13">
        <v>2480.7490234375</v>
      </c>
      <c r="S21" s="13">
        <v>1668.025634765625</v>
      </c>
      <c r="T21" s="13">
        <v>1141.8092041015625</v>
      </c>
      <c r="U21" s="13">
        <v>1646.3359375</v>
      </c>
      <c r="V21" s="13">
        <v>667.88970947265625</v>
      </c>
      <c r="W21" s="13">
        <v>2088.96728515625</v>
      </c>
      <c r="X21" s="13">
        <v>1039.5198974609375</v>
      </c>
      <c r="Y21" s="13">
        <v>846.10321044921875</v>
      </c>
      <c r="Z21" s="13">
        <v>760.02978515625</v>
      </c>
      <c r="AA21" s="13">
        <v>368.05307006835938</v>
      </c>
      <c r="AB21" s="13">
        <v>1029.7989501953125</v>
      </c>
      <c r="AC21" s="13">
        <v>716.9620361328125</v>
      </c>
      <c r="AD21" s="13">
        <v>384.46881103515625</v>
      </c>
      <c r="AE21" s="13">
        <v>850.48809814453125</v>
      </c>
      <c r="AF21" s="13">
        <v>822.93310546875</v>
      </c>
      <c r="AG21" s="13">
        <v>423.74960327148438</v>
      </c>
      <c r="AH21" s="13">
        <v>487.65631103515625</v>
      </c>
      <c r="AI21" s="13">
        <v>681.18450927734375</v>
      </c>
      <c r="AJ21" s="13">
        <v>856.87152099609375</v>
      </c>
      <c r="AK21" s="13">
        <v>535.48199462890625</v>
      </c>
      <c r="AL21" s="13">
        <v>525.456298828125</v>
      </c>
      <c r="AM21" s="13">
        <v>1250.8536376953125</v>
      </c>
      <c r="AN21" s="13">
        <v>651.89007568359375</v>
      </c>
      <c r="AO21" s="13">
        <v>1091.49560546875</v>
      </c>
      <c r="AP21" s="13">
        <v>914.6300048828125</v>
      </c>
      <c r="AQ21" s="13">
        <v>633.44696044921875</v>
      </c>
      <c r="AR21" s="13">
        <v>515.80419921875</v>
      </c>
      <c r="AS21" s="13">
        <v>737.4822998046875</v>
      </c>
      <c r="AT21" s="13">
        <v>677.94635009765625</v>
      </c>
      <c r="AU21" s="13">
        <v>666.21795654296875</v>
      </c>
      <c r="AV21" s="13">
        <v>693.50054931640625</v>
      </c>
      <c r="AW21" s="13">
        <v>395.75906372070312</v>
      </c>
      <c r="AX21" s="13">
        <v>332.85391235351562</v>
      </c>
      <c r="AY21" s="13">
        <v>1684.807373046875</v>
      </c>
      <c r="AZ21" s="13">
        <v>267.52066040039062</v>
      </c>
      <c r="BA21" s="13">
        <v>816.33184814453125</v>
      </c>
      <c r="BB21" s="13">
        <v>663.46600341796875</v>
      </c>
      <c r="BC21" s="13">
        <v>715.070556640625</v>
      </c>
      <c r="BD21" s="13">
        <v>806.63934326171875</v>
      </c>
      <c r="BE21" s="13">
        <v>564.05572509765625</v>
      </c>
      <c r="BF21" s="13">
        <v>761.1993408203125</v>
      </c>
      <c r="BG21" s="13">
        <v>1398.4228515625</v>
      </c>
      <c r="BH21" s="13">
        <v>1097.2364501953125</v>
      </c>
      <c r="BI21" s="13">
        <v>749.19158935546875</v>
      </c>
      <c r="BJ21" s="13">
        <v>607.9183349609375</v>
      </c>
      <c r="BK21" s="13">
        <v>319.44296264648438</v>
      </c>
      <c r="BL21" s="13">
        <v>865.36376953125</v>
      </c>
      <c r="BM21" s="13">
        <v>894.1463623046875</v>
      </c>
      <c r="BN21" s="13">
        <v>788.6661376953125</v>
      </c>
      <c r="BO21" s="13">
        <v>634.70880126953125</v>
      </c>
      <c r="BP21" s="13">
        <v>1441.220703125</v>
      </c>
      <c r="BQ21" s="13"/>
      <c r="BR21" s="13"/>
    </row>
    <row r="22" spans="2:70" x14ac:dyDescent="0.2">
      <c r="B22">
        <v>1817</v>
      </c>
      <c r="C22" s="13">
        <v>742.1978759765625</v>
      </c>
      <c r="D22" s="13">
        <v>1409.373291015625</v>
      </c>
      <c r="E22" s="13">
        <v>1633.6925048828125</v>
      </c>
      <c r="F22" s="13">
        <v>713.38079833984375</v>
      </c>
      <c r="G22" s="13">
        <v>694.06585693359375</v>
      </c>
      <c r="H22" s="13">
        <v>614.869140625</v>
      </c>
      <c r="I22" s="13">
        <v>637.7591552734375</v>
      </c>
      <c r="J22" s="13">
        <v>721.7412109375</v>
      </c>
      <c r="K22" s="13">
        <v>741.19598388671875</v>
      </c>
      <c r="L22" s="13">
        <v>1768.08837890625</v>
      </c>
      <c r="M22" s="13">
        <v>1698.1376953125</v>
      </c>
      <c r="N22" s="13">
        <v>1756.1444091796875</v>
      </c>
      <c r="O22" s="13">
        <v>1148.2806396484375</v>
      </c>
      <c r="P22" s="13">
        <v>3211.34521484375</v>
      </c>
      <c r="Q22" s="13">
        <v>2099.810791015625</v>
      </c>
      <c r="R22" s="13">
        <v>2501.4541015625</v>
      </c>
      <c r="S22" s="13">
        <v>1670.75048828125</v>
      </c>
      <c r="T22" s="13">
        <v>1109.08251953125</v>
      </c>
      <c r="U22" s="13">
        <v>1621.9906005859375</v>
      </c>
      <c r="V22" s="13">
        <v>657.98077392578125</v>
      </c>
      <c r="W22" s="13">
        <v>2105.05810546875</v>
      </c>
      <c r="X22" s="13">
        <v>1041.9993896484375</v>
      </c>
      <c r="Y22" s="13">
        <v>846.0345458984375</v>
      </c>
      <c r="Z22" s="13">
        <v>759.96807861328125</v>
      </c>
      <c r="AA22" s="13">
        <v>373.16876220703125</v>
      </c>
      <c r="AB22" s="13">
        <v>1033.2220458984375</v>
      </c>
      <c r="AC22" s="13">
        <v>716.6689453125</v>
      </c>
      <c r="AD22" s="13">
        <v>480.9549560546875</v>
      </c>
      <c r="AE22" s="13">
        <v>856.50921630859375</v>
      </c>
      <c r="AF22" s="13">
        <v>819.50701904296875</v>
      </c>
      <c r="AG22" s="13">
        <v>423.47549438476562</v>
      </c>
      <c r="AH22" s="13">
        <v>490.19268798828125</v>
      </c>
      <c r="AI22" s="13">
        <v>683.70172119140625</v>
      </c>
      <c r="AJ22" s="13">
        <v>860.27081298828125</v>
      </c>
      <c r="AK22" s="13">
        <v>537.60626220703125</v>
      </c>
      <c r="AL22" s="13">
        <v>526.7208251953125</v>
      </c>
      <c r="AM22" s="13">
        <v>1266.0528564453125</v>
      </c>
      <c r="AN22" s="13">
        <v>655.0882568359375</v>
      </c>
      <c r="AO22" s="13">
        <v>1096.591796875</v>
      </c>
      <c r="AP22" s="13">
        <v>915.22698974609375</v>
      </c>
      <c r="AQ22" s="13">
        <v>633.86041259765625</v>
      </c>
      <c r="AR22" s="13">
        <v>516.140869140625</v>
      </c>
      <c r="AS22" s="13">
        <v>737.9747314453125</v>
      </c>
      <c r="AT22" s="13">
        <v>678.38885498046875</v>
      </c>
      <c r="AU22" s="13">
        <v>666.6527099609375</v>
      </c>
      <c r="AV22" s="13">
        <v>693.95318603515625</v>
      </c>
      <c r="AW22" s="13">
        <v>396.017333984375</v>
      </c>
      <c r="AX22" s="13">
        <v>333.0711669921875</v>
      </c>
      <c r="AY22" s="13">
        <v>1749.994140625</v>
      </c>
      <c r="AZ22" s="13">
        <v>269.01815795898438</v>
      </c>
      <c r="BA22" s="13">
        <v>816.89715576171875</v>
      </c>
      <c r="BB22" s="13">
        <v>663.9254150390625</v>
      </c>
      <c r="BC22" s="13">
        <v>713.490234375</v>
      </c>
      <c r="BD22" s="13">
        <v>806.5738525390625</v>
      </c>
      <c r="BE22" s="13">
        <v>564.00994873046875</v>
      </c>
      <c r="BF22" s="13">
        <v>761.1375732421875</v>
      </c>
      <c r="BG22" s="13">
        <v>1395.6156005859375</v>
      </c>
      <c r="BH22" s="13">
        <v>1093.9197998046875</v>
      </c>
      <c r="BI22" s="13">
        <v>745.3687744140625</v>
      </c>
      <c r="BJ22" s="13">
        <v>600.0640869140625</v>
      </c>
      <c r="BK22" s="13">
        <v>319.36569213867188</v>
      </c>
      <c r="BL22" s="13">
        <v>862.7479248046875</v>
      </c>
      <c r="BM22" s="13">
        <v>887.97265625</v>
      </c>
      <c r="BN22" s="13">
        <v>788.47540283203125</v>
      </c>
      <c r="BO22" s="13">
        <v>634.606689453125</v>
      </c>
      <c r="BP22" s="13">
        <v>1433.91748046875</v>
      </c>
      <c r="BQ22" s="13"/>
      <c r="BR22" s="13"/>
    </row>
    <row r="23" spans="2:70" x14ac:dyDescent="0.2">
      <c r="B23">
        <v>1818</v>
      </c>
      <c r="C23" s="13">
        <v>752.43463134765625</v>
      </c>
      <c r="D23" s="13">
        <v>1447.6015625</v>
      </c>
      <c r="E23" s="13">
        <v>1662.818359375</v>
      </c>
      <c r="F23" s="13">
        <v>718.0814208984375</v>
      </c>
      <c r="G23" s="13">
        <v>697.534423828125</v>
      </c>
      <c r="H23" s="13">
        <v>620.53289794921875</v>
      </c>
      <c r="I23" s="13">
        <v>636.9947509765625</v>
      </c>
      <c r="J23" s="13">
        <v>720.3231201171875</v>
      </c>
      <c r="K23" s="13">
        <v>737.64874267578125</v>
      </c>
      <c r="L23" s="13">
        <v>1891.237060546875</v>
      </c>
      <c r="M23" s="13">
        <v>1701.1776123046875</v>
      </c>
      <c r="N23" s="13">
        <v>1824.7584228515625</v>
      </c>
      <c r="O23" s="13">
        <v>1200.6953125</v>
      </c>
      <c r="P23" s="13">
        <v>3225.140625</v>
      </c>
      <c r="Q23" s="13">
        <v>2115.855224609375</v>
      </c>
      <c r="R23" s="13">
        <v>2449.33251953125</v>
      </c>
      <c r="S23" s="13">
        <v>1673.63623046875</v>
      </c>
      <c r="T23" s="13">
        <v>1117.7034912109375</v>
      </c>
      <c r="U23" s="13">
        <v>1665.7906494140625</v>
      </c>
      <c r="V23" s="13">
        <v>675.71551513671875</v>
      </c>
      <c r="W23" s="13">
        <v>2133.048583984375</v>
      </c>
      <c r="X23" s="13">
        <v>1044.5457763671875</v>
      </c>
      <c r="Y23" s="13">
        <v>846.0152587890625</v>
      </c>
      <c r="Z23" s="13">
        <v>759.9508056640625</v>
      </c>
      <c r="AA23" s="13">
        <v>377.95785522460938</v>
      </c>
      <c r="AB23" s="13">
        <v>1036.7777099609375</v>
      </c>
      <c r="AC23" s="13">
        <v>716.586669921875</v>
      </c>
      <c r="AD23" s="13">
        <v>566.08099365234375</v>
      </c>
      <c r="AE23" s="13">
        <v>885.86370849609375</v>
      </c>
      <c r="AF23" s="13">
        <v>816.190673828125</v>
      </c>
      <c r="AG23" s="13">
        <v>426.07766723632812</v>
      </c>
      <c r="AH23" s="13">
        <v>492.770751953125</v>
      </c>
      <c r="AI23" s="13">
        <v>686.30767822265625</v>
      </c>
      <c r="AJ23" s="13">
        <v>863.93499755859375</v>
      </c>
      <c r="AK23" s="13">
        <v>539.89605712890625</v>
      </c>
      <c r="AL23" s="13">
        <v>528.049560546875</v>
      </c>
      <c r="AM23" s="13">
        <v>1281.5108642578125</v>
      </c>
      <c r="AN23" s="13">
        <v>658.416748046875</v>
      </c>
      <c r="AO23" s="13">
        <v>1101.9422607421875</v>
      </c>
      <c r="AP23" s="13">
        <v>915.877197265625</v>
      </c>
      <c r="AQ23" s="13">
        <v>634.31072998046875</v>
      </c>
      <c r="AR23" s="13">
        <v>516.507568359375</v>
      </c>
      <c r="AS23" s="13">
        <v>738.52880859375</v>
      </c>
      <c r="AT23" s="13">
        <v>678.87078857421875</v>
      </c>
      <c r="AU23" s="13">
        <v>667.12640380859375</v>
      </c>
      <c r="AV23" s="13">
        <v>694.4461669921875</v>
      </c>
      <c r="AW23" s="13">
        <v>396.2987060546875</v>
      </c>
      <c r="AX23" s="13">
        <v>333.30780029296875</v>
      </c>
      <c r="AY23" s="13">
        <v>1856.780029296875</v>
      </c>
      <c r="AZ23" s="13">
        <v>271.39743041992188</v>
      </c>
      <c r="BA23" s="13">
        <v>815.92535400390625</v>
      </c>
      <c r="BB23" s="13">
        <v>663.1356201171875</v>
      </c>
      <c r="BC23" s="13">
        <v>711.9549560546875</v>
      </c>
      <c r="BD23" s="13">
        <v>806.5555419921875</v>
      </c>
      <c r="BE23" s="13">
        <v>563.99713134765625</v>
      </c>
      <c r="BF23" s="13">
        <v>761.1202392578125</v>
      </c>
      <c r="BG23" s="13">
        <v>1392.971923828125</v>
      </c>
      <c r="BH23" s="13">
        <v>1090.8028564453125</v>
      </c>
      <c r="BI23" s="13">
        <v>741.73779296875</v>
      </c>
      <c r="BJ23" s="13">
        <v>585.7255859375</v>
      </c>
      <c r="BK23" s="13">
        <v>319.343994140625</v>
      </c>
      <c r="BL23" s="13">
        <v>860.2896728515625</v>
      </c>
      <c r="BM23" s="13">
        <v>887.86419677734375</v>
      </c>
      <c r="BN23" s="13">
        <v>788.421875</v>
      </c>
      <c r="BO23" s="13">
        <v>634.5780029296875</v>
      </c>
      <c r="BP23" s="13">
        <v>1426.1844482421875</v>
      </c>
      <c r="BQ23" s="13"/>
      <c r="BR23" s="13"/>
    </row>
    <row r="24" spans="2:70" x14ac:dyDescent="0.2">
      <c r="B24">
        <v>1819</v>
      </c>
      <c r="C24" s="13">
        <v>760.6307373046875</v>
      </c>
      <c r="D24" s="13">
        <v>1478.9447021484375</v>
      </c>
      <c r="E24" s="13">
        <v>1689.217041015625</v>
      </c>
      <c r="F24" s="13">
        <v>716.2425537109375</v>
      </c>
      <c r="G24" s="13">
        <v>701.067626953125</v>
      </c>
      <c r="H24" s="13">
        <v>608.31158447265625</v>
      </c>
      <c r="I24" s="13">
        <v>638.80865478515625</v>
      </c>
      <c r="J24" s="13">
        <v>718.92413330078125</v>
      </c>
      <c r="K24" s="13">
        <v>735.7503662109375</v>
      </c>
      <c r="L24" s="13">
        <v>1982.3375244140625</v>
      </c>
      <c r="M24" s="13">
        <v>1704.2650146484375</v>
      </c>
      <c r="N24" s="13">
        <v>1866.90869140625</v>
      </c>
      <c r="O24" s="13">
        <v>1266.711669921875</v>
      </c>
      <c r="P24" s="13">
        <v>3240.320556640625</v>
      </c>
      <c r="Q24" s="13">
        <v>2117.74072265625</v>
      </c>
      <c r="R24" s="13">
        <v>2334.981201171875</v>
      </c>
      <c r="S24" s="13">
        <v>1676.5865478515625</v>
      </c>
      <c r="T24" s="13">
        <v>1109.842041015625</v>
      </c>
      <c r="U24" s="13">
        <v>1702.82568359375</v>
      </c>
      <c r="V24" s="13">
        <v>690.70263671875</v>
      </c>
      <c r="W24" s="13">
        <v>2157.1064453125</v>
      </c>
      <c r="X24" s="13">
        <v>1047.1217041015625</v>
      </c>
      <c r="Y24" s="13">
        <v>846.01483154296875</v>
      </c>
      <c r="Z24" s="13">
        <v>759.95037841796875</v>
      </c>
      <c r="AA24" s="13">
        <v>382.62863159179688</v>
      </c>
      <c r="AB24" s="13">
        <v>1040.3919677734375</v>
      </c>
      <c r="AC24" s="13">
        <v>716.584716796875</v>
      </c>
      <c r="AD24" s="13">
        <v>543.2535400390625</v>
      </c>
      <c r="AE24" s="13">
        <v>919.4942626953125</v>
      </c>
      <c r="AF24" s="13">
        <v>812.92401123046875</v>
      </c>
      <c r="AG24" s="13">
        <v>426.24850463867188</v>
      </c>
      <c r="AH24" s="13">
        <v>495.373291015625</v>
      </c>
      <c r="AI24" s="13">
        <v>688.95391845703125</v>
      </c>
      <c r="AJ24" s="13">
        <v>867.71087646484375</v>
      </c>
      <c r="AK24" s="13">
        <v>542.25579833984375</v>
      </c>
      <c r="AL24" s="13">
        <v>529.405029296875</v>
      </c>
      <c r="AM24" s="13">
        <v>1297.1861572265625</v>
      </c>
      <c r="AN24" s="13">
        <v>661.805908203125</v>
      </c>
      <c r="AO24" s="13">
        <v>1107.4107666015625</v>
      </c>
      <c r="AP24" s="13">
        <v>916.548095703125</v>
      </c>
      <c r="AQ24" s="13">
        <v>634.77532958984375</v>
      </c>
      <c r="AR24" s="13">
        <v>516.88592529296875</v>
      </c>
      <c r="AS24" s="13">
        <v>739.10736083984375</v>
      </c>
      <c r="AT24" s="13">
        <v>679.36810302734375</v>
      </c>
      <c r="AU24" s="13">
        <v>667.61505126953125</v>
      </c>
      <c r="AV24" s="13">
        <v>694.954833984375</v>
      </c>
      <c r="AW24" s="13">
        <v>396.58901977539062</v>
      </c>
      <c r="AX24" s="13">
        <v>333.55194091796875</v>
      </c>
      <c r="AY24" s="13">
        <v>1605.6455078125</v>
      </c>
      <c r="AZ24" s="13">
        <v>266.3323974609375</v>
      </c>
      <c r="BA24" s="13">
        <v>818.25689697265625</v>
      </c>
      <c r="BB24" s="13">
        <v>665.030517578125</v>
      </c>
      <c r="BC24" s="13">
        <v>710.43878173828125</v>
      </c>
      <c r="BD24" s="13">
        <v>806.5550537109375</v>
      </c>
      <c r="BE24" s="13">
        <v>563.996826171875</v>
      </c>
      <c r="BF24" s="13">
        <v>761.11981201171875</v>
      </c>
      <c r="BG24" s="13">
        <v>1390.3857421875</v>
      </c>
      <c r="BH24" s="13">
        <v>1087.766845703125</v>
      </c>
      <c r="BI24" s="13">
        <v>738.1898193359375</v>
      </c>
      <c r="BJ24" s="13">
        <v>584.098388671875</v>
      </c>
      <c r="BK24" s="13">
        <v>319.343505859375</v>
      </c>
      <c r="BL24" s="13">
        <v>857.895263671875</v>
      </c>
      <c r="BM24" s="13">
        <v>884.13690185546875</v>
      </c>
      <c r="BN24" s="13">
        <v>788.42059326171875</v>
      </c>
      <c r="BO24" s="13">
        <v>634.577392578125</v>
      </c>
      <c r="BP24" s="13">
        <v>1420.80322265625</v>
      </c>
      <c r="BQ24" s="13"/>
      <c r="BR24" s="13"/>
    </row>
    <row r="25" spans="2:70" x14ac:dyDescent="0.2">
      <c r="B25">
        <v>1820</v>
      </c>
      <c r="C25" s="13">
        <v>778.5775146484375</v>
      </c>
      <c r="D25" s="13">
        <v>1552.4576416015625</v>
      </c>
      <c r="E25" s="13">
        <v>1717.6058349609375</v>
      </c>
      <c r="F25" s="13">
        <v>718.13983154296875</v>
      </c>
      <c r="G25" s="13">
        <v>704.51007080078125</v>
      </c>
      <c r="H25" s="13">
        <v>607.66644287109375</v>
      </c>
      <c r="I25" s="13">
        <v>637.970458984375</v>
      </c>
      <c r="J25" s="13">
        <v>716.9388427734375</v>
      </c>
      <c r="K25" s="13">
        <v>732.91192626953125</v>
      </c>
      <c r="L25" s="13">
        <v>2066.71728515625</v>
      </c>
      <c r="M25" s="13">
        <v>1707.2403564453125</v>
      </c>
      <c r="N25" s="13">
        <v>1869.7340087890625</v>
      </c>
      <c r="O25" s="13">
        <v>1404.878173828125</v>
      </c>
      <c r="P25" s="13">
        <v>3437.206298828125</v>
      </c>
      <c r="Q25" s="13">
        <v>2114.1494140625</v>
      </c>
      <c r="R25" s="13">
        <v>2574.63232421875</v>
      </c>
      <c r="S25" s="13">
        <v>1679.4024658203125</v>
      </c>
      <c r="T25" s="13">
        <v>1125.8026123046875</v>
      </c>
      <c r="U25" s="13">
        <v>1783.7672119140625</v>
      </c>
      <c r="V25" s="13">
        <v>723.50921630859375</v>
      </c>
      <c r="W25" s="13">
        <v>2183.848876953125</v>
      </c>
      <c r="X25" s="13">
        <v>1049.6494140625</v>
      </c>
      <c r="Y25" s="13">
        <v>845.970458984375</v>
      </c>
      <c r="Z25" s="13">
        <v>756.2813720703125</v>
      </c>
      <c r="AA25" s="13">
        <v>387.37921142578125</v>
      </c>
      <c r="AB25" s="13">
        <v>1043.91015625</v>
      </c>
      <c r="AC25" s="13">
        <v>694.2197265625</v>
      </c>
      <c r="AD25" s="13">
        <v>562.68939208984375</v>
      </c>
      <c r="AE25" s="13">
        <v>990.18939208984375</v>
      </c>
      <c r="AF25" s="13">
        <v>809.5860595703125</v>
      </c>
      <c r="AG25" s="13">
        <v>437.74899291992188</v>
      </c>
      <c r="AH25" s="13">
        <v>497.96392822265625</v>
      </c>
      <c r="AI25" s="13">
        <v>691.53924560546875</v>
      </c>
      <c r="AJ25" s="13">
        <v>871.27777099609375</v>
      </c>
      <c r="AK25" s="13">
        <v>544.4847412109375</v>
      </c>
      <c r="AL25" s="13">
        <v>530.70928955078125</v>
      </c>
      <c r="AM25" s="13">
        <v>1312.9857177734375</v>
      </c>
      <c r="AN25" s="13">
        <v>665.109619140625</v>
      </c>
      <c r="AO25" s="13">
        <v>1112.7064208984375</v>
      </c>
      <c r="AP25" s="13">
        <v>917.17230224609375</v>
      </c>
      <c r="AQ25" s="13">
        <v>635.2076416015625</v>
      </c>
      <c r="AR25" s="13">
        <v>517.2379150390625</v>
      </c>
      <c r="AS25" s="13">
        <v>739.623046875</v>
      </c>
      <c r="AT25" s="13">
        <v>679.83074951171875</v>
      </c>
      <c r="AU25" s="13">
        <v>668.06976318359375</v>
      </c>
      <c r="AV25" s="13">
        <v>695.42816162109375</v>
      </c>
      <c r="AW25" s="13">
        <v>396.85910034179688</v>
      </c>
      <c r="AX25" s="13">
        <v>333.77911376953125</v>
      </c>
      <c r="AY25" s="13">
        <v>1586.7789306640625</v>
      </c>
      <c r="AZ25" s="13">
        <v>266.08587646484375</v>
      </c>
      <c r="BA25" s="13">
        <v>817.19110107421875</v>
      </c>
      <c r="BB25" s="13">
        <v>664.164306640625</v>
      </c>
      <c r="BC25" s="13">
        <v>708.30865478515625</v>
      </c>
      <c r="BD25" s="13">
        <v>805.85247802734375</v>
      </c>
      <c r="BE25" s="13">
        <v>563.96722412109375</v>
      </c>
      <c r="BF25" s="13">
        <v>761.07989501953125</v>
      </c>
      <c r="BG25" s="13">
        <v>1387.6636962890625</v>
      </c>
      <c r="BH25" s="13">
        <v>1084.5714111328125</v>
      </c>
      <c r="BI25" s="13">
        <v>734.5069580078125</v>
      </c>
      <c r="BJ25" s="13">
        <v>575.95361328125</v>
      </c>
      <c r="BK25" s="13">
        <v>319.29354858398438</v>
      </c>
      <c r="BL25" s="13">
        <v>855.37518310546875</v>
      </c>
      <c r="BM25" s="13">
        <v>884.05865478515625</v>
      </c>
      <c r="BN25" s="13">
        <v>788.29730224609375</v>
      </c>
      <c r="BO25" s="13">
        <v>634.51129150390625</v>
      </c>
      <c r="BP25" s="13">
        <v>1414.082763671875</v>
      </c>
      <c r="BQ25" s="13"/>
      <c r="BR25" s="13"/>
    </row>
    <row r="26" spans="2:70" x14ac:dyDescent="0.2">
      <c r="B26">
        <v>1821</v>
      </c>
      <c r="C26" s="13">
        <v>798.1171875</v>
      </c>
      <c r="D26" s="13">
        <v>1631.7191162109375</v>
      </c>
      <c r="E26" s="13">
        <v>1709.3653564453125</v>
      </c>
      <c r="F26" s="13">
        <v>722.84930419921875</v>
      </c>
      <c r="G26" s="13">
        <v>708.82952880859375</v>
      </c>
      <c r="H26" s="13">
        <v>622.409912109375</v>
      </c>
      <c r="I26" s="13">
        <v>638.392333984375</v>
      </c>
      <c r="J26" s="13">
        <v>714.4639892578125</v>
      </c>
      <c r="K26" s="13">
        <v>731.38714599609375</v>
      </c>
      <c r="L26" s="13">
        <v>2086.557373046875</v>
      </c>
      <c r="M26" s="13">
        <v>1768.6722412109375</v>
      </c>
      <c r="N26" s="13">
        <v>1894.070556640625</v>
      </c>
      <c r="O26" s="13">
        <v>1628.57958984375</v>
      </c>
      <c r="P26" s="13">
        <v>3604.9443359375</v>
      </c>
      <c r="Q26" s="13">
        <v>2113.343994140625</v>
      </c>
      <c r="R26" s="13">
        <v>2530.201904296875</v>
      </c>
      <c r="S26" s="13">
        <v>1686.1771240234375</v>
      </c>
      <c r="T26" s="13">
        <v>1154.8912353515625</v>
      </c>
      <c r="U26" s="13">
        <v>1874.563232421875</v>
      </c>
      <c r="V26" s="13">
        <v>760.2601318359375</v>
      </c>
      <c r="W26" s="13">
        <v>2162.6220703125</v>
      </c>
      <c r="X26" s="13">
        <v>1060.2303466796875</v>
      </c>
      <c r="Y26" s="13">
        <v>854.1116943359375</v>
      </c>
      <c r="Z26" s="13">
        <v>776.501708984375</v>
      </c>
      <c r="AA26" s="13">
        <v>384.3372802734375</v>
      </c>
      <c r="AB26" s="13">
        <v>1051.6676025390625</v>
      </c>
      <c r="AC26" s="13">
        <v>693.337890625</v>
      </c>
      <c r="AD26" s="13">
        <v>557.8526611328125</v>
      </c>
      <c r="AE26" s="13">
        <v>1047.1759033203125</v>
      </c>
      <c r="AF26" s="13">
        <v>810.7188720703125</v>
      </c>
      <c r="AG26" s="13">
        <v>439.13424682617188</v>
      </c>
      <c r="AH26" s="13">
        <v>498.3260498046875</v>
      </c>
      <c r="AI26" s="13">
        <v>702.1302490234375</v>
      </c>
      <c r="AJ26" s="13">
        <v>877.65625</v>
      </c>
      <c r="AK26" s="13">
        <v>545.91851806640625</v>
      </c>
      <c r="AL26" s="13">
        <v>533.514404296875</v>
      </c>
      <c r="AM26" s="13">
        <v>1315.2872314453125</v>
      </c>
      <c r="AN26" s="13">
        <v>669.77740478515625</v>
      </c>
      <c r="AO26" s="13">
        <v>1119.92431640625</v>
      </c>
      <c r="AP26" s="13">
        <v>917.7891845703125</v>
      </c>
      <c r="AQ26" s="13">
        <v>635.63494873046875</v>
      </c>
      <c r="AR26" s="13">
        <v>517.5858154296875</v>
      </c>
      <c r="AS26" s="13">
        <v>740.15447998046875</v>
      </c>
      <c r="AT26" s="13">
        <v>680.28802490234375</v>
      </c>
      <c r="AU26" s="13">
        <v>668.51910400390625</v>
      </c>
      <c r="AV26" s="13">
        <v>695.89593505859375</v>
      </c>
      <c r="AW26" s="13">
        <v>397.12600708007812</v>
      </c>
      <c r="AX26" s="13">
        <v>334.0035400390625</v>
      </c>
      <c r="AY26" s="13">
        <v>1873.7218017578125</v>
      </c>
      <c r="AZ26" s="13">
        <v>272.24658203125</v>
      </c>
      <c r="BA26" s="13">
        <v>817.7396240234375</v>
      </c>
      <c r="BB26" s="13">
        <v>664.610107421875</v>
      </c>
      <c r="BC26" s="13">
        <v>705.30279541015625</v>
      </c>
      <c r="BD26" s="13">
        <v>808.11041259765625</v>
      </c>
      <c r="BE26" s="13">
        <v>563.9959716796875</v>
      </c>
      <c r="BF26" s="13">
        <v>761.06494140625</v>
      </c>
      <c r="BG26" s="13">
        <v>1382.7569580078125</v>
      </c>
      <c r="BH26" s="13">
        <v>1081.3577880859375</v>
      </c>
      <c r="BI26" s="13">
        <v>730.8175048828125</v>
      </c>
      <c r="BJ26" s="13">
        <v>582.63226318359375</v>
      </c>
      <c r="BK26" s="13">
        <v>319.23544311523438</v>
      </c>
      <c r="BL26" s="13">
        <v>852.840576171875</v>
      </c>
      <c r="BM26" s="13">
        <v>885.261962890625</v>
      </c>
      <c r="BN26" s="13">
        <v>789.162109375</v>
      </c>
      <c r="BO26" s="13">
        <v>633.89471435546875</v>
      </c>
      <c r="BP26" s="13">
        <v>1409.605224609375</v>
      </c>
      <c r="BQ26" s="13"/>
      <c r="BR26" s="13"/>
    </row>
    <row r="27" spans="2:70" x14ac:dyDescent="0.2">
      <c r="B27">
        <v>1822</v>
      </c>
      <c r="C27" s="13">
        <v>800.40252685546875</v>
      </c>
      <c r="D27" s="13">
        <v>1634.1116943359375</v>
      </c>
      <c r="E27" s="13">
        <v>1699.97119140625</v>
      </c>
      <c r="F27" s="13">
        <v>728.00311279296875</v>
      </c>
      <c r="G27" s="13">
        <v>712.984619140625</v>
      </c>
      <c r="H27" s="13">
        <v>616.37713623046875</v>
      </c>
      <c r="I27" s="13">
        <v>638.66656494140625</v>
      </c>
      <c r="J27" s="13">
        <v>712.35150146484375</v>
      </c>
      <c r="K27" s="13">
        <v>731.0416259765625</v>
      </c>
      <c r="L27" s="13">
        <v>2071.260009765625</v>
      </c>
      <c r="M27" s="13">
        <v>1777.805908203125</v>
      </c>
      <c r="N27" s="13">
        <v>1904.8641357421875</v>
      </c>
      <c r="O27" s="13">
        <v>1567.5516357421875</v>
      </c>
      <c r="P27" s="13">
        <v>3720.404052734375</v>
      </c>
      <c r="Q27" s="13">
        <v>2113.20849609375</v>
      </c>
      <c r="R27" s="13">
        <v>2521.383544921875</v>
      </c>
      <c r="S27" s="13">
        <v>1692.7823486328125</v>
      </c>
      <c r="T27" s="13">
        <v>1160.7274169921875</v>
      </c>
      <c r="U27" s="13">
        <v>1874.3194580078125</v>
      </c>
      <c r="V27" s="13">
        <v>760.1046142578125</v>
      </c>
      <c r="W27" s="13">
        <v>2139.423095703125</v>
      </c>
      <c r="X27" s="13">
        <v>1070.8353271484375</v>
      </c>
      <c r="Y27" s="13">
        <v>878.5692138671875</v>
      </c>
      <c r="Z27" s="13">
        <v>797.0684814453125</v>
      </c>
      <c r="AA27" s="13">
        <v>381.36001586914062</v>
      </c>
      <c r="AB27" s="13">
        <v>1059.3192138671875</v>
      </c>
      <c r="AC27" s="13">
        <v>691.34454345703125</v>
      </c>
      <c r="AD27" s="13">
        <v>604.1671142578125</v>
      </c>
      <c r="AE27" s="13">
        <v>1085.0794677734375</v>
      </c>
      <c r="AF27" s="13">
        <v>811.72796630859375</v>
      </c>
      <c r="AG27" s="13">
        <v>438.8177490234375</v>
      </c>
      <c r="AH27" s="13">
        <v>498.65042114257812</v>
      </c>
      <c r="AI27" s="13">
        <v>712.774658203125</v>
      </c>
      <c r="AJ27" s="13">
        <v>883.74188232421875</v>
      </c>
      <c r="AK27" s="13">
        <v>547.14581298828125</v>
      </c>
      <c r="AL27" s="13">
        <v>536.25250244140625</v>
      </c>
      <c r="AM27" s="13">
        <v>1317.492431640625</v>
      </c>
      <c r="AN27" s="13">
        <v>674.32318115234375</v>
      </c>
      <c r="AO27" s="13">
        <v>1126.8992919921875</v>
      </c>
      <c r="AP27" s="13">
        <v>918.33648681640625</v>
      </c>
      <c r="AQ27" s="13">
        <v>636.0140380859375</v>
      </c>
      <c r="AR27" s="13">
        <v>517.89453125</v>
      </c>
      <c r="AS27" s="13">
        <v>740.59844970703125</v>
      </c>
      <c r="AT27" s="13">
        <v>680.6937255859375</v>
      </c>
      <c r="AU27" s="13">
        <v>668.91778564453125</v>
      </c>
      <c r="AV27" s="13">
        <v>696.3109130859375</v>
      </c>
      <c r="AW27" s="13">
        <v>397.36285400390625</v>
      </c>
      <c r="AX27" s="13">
        <v>334.20278930664062</v>
      </c>
      <c r="AY27" s="13">
        <v>1747.705322265625</v>
      </c>
      <c r="AZ27" s="13">
        <v>269.760498046875</v>
      </c>
      <c r="BA27" s="13">
        <v>818.0987548828125</v>
      </c>
      <c r="BB27" s="13">
        <v>664.9019775390625</v>
      </c>
      <c r="BC27" s="13">
        <v>702.23388671875</v>
      </c>
      <c r="BD27" s="13">
        <v>810.28717041015625</v>
      </c>
      <c r="BE27" s="13">
        <v>563.98138427734375</v>
      </c>
      <c r="BF27" s="13">
        <v>760.99139404296875</v>
      </c>
      <c r="BG27" s="13">
        <v>1377.9005126953125</v>
      </c>
      <c r="BH27" s="13">
        <v>1077.9061279296875</v>
      </c>
      <c r="BI27" s="13">
        <v>731.03704833984375</v>
      </c>
      <c r="BJ27" s="13">
        <v>580.595703125</v>
      </c>
      <c r="BK27" s="13">
        <v>319.10415649414062</v>
      </c>
      <c r="BL27" s="13">
        <v>850.118408203125</v>
      </c>
      <c r="BM27" s="13">
        <v>883.03466796875</v>
      </c>
      <c r="BN27" s="13">
        <v>789.8465576171875</v>
      </c>
      <c r="BO27" s="13">
        <v>633.18206787109375</v>
      </c>
      <c r="BP27" s="13">
        <v>1408.8638916015625</v>
      </c>
      <c r="BQ27" s="13"/>
      <c r="BR27" s="13"/>
    </row>
    <row r="28" spans="2:70" x14ac:dyDescent="0.2">
      <c r="B28">
        <v>1823</v>
      </c>
      <c r="C28" s="13">
        <v>800.17852783203125</v>
      </c>
      <c r="D28" s="13">
        <v>1629.8052978515625</v>
      </c>
      <c r="E28" s="13">
        <v>1690.5972900390625</v>
      </c>
      <c r="F28" s="13">
        <v>729.61962890625</v>
      </c>
      <c r="G28" s="13">
        <v>717.19366455078125</v>
      </c>
      <c r="H28" s="13">
        <v>616.44659423828125</v>
      </c>
      <c r="I28" s="13">
        <v>638.9473876953125</v>
      </c>
      <c r="J28" s="13">
        <v>709.7625732421875</v>
      </c>
      <c r="K28" s="13">
        <v>730.92315673828125</v>
      </c>
      <c r="L28" s="13">
        <v>2054.1474609375</v>
      </c>
      <c r="M28" s="13">
        <v>1752.4857177734375</v>
      </c>
      <c r="N28" s="13">
        <v>1944.2088623046875</v>
      </c>
      <c r="O28" s="13">
        <v>1590.6700439453125</v>
      </c>
      <c r="P28" s="13">
        <v>3626.080322265625</v>
      </c>
      <c r="Q28" s="13">
        <v>2112.195068359375</v>
      </c>
      <c r="R28" s="13">
        <v>2672.593994140625</v>
      </c>
      <c r="S28" s="13">
        <v>1699.4320068359375</v>
      </c>
      <c r="T28" s="13">
        <v>1148.796630859375</v>
      </c>
      <c r="U28" s="13">
        <v>1869.831298828125</v>
      </c>
      <c r="V28" s="13">
        <v>758.22705078125</v>
      </c>
      <c r="W28" s="13">
        <v>2116.59375</v>
      </c>
      <c r="X28" s="13">
        <v>1081.550048828125</v>
      </c>
      <c r="Y28" s="13">
        <v>907.1181640625</v>
      </c>
      <c r="Z28" s="13">
        <v>818.1988525390625</v>
      </c>
      <c r="AA28" s="13">
        <v>378.35931396484375</v>
      </c>
      <c r="AB28" s="13">
        <v>1067.0335693359375</v>
      </c>
      <c r="AC28" s="13">
        <v>689.3985595703125</v>
      </c>
      <c r="AD28" s="13">
        <v>623.70343017578125</v>
      </c>
      <c r="AE28" s="13">
        <v>1090.193603515625</v>
      </c>
      <c r="AF28" s="13">
        <v>812.74365234375</v>
      </c>
      <c r="AG28" s="13">
        <v>436.010986328125</v>
      </c>
      <c r="AH28" s="13">
        <v>498.97662353515625</v>
      </c>
      <c r="AI28" s="13">
        <v>723.58514404296875</v>
      </c>
      <c r="AJ28" s="13">
        <v>889.88385009765625</v>
      </c>
      <c r="AK28" s="13">
        <v>548.38458251953125</v>
      </c>
      <c r="AL28" s="13">
        <v>539.008056640625</v>
      </c>
      <c r="AM28" s="13">
        <v>1319.70556640625</v>
      </c>
      <c r="AN28" s="13">
        <v>678.90625</v>
      </c>
      <c r="AO28" s="13">
        <v>1133.9423828125</v>
      </c>
      <c r="AP28" s="13">
        <v>918.88714599609375</v>
      </c>
      <c r="AQ28" s="13">
        <v>636.3953857421875</v>
      </c>
      <c r="AR28" s="13">
        <v>518.20501708984375</v>
      </c>
      <c r="AS28" s="13">
        <v>741.0518798828125</v>
      </c>
      <c r="AT28" s="13">
        <v>681.10186767578125</v>
      </c>
      <c r="AU28" s="13">
        <v>669.31884765625</v>
      </c>
      <c r="AV28" s="13">
        <v>696.7283935546875</v>
      </c>
      <c r="AW28" s="13">
        <v>397.60110473632812</v>
      </c>
      <c r="AX28" s="13">
        <v>334.40310668945312</v>
      </c>
      <c r="AY28" s="13">
        <v>1742.92333984375</v>
      </c>
      <c r="AZ28" s="13">
        <v>269.81106567382812</v>
      </c>
      <c r="BA28" s="13">
        <v>818.466064453125</v>
      </c>
      <c r="BB28" s="13">
        <v>665.200439453125</v>
      </c>
      <c r="BC28" s="13">
        <v>699.18157958984375</v>
      </c>
      <c r="BD28" s="13">
        <v>812.4736328125</v>
      </c>
      <c r="BE28" s="13">
        <v>563.96856689453125</v>
      </c>
      <c r="BF28" s="13">
        <v>760.9202880859375</v>
      </c>
      <c r="BG28" s="13">
        <v>1372.7945556640625</v>
      </c>
      <c r="BH28" s="13">
        <v>1074.47607421875</v>
      </c>
      <c r="BI28" s="13">
        <v>731.26605224609375</v>
      </c>
      <c r="BJ28" s="13">
        <v>581.3558349609375</v>
      </c>
      <c r="BK28" s="13">
        <v>318.97592163085938</v>
      </c>
      <c r="BL28" s="13">
        <v>847.41314697265625</v>
      </c>
      <c r="BM28" s="13">
        <v>884.09173583984375</v>
      </c>
      <c r="BN28" s="13">
        <v>790.5391845703125</v>
      </c>
      <c r="BO28" s="13">
        <v>632.4742431640625</v>
      </c>
      <c r="BP28" s="13">
        <v>1408.497802734375</v>
      </c>
      <c r="BQ28" s="13"/>
      <c r="BR28" s="13"/>
    </row>
    <row r="29" spans="2:70" x14ac:dyDescent="0.2">
      <c r="B29">
        <v>1824</v>
      </c>
      <c r="C29" s="13">
        <v>798.05181884765625</v>
      </c>
      <c r="D29" s="13">
        <v>1622.04443359375</v>
      </c>
      <c r="E29" s="13">
        <v>1682.47216796875</v>
      </c>
      <c r="F29" s="13">
        <v>729.8646240234375</v>
      </c>
      <c r="G29" s="13">
        <v>721.5782470703125</v>
      </c>
      <c r="H29" s="13">
        <v>616.537109375</v>
      </c>
      <c r="I29" s="13">
        <v>639.33544921875</v>
      </c>
      <c r="J29" s="13">
        <v>706.86474609375</v>
      </c>
      <c r="K29" s="13">
        <v>727.78375244140625</v>
      </c>
      <c r="L29" s="13">
        <v>2161.8701171875</v>
      </c>
      <c r="M29" s="13">
        <v>1779.4019775390625</v>
      </c>
      <c r="N29" s="13">
        <v>1960.997314453125</v>
      </c>
      <c r="O29" s="13">
        <v>1560.0970458984375</v>
      </c>
      <c r="P29" s="13">
        <v>3487.073486328125</v>
      </c>
      <c r="Q29" s="13">
        <v>2121.989013671875</v>
      </c>
      <c r="R29" s="13">
        <v>2644.738525390625</v>
      </c>
      <c r="S29" s="13">
        <v>1706.254638671875</v>
      </c>
      <c r="T29" s="13">
        <v>1179.188232421875</v>
      </c>
      <c r="U29" s="13">
        <v>1861.7877197265625</v>
      </c>
      <c r="V29" s="13">
        <v>754.89703369140625</v>
      </c>
      <c r="W29" s="13">
        <v>2095.421142578125</v>
      </c>
      <c r="X29" s="13">
        <v>1092.4327392578125</v>
      </c>
      <c r="Y29" s="13">
        <v>958.23419189453125</v>
      </c>
      <c r="Z29" s="13">
        <v>840.04083251953125</v>
      </c>
      <c r="AA29" s="13">
        <v>375.48626708984375</v>
      </c>
      <c r="AB29" s="13">
        <v>1074.923828125</v>
      </c>
      <c r="AC29" s="13">
        <v>688.25677490234375</v>
      </c>
      <c r="AD29" s="13">
        <v>604.4027099609375</v>
      </c>
      <c r="AE29" s="13">
        <v>1086.0048828125</v>
      </c>
      <c r="AF29" s="13">
        <v>813.85137939453125</v>
      </c>
      <c r="AG29" s="13">
        <v>433.17398071289062</v>
      </c>
      <c r="AH29" s="13">
        <v>499.33056640625</v>
      </c>
      <c r="AI29" s="13">
        <v>734.640625</v>
      </c>
      <c r="AJ29" s="13">
        <v>896.31756591796875</v>
      </c>
      <c r="AK29" s="13">
        <v>549.77880859375</v>
      </c>
      <c r="AL29" s="13">
        <v>541.83770751953125</v>
      </c>
      <c r="AM29" s="13">
        <v>1321.9952392578125</v>
      </c>
      <c r="AN29" s="13">
        <v>683.634033203125</v>
      </c>
      <c r="AO29" s="13">
        <v>1141.2667236328125</v>
      </c>
      <c r="AP29" s="13">
        <v>919.48876953125</v>
      </c>
      <c r="AQ29" s="13">
        <v>636.81201171875</v>
      </c>
      <c r="AR29" s="13">
        <v>518.5443115234375</v>
      </c>
      <c r="AS29" s="13">
        <v>741.56573486328125</v>
      </c>
      <c r="AT29" s="13">
        <v>681.5478515625</v>
      </c>
      <c r="AU29" s="13">
        <v>669.757080078125</v>
      </c>
      <c r="AV29" s="13">
        <v>697.18463134765625</v>
      </c>
      <c r="AW29" s="13">
        <v>397.86141967773438</v>
      </c>
      <c r="AX29" s="13">
        <v>334.6220703125</v>
      </c>
      <c r="AY29" s="13">
        <v>1738.3466796875</v>
      </c>
      <c r="AZ29" s="13">
        <v>269.8765869140625</v>
      </c>
      <c r="BA29" s="13">
        <v>818.97076416015625</v>
      </c>
      <c r="BB29" s="13">
        <v>665.6107177734375</v>
      </c>
      <c r="BC29" s="13">
        <v>696.19677734375</v>
      </c>
      <c r="BD29" s="13">
        <v>814.72955322265625</v>
      </c>
      <c r="BE29" s="13">
        <v>563.98712158203125</v>
      </c>
      <c r="BF29" s="13">
        <v>760.8916015625</v>
      </c>
      <c r="BG29" s="13">
        <v>1367.6131591796875</v>
      </c>
      <c r="BH29" s="13">
        <v>1071.2344970703125</v>
      </c>
      <c r="BI29" s="13">
        <v>731.65728759765625</v>
      </c>
      <c r="BJ29" s="13">
        <v>551.83245849609375</v>
      </c>
      <c r="BK29" s="13">
        <v>318.90072631835938</v>
      </c>
      <c r="BL29" s="13">
        <v>844.85662841796875</v>
      </c>
      <c r="BM29" s="13">
        <v>885.19873046875</v>
      </c>
      <c r="BN29" s="13">
        <v>791.36376953125</v>
      </c>
      <c r="BO29" s="13">
        <v>631.8370361328125</v>
      </c>
      <c r="BP29" s="13">
        <v>1403.3306884765625</v>
      </c>
      <c r="BQ29" s="13"/>
      <c r="BR29" s="13"/>
    </row>
    <row r="30" spans="2:70" x14ac:dyDescent="0.2">
      <c r="B30">
        <v>1825</v>
      </c>
      <c r="C30" s="13">
        <v>790.53680419921875</v>
      </c>
      <c r="D30" s="13">
        <v>1586.15966796875</v>
      </c>
      <c r="E30" s="13">
        <v>1672.8963623046875</v>
      </c>
      <c r="F30" s="13">
        <v>733.7257080078125</v>
      </c>
      <c r="G30" s="13">
        <v>725.82305908203125</v>
      </c>
      <c r="H30" s="13">
        <v>616.60009765625</v>
      </c>
      <c r="I30" s="13">
        <v>637.92156982421875</v>
      </c>
      <c r="J30" s="13">
        <v>704.13568115234375</v>
      </c>
      <c r="K30" s="13">
        <v>729.1058349609375</v>
      </c>
      <c r="L30" s="13">
        <v>2167.587158203125</v>
      </c>
      <c r="M30" s="13">
        <v>1770.8699951171875</v>
      </c>
      <c r="N30" s="13">
        <v>1767.1605224609375</v>
      </c>
      <c r="O30" s="13">
        <v>1553.8363037109375</v>
      </c>
      <c r="P30" s="13">
        <v>3327.0146484375</v>
      </c>
      <c r="Q30" s="13">
        <v>2129.830078125</v>
      </c>
      <c r="R30" s="13">
        <v>2573.66650390625</v>
      </c>
      <c r="S30" s="13">
        <v>1712.9481201171875</v>
      </c>
      <c r="T30" s="13">
        <v>1208.96240234375</v>
      </c>
      <c r="U30" s="13">
        <v>1818.997314453125</v>
      </c>
      <c r="V30" s="13">
        <v>737.4923095703125</v>
      </c>
      <c r="W30" s="13">
        <v>2072.485107421875</v>
      </c>
      <c r="X30" s="13">
        <v>1103.3524169921875</v>
      </c>
      <c r="Y30" s="13">
        <v>1005.1813354492188</v>
      </c>
      <c r="Z30" s="13">
        <v>862.3006591796875</v>
      </c>
      <c r="AA30" s="13">
        <v>372.48248291015625</v>
      </c>
      <c r="AB30" s="13">
        <v>1082.729736328125</v>
      </c>
      <c r="AC30" s="13">
        <v>686.16534423828125</v>
      </c>
      <c r="AD30" s="13">
        <v>693.6607666015625</v>
      </c>
      <c r="AE30" s="13">
        <v>1069.705322265625</v>
      </c>
      <c r="AF30" s="13">
        <v>814.85321044921875</v>
      </c>
      <c r="AG30" s="13">
        <v>431.195068359375</v>
      </c>
      <c r="AH30" s="13">
        <v>499.65225219726562</v>
      </c>
      <c r="AI30" s="13">
        <v>745.7677001953125</v>
      </c>
      <c r="AJ30" s="13">
        <v>902.50079345703125</v>
      </c>
      <c r="AK30" s="13">
        <v>550.995361328125</v>
      </c>
      <c r="AL30" s="13">
        <v>544.61102294921875</v>
      </c>
      <c r="AM30" s="13">
        <v>1324.2027587890625</v>
      </c>
      <c r="AN30" s="13">
        <v>688.259521484375</v>
      </c>
      <c r="AO30" s="13">
        <v>1148.3876953125</v>
      </c>
      <c r="AP30" s="13">
        <v>920.03094482421875</v>
      </c>
      <c r="AQ30" s="13">
        <v>637.1875</v>
      </c>
      <c r="AR30" s="13">
        <v>518.85003662109375</v>
      </c>
      <c r="AS30" s="13">
        <v>742.01507568359375</v>
      </c>
      <c r="AT30" s="13">
        <v>681.94964599609375</v>
      </c>
      <c r="AU30" s="13">
        <v>670.1519775390625</v>
      </c>
      <c r="AV30" s="13">
        <v>697.595703125</v>
      </c>
      <c r="AW30" s="13">
        <v>398.09600830078125</v>
      </c>
      <c r="AX30" s="13">
        <v>334.8193359375</v>
      </c>
      <c r="AY30" s="13">
        <v>1733.5555419921875</v>
      </c>
      <c r="AZ30" s="13">
        <v>269.924560546875</v>
      </c>
      <c r="BA30" s="13">
        <v>817.167236328125</v>
      </c>
      <c r="BB30" s="13">
        <v>664.1448974609375</v>
      </c>
      <c r="BC30" s="13">
        <v>693.160888671875</v>
      </c>
      <c r="BD30" s="13">
        <v>816.91632080078125</v>
      </c>
      <c r="BE30" s="13">
        <v>563.9686279296875</v>
      </c>
      <c r="BF30" s="13">
        <v>760.8128662109375</v>
      </c>
      <c r="BG30" s="13">
        <v>1362.3895263671875</v>
      </c>
      <c r="BH30" s="13">
        <v>1067.7930908203125</v>
      </c>
      <c r="BI30" s="13">
        <v>731.856689453125</v>
      </c>
      <c r="BJ30" s="13">
        <v>567.13507080078125</v>
      </c>
      <c r="BK30" s="13">
        <v>318.762939453125</v>
      </c>
      <c r="BL30" s="13">
        <v>842.14251708984375</v>
      </c>
      <c r="BM30" s="13">
        <v>883.96435546875</v>
      </c>
      <c r="BN30" s="13">
        <v>792.03375244140625</v>
      </c>
      <c r="BO30" s="13">
        <v>631.1180419921875</v>
      </c>
      <c r="BP30" s="13">
        <v>1405.3265380859375</v>
      </c>
      <c r="BQ30" s="13"/>
      <c r="BR30" s="13"/>
    </row>
    <row r="31" spans="2:70" x14ac:dyDescent="0.2">
      <c r="B31">
        <v>1826</v>
      </c>
      <c r="C31" s="13">
        <v>791.5654296875</v>
      </c>
      <c r="D31" s="13">
        <v>1580.7916259765625</v>
      </c>
      <c r="E31" s="13">
        <v>1665.2484130859375</v>
      </c>
      <c r="F31" s="13">
        <v>735.2337646484375</v>
      </c>
      <c r="G31" s="13">
        <v>730.52880859375</v>
      </c>
      <c r="H31" s="13">
        <v>620.60675048828125</v>
      </c>
      <c r="I31" s="13">
        <v>638.52239990234375</v>
      </c>
      <c r="J31" s="13">
        <v>702.038330078125</v>
      </c>
      <c r="K31" s="13">
        <v>732.833251953125</v>
      </c>
      <c r="L31" s="13">
        <v>2171.73291015625</v>
      </c>
      <c r="M31" s="13">
        <v>1773.6390380859375</v>
      </c>
      <c r="N31" s="13">
        <v>1904.627685546875</v>
      </c>
      <c r="O31" s="13">
        <v>1545.1610107421875</v>
      </c>
      <c r="P31" s="13">
        <v>3212.74267578125</v>
      </c>
      <c r="Q31" s="13">
        <v>2126.576171875</v>
      </c>
      <c r="R31" s="13">
        <v>2653.84228515625</v>
      </c>
      <c r="S31" s="13">
        <v>1720.0771484375</v>
      </c>
      <c r="T31" s="13">
        <v>1218.498779296875</v>
      </c>
      <c r="U31" s="13">
        <v>1816.7513427734375</v>
      </c>
      <c r="V31" s="13">
        <v>736.49560546875</v>
      </c>
      <c r="W31" s="13">
        <v>2051.83349609375</v>
      </c>
      <c r="X31" s="13">
        <v>1114.569091796875</v>
      </c>
      <c r="Y31" s="13">
        <v>1022.6068725585938</v>
      </c>
      <c r="Z31" s="13">
        <v>885.5916748046875</v>
      </c>
      <c r="AA31" s="13">
        <v>369.5452880859375</v>
      </c>
      <c r="AB31" s="13">
        <v>1090.9610595703125</v>
      </c>
      <c r="AC31" s="13">
        <v>686.5081787109375</v>
      </c>
      <c r="AD31" s="13">
        <v>613.54473876953125</v>
      </c>
      <c r="AE31" s="13">
        <v>1054.415283203125</v>
      </c>
      <c r="AF31" s="13">
        <v>816.1319580078125</v>
      </c>
      <c r="AG31" s="13">
        <v>442.238525390625</v>
      </c>
      <c r="AH31" s="13">
        <v>500.05752563476562</v>
      </c>
      <c r="AI31" s="13">
        <v>757.31658935546875</v>
      </c>
      <c r="AJ31" s="13">
        <v>909.49273681640625</v>
      </c>
      <c r="AK31" s="13">
        <v>552.68017578125</v>
      </c>
      <c r="AL31" s="13">
        <v>547.58172607421875</v>
      </c>
      <c r="AM31" s="13">
        <v>1326.6351318359375</v>
      </c>
      <c r="AN31" s="13">
        <v>693.26495361328125</v>
      </c>
      <c r="AO31" s="13">
        <v>1156.2535400390625</v>
      </c>
      <c r="AP31" s="13">
        <v>920.7269287109375</v>
      </c>
      <c r="AQ31" s="13">
        <v>637.6695556640625</v>
      </c>
      <c r="AR31" s="13">
        <v>519.24261474609375</v>
      </c>
      <c r="AS31" s="13">
        <v>742.6328125</v>
      </c>
      <c r="AT31" s="13">
        <v>682.465576171875</v>
      </c>
      <c r="AU31" s="13">
        <v>670.65899658203125</v>
      </c>
      <c r="AV31" s="13">
        <v>698.1234130859375</v>
      </c>
      <c r="AW31" s="13">
        <v>398.39718627929688</v>
      </c>
      <c r="AX31" s="13">
        <v>335.07266235351562</v>
      </c>
      <c r="AY31" s="13">
        <v>1805.2518310546875</v>
      </c>
      <c r="AZ31" s="13">
        <v>271.62271118164062</v>
      </c>
      <c r="BA31" s="13">
        <v>817.94439697265625</v>
      </c>
      <c r="BB31" s="13">
        <v>664.7764892578125</v>
      </c>
      <c r="BC31" s="13">
        <v>690.30126953125</v>
      </c>
      <c r="BD31" s="13">
        <v>819.30255126953125</v>
      </c>
      <c r="BE31" s="13">
        <v>564.04522705078125</v>
      </c>
      <c r="BF31" s="13">
        <v>760.86248779296875</v>
      </c>
      <c r="BG31" s="13">
        <v>1357.9373779296875</v>
      </c>
      <c r="BH31" s="13">
        <v>1064.8983154296875</v>
      </c>
      <c r="BI31" s="13">
        <v>732.548583984375</v>
      </c>
      <c r="BJ31" s="13">
        <v>601.2227783203125</v>
      </c>
      <c r="BK31" s="13">
        <v>318.78549194335938</v>
      </c>
      <c r="BL31" s="13">
        <v>839.8594970703125</v>
      </c>
      <c r="BM31" s="13">
        <v>885.18218994140625</v>
      </c>
      <c r="BN31" s="13">
        <v>793.10308837890625</v>
      </c>
      <c r="BO31" s="13">
        <v>630.61077880859375</v>
      </c>
      <c r="BP31" s="13">
        <v>1411.03759765625</v>
      </c>
      <c r="BQ31" s="13"/>
      <c r="BR31" s="13"/>
    </row>
    <row r="32" spans="2:70" x14ac:dyDescent="0.2">
      <c r="B32">
        <v>1827</v>
      </c>
      <c r="C32" s="13">
        <v>787.60498046875</v>
      </c>
      <c r="D32" s="13">
        <v>1559.97265625</v>
      </c>
      <c r="E32" s="13">
        <v>1656.4627685546875</v>
      </c>
      <c r="F32" s="13">
        <v>737.6566162109375</v>
      </c>
      <c r="G32" s="13">
        <v>735.14971923828125</v>
      </c>
      <c r="H32" s="13">
        <v>620.73834228515625</v>
      </c>
      <c r="I32" s="13">
        <v>638.99664306640625</v>
      </c>
      <c r="J32" s="13">
        <v>699.61444091796875</v>
      </c>
      <c r="K32" s="13">
        <v>733.3907470703125</v>
      </c>
      <c r="L32" s="13">
        <v>2126.750244140625</v>
      </c>
      <c r="M32" s="13">
        <v>1807.4083251953125</v>
      </c>
      <c r="N32" s="13">
        <v>1940.32568359375</v>
      </c>
      <c r="O32" s="13">
        <v>1490.3214111328125</v>
      </c>
      <c r="P32" s="13">
        <v>3157.471435546875</v>
      </c>
      <c r="Q32" s="13">
        <v>2120.530029296875</v>
      </c>
      <c r="R32" s="13">
        <v>2810.815673828125</v>
      </c>
      <c r="S32" s="13">
        <v>1727.111572265625</v>
      </c>
      <c r="T32" s="13">
        <v>1159.0469970703125</v>
      </c>
      <c r="U32" s="13">
        <v>1793.4757080078125</v>
      </c>
      <c r="V32" s="13">
        <v>726.98162841796875</v>
      </c>
      <c r="W32" s="13">
        <v>2029.7320556640625</v>
      </c>
      <c r="X32" s="13">
        <v>1125.8441162109375</v>
      </c>
      <c r="Y32" s="13">
        <v>1054.312255859375</v>
      </c>
      <c r="Z32" s="13">
        <v>909.37481689453125</v>
      </c>
      <c r="AA32" s="13">
        <v>366.50482177734375</v>
      </c>
      <c r="AB32" s="13">
        <v>1099.1458740234375</v>
      </c>
      <c r="AC32" s="13">
        <v>686.1365966796875</v>
      </c>
      <c r="AD32" s="13">
        <v>607.765625</v>
      </c>
      <c r="AE32" s="13">
        <v>1043.3131103515625</v>
      </c>
      <c r="AF32" s="13">
        <v>817.33172607421875</v>
      </c>
      <c r="AG32" s="13">
        <v>441.38809204101562</v>
      </c>
      <c r="AH32" s="13">
        <v>500.43862915039062</v>
      </c>
      <c r="AI32" s="13">
        <v>768.96881103515625</v>
      </c>
      <c r="AJ32" s="13">
        <v>916.312255859375</v>
      </c>
      <c r="AK32" s="13">
        <v>554.23297119140625</v>
      </c>
      <c r="AL32" s="13">
        <v>550.5145263671875</v>
      </c>
      <c r="AM32" s="13">
        <v>1329.007080078125</v>
      </c>
      <c r="AN32" s="13">
        <v>698.20379638671875</v>
      </c>
      <c r="AO32" s="13">
        <v>1163.98388671875</v>
      </c>
      <c r="AP32" s="13">
        <v>921.37841796875</v>
      </c>
      <c r="AQ32" s="13">
        <v>638.1207275390625</v>
      </c>
      <c r="AR32" s="13">
        <v>519.6099853515625</v>
      </c>
      <c r="AS32" s="13">
        <v>743.20330810546875</v>
      </c>
      <c r="AT32" s="13">
        <v>682.948486328125</v>
      </c>
      <c r="AU32" s="13">
        <v>671.13348388671875</v>
      </c>
      <c r="AV32" s="13">
        <v>698.61737060546875</v>
      </c>
      <c r="AW32" s="13">
        <v>398.67904663085938</v>
      </c>
      <c r="AX32" s="13">
        <v>335.30975341796875</v>
      </c>
      <c r="AY32" s="13">
        <v>1800.701904296875</v>
      </c>
      <c r="AZ32" s="13">
        <v>271.70193481445312</v>
      </c>
      <c r="BA32" s="13">
        <v>818.5589599609375</v>
      </c>
      <c r="BB32" s="13">
        <v>665.27606201171875</v>
      </c>
      <c r="BC32" s="13">
        <v>687.40576171875</v>
      </c>
      <c r="BD32" s="13">
        <v>821.6387939453125</v>
      </c>
      <c r="BE32" s="13">
        <v>564.09393310546875</v>
      </c>
      <c r="BF32" s="13">
        <v>760.87432861328125</v>
      </c>
      <c r="BG32" s="13">
        <v>1353.18896484375</v>
      </c>
      <c r="BH32" s="13">
        <v>1061.854736328125</v>
      </c>
      <c r="BI32" s="13">
        <v>733.0963134765625</v>
      </c>
      <c r="BJ32" s="13">
        <v>605.95123291015625</v>
      </c>
      <c r="BK32" s="13">
        <v>318.76104736328125</v>
      </c>
      <c r="BL32" s="13">
        <v>837.45904541015625</v>
      </c>
      <c r="BM32" s="13">
        <v>886.314697265625</v>
      </c>
      <c r="BN32" s="13">
        <v>794.056640625</v>
      </c>
      <c r="BO32" s="13">
        <v>630.0419921875</v>
      </c>
      <c r="BP32" s="13">
        <v>1411.723388671875</v>
      </c>
      <c r="BQ32" s="13"/>
      <c r="BR32" s="13"/>
    </row>
    <row r="33" spans="2:70" x14ac:dyDescent="0.2">
      <c r="B33">
        <v>1828</v>
      </c>
      <c r="C33" s="13">
        <v>780.3314208984375</v>
      </c>
      <c r="D33" s="13">
        <v>1532.205322265625</v>
      </c>
      <c r="E33" s="13">
        <v>1589.4576416015625</v>
      </c>
      <c r="F33" s="13">
        <v>739.7115478515625</v>
      </c>
      <c r="G33" s="13">
        <v>739.94879150390625</v>
      </c>
      <c r="H33" s="13">
        <v>620.90777587890625</v>
      </c>
      <c r="I33" s="13">
        <v>639.61163330078125</v>
      </c>
      <c r="J33" s="13">
        <v>697.28369140625</v>
      </c>
      <c r="K33" s="13">
        <v>732.38604736328125</v>
      </c>
      <c r="L33" s="13">
        <v>2072.249755859375</v>
      </c>
      <c r="M33" s="13">
        <v>1818.62939453125</v>
      </c>
      <c r="N33" s="13">
        <v>1928.70458984375</v>
      </c>
      <c r="O33" s="13">
        <v>1348.87158203125</v>
      </c>
      <c r="P33" s="13">
        <v>3228.008544921875</v>
      </c>
      <c r="Q33" s="13">
        <v>2115.54248046875</v>
      </c>
      <c r="R33" s="13">
        <v>2831.86865234375</v>
      </c>
      <c r="S33" s="13">
        <v>1734.29541015625</v>
      </c>
      <c r="T33" s="13">
        <v>1178.79296875</v>
      </c>
      <c r="U33" s="13">
        <v>1760.6197509765625</v>
      </c>
      <c r="V33" s="13">
        <v>713.56793212890625</v>
      </c>
      <c r="W33" s="13">
        <v>1932.99658203125</v>
      </c>
      <c r="X33" s="13">
        <v>1137.294921875</v>
      </c>
      <c r="Y33" s="13">
        <v>1081.9805908203125</v>
      </c>
      <c r="Z33" s="13">
        <v>933.93267822265625</v>
      </c>
      <c r="AA33" s="13">
        <v>350.253662109375</v>
      </c>
      <c r="AB33" s="13">
        <v>1107.5126953125</v>
      </c>
      <c r="AC33" s="13">
        <v>686.54901123046875</v>
      </c>
      <c r="AD33" s="13">
        <v>578.508544921875</v>
      </c>
      <c r="AE33" s="13">
        <v>1051.0694580078125</v>
      </c>
      <c r="AF33" s="13">
        <v>818.62237548828125</v>
      </c>
      <c r="AG33" s="13">
        <v>442.07119750976562</v>
      </c>
      <c r="AH33" s="13">
        <v>500.846923828125</v>
      </c>
      <c r="AI33" s="13">
        <v>780.88446044921875</v>
      </c>
      <c r="AJ33" s="13">
        <v>923.4334716796875</v>
      </c>
      <c r="AK33" s="13">
        <v>555.94097900390625</v>
      </c>
      <c r="AL33" s="13">
        <v>553.522705078125</v>
      </c>
      <c r="AM33" s="13">
        <v>1331.4547119140625</v>
      </c>
      <c r="AN33" s="13">
        <v>703.29168701171875</v>
      </c>
      <c r="AO33" s="13">
        <v>1172.00537109375</v>
      </c>
      <c r="AP33" s="13">
        <v>922.07989501953125</v>
      </c>
      <c r="AQ33" s="13">
        <v>638.60650634765625</v>
      </c>
      <c r="AR33" s="13">
        <v>520.00555419921875</v>
      </c>
      <c r="AS33" s="13">
        <v>743.8358154296875</v>
      </c>
      <c r="AT33" s="13">
        <v>683.46844482421875</v>
      </c>
      <c r="AU33" s="13">
        <v>671.64447021484375</v>
      </c>
      <c r="AV33" s="13">
        <v>699.14923095703125</v>
      </c>
      <c r="AW33" s="13">
        <v>398.98260498046875</v>
      </c>
      <c r="AX33" s="13">
        <v>335.56503295898438</v>
      </c>
      <c r="AY33" s="13">
        <v>1796.3568115234375</v>
      </c>
      <c r="AZ33" s="13">
        <v>271.79580688476562</v>
      </c>
      <c r="BA33" s="13">
        <v>819.35345458984375</v>
      </c>
      <c r="BB33" s="13">
        <v>665.92169189453125</v>
      </c>
      <c r="BC33" s="13">
        <v>684.5745849609375</v>
      </c>
      <c r="BD33" s="13">
        <v>824.04443359375</v>
      </c>
      <c r="BE33" s="13">
        <v>564.1732177734375</v>
      </c>
      <c r="BF33" s="13">
        <v>760.92755126953125</v>
      </c>
      <c r="BG33" s="13">
        <v>1348.618896484375</v>
      </c>
      <c r="BH33" s="13">
        <v>1058.9912109375</v>
      </c>
      <c r="BI33" s="13">
        <v>733.80340576171875</v>
      </c>
      <c r="BJ33" s="13">
        <v>594.99530029296875</v>
      </c>
      <c r="BK33" s="13">
        <v>318.7882080078125</v>
      </c>
      <c r="BL33" s="13">
        <v>835.20068359375</v>
      </c>
      <c r="BM33" s="13">
        <v>887.5443115234375</v>
      </c>
      <c r="BN33" s="13">
        <v>793.1004638671875</v>
      </c>
      <c r="BO33" s="13">
        <v>629.54168701171875</v>
      </c>
      <c r="BP33" s="13">
        <v>1409.9820556640625</v>
      </c>
      <c r="BQ33" s="13"/>
      <c r="BR33" s="13"/>
    </row>
    <row r="34" spans="2:70" x14ac:dyDescent="0.2">
      <c r="B34">
        <v>1829</v>
      </c>
      <c r="C34" s="13">
        <v>784.178955078125</v>
      </c>
      <c r="D34" s="13">
        <v>1543.6141357421875</v>
      </c>
      <c r="E34" s="13">
        <v>1606.2178955078125</v>
      </c>
      <c r="F34" s="13">
        <v>742.540771484375</v>
      </c>
      <c r="G34" s="13">
        <v>744.70697021484375</v>
      </c>
      <c r="H34" s="13">
        <v>623.0343017578125</v>
      </c>
      <c r="I34" s="13">
        <v>640.15625</v>
      </c>
      <c r="J34" s="13">
        <v>694.9381103515625</v>
      </c>
      <c r="K34" s="13">
        <v>730.74102783203125</v>
      </c>
      <c r="L34" s="13">
        <v>2095.771240234375</v>
      </c>
      <c r="M34" s="13">
        <v>1774.2972412109375</v>
      </c>
      <c r="N34" s="13">
        <v>1963.7100830078125</v>
      </c>
      <c r="O34" s="13">
        <v>1390.54736328125</v>
      </c>
      <c r="P34" s="13">
        <v>3199.569091796875</v>
      </c>
      <c r="Q34" s="13">
        <v>2109.597900390625</v>
      </c>
      <c r="R34" s="13">
        <v>2871.071044921875</v>
      </c>
      <c r="S34" s="13">
        <v>1741.438720703125</v>
      </c>
      <c r="T34" s="13">
        <v>1195.82470703125</v>
      </c>
      <c r="U34" s="13">
        <v>1774.6051025390625</v>
      </c>
      <c r="V34" s="13">
        <v>719.142578125</v>
      </c>
      <c r="W34" s="13">
        <v>1944.529541015625</v>
      </c>
      <c r="X34" s="13">
        <v>1148.83056640625</v>
      </c>
      <c r="Y34" s="13">
        <v>1140.328857421875</v>
      </c>
      <c r="Z34" s="13">
        <v>959.07244873046875</v>
      </c>
      <c r="AA34" s="13">
        <v>353.24465942382812</v>
      </c>
      <c r="AB34" s="13">
        <v>1115.881591796875</v>
      </c>
      <c r="AC34" s="13">
        <v>686.56390380859375</v>
      </c>
      <c r="AD34" s="13">
        <v>583.55706787109375</v>
      </c>
      <c r="AE34" s="13">
        <v>1048.81640625</v>
      </c>
      <c r="AF34" s="13">
        <v>819.8697509765625</v>
      </c>
      <c r="AG34" s="13">
        <v>442.64761352539062</v>
      </c>
      <c r="AH34" s="13">
        <v>501.241943359375</v>
      </c>
      <c r="AI34" s="13">
        <v>792.94146728515625</v>
      </c>
      <c r="AJ34" s="13">
        <v>930.48199462890625</v>
      </c>
      <c r="AK34" s="13">
        <v>557.57763671875</v>
      </c>
      <c r="AL34" s="13">
        <v>556.51690673828125</v>
      </c>
      <c r="AM34" s="13">
        <v>1333.8704833984375</v>
      </c>
      <c r="AN34" s="13">
        <v>708.35845947265625</v>
      </c>
      <c r="AO34" s="13">
        <v>1179.98388671875</v>
      </c>
      <c r="AP34" s="13">
        <v>922.75677490234375</v>
      </c>
      <c r="AQ34" s="13">
        <v>639.0753173828125</v>
      </c>
      <c r="AR34" s="13">
        <v>520.38726806640625</v>
      </c>
      <c r="AS34" s="13">
        <v>744.44256591796875</v>
      </c>
      <c r="AT34" s="13">
        <v>683.9700927734375</v>
      </c>
      <c r="AU34" s="13">
        <v>672.137451171875</v>
      </c>
      <c r="AV34" s="13">
        <v>699.6624755859375</v>
      </c>
      <c r="AW34" s="13">
        <v>399.27545166015625</v>
      </c>
      <c r="AX34" s="13">
        <v>335.81134033203125</v>
      </c>
      <c r="AY34" s="13">
        <v>1830.61669921875</v>
      </c>
      <c r="AZ34" s="13">
        <v>272.70574951171875</v>
      </c>
      <c r="BA34" s="13">
        <v>820.0576171875</v>
      </c>
      <c r="BB34" s="13">
        <v>666.4940185546875</v>
      </c>
      <c r="BC34" s="13">
        <v>681.7286376953125</v>
      </c>
      <c r="BD34" s="13">
        <v>826.4251708984375</v>
      </c>
      <c r="BE34" s="13">
        <v>564.23699951171875</v>
      </c>
      <c r="BF34" s="13">
        <v>760.9598388671875</v>
      </c>
      <c r="BG34" s="13">
        <v>1343.990966796875</v>
      </c>
      <c r="BH34" s="13">
        <v>1056.0487060546875</v>
      </c>
      <c r="BI34" s="13">
        <v>734.43060302734375</v>
      </c>
      <c r="BJ34" s="13">
        <v>578.35687255859375</v>
      </c>
      <c r="BK34" s="13">
        <v>318.7891845703125</v>
      </c>
      <c r="BL34" s="13">
        <v>832.8800048828125</v>
      </c>
      <c r="BM34" s="13">
        <v>888.72705078125</v>
      </c>
      <c r="BN34" s="13">
        <v>794.1182861328125</v>
      </c>
      <c r="BO34" s="13">
        <v>629.00732421875</v>
      </c>
      <c r="BP34" s="13">
        <v>1407.1859130859375</v>
      </c>
      <c r="BQ34" s="13"/>
      <c r="BR34" s="13"/>
    </row>
    <row r="35" spans="2:70" x14ac:dyDescent="0.2">
      <c r="B35">
        <v>1830</v>
      </c>
      <c r="C35" s="13">
        <v>783.935546875</v>
      </c>
      <c r="D35" s="13">
        <v>1527.7481689453125</v>
      </c>
      <c r="E35" s="13">
        <v>1721.4736328125</v>
      </c>
      <c r="F35" s="13">
        <v>741.7880859375</v>
      </c>
      <c r="G35" s="13">
        <v>749.61431884765625</v>
      </c>
      <c r="H35" s="13">
        <v>623.2105712890625</v>
      </c>
      <c r="I35" s="13">
        <v>640.808837890625</v>
      </c>
      <c r="J35" s="13">
        <v>692.65460205078125</v>
      </c>
      <c r="K35" s="13">
        <v>730.28515625</v>
      </c>
      <c r="L35" s="13">
        <v>2068.67236328125</v>
      </c>
      <c r="M35" s="13">
        <v>1783.0733642578125</v>
      </c>
      <c r="N35" s="13">
        <v>1987.1392822265625</v>
      </c>
      <c r="O35" s="13">
        <v>1354.96630859375</v>
      </c>
      <c r="P35" s="13">
        <v>3182.504638671875</v>
      </c>
      <c r="Q35" s="13">
        <v>2107.36865234375</v>
      </c>
      <c r="R35" s="13">
        <v>2592.055419921875</v>
      </c>
      <c r="S35" s="13">
        <v>1748.6978759765625</v>
      </c>
      <c r="T35" s="13">
        <v>1166.9788818359375</v>
      </c>
      <c r="U35" s="13">
        <v>1757.8822021484375</v>
      </c>
      <c r="V35" s="13">
        <v>712.24835205078125</v>
      </c>
      <c r="W35" s="13">
        <v>2078.02490234375</v>
      </c>
      <c r="X35" s="13">
        <v>1160.531494140625</v>
      </c>
      <c r="Y35" s="13">
        <v>1384.0128173828125</v>
      </c>
      <c r="Z35" s="13">
        <v>984.99078369140625</v>
      </c>
      <c r="AA35" s="13">
        <v>377.00906372070312</v>
      </c>
      <c r="AB35" s="13">
        <v>1115.8338623046875</v>
      </c>
      <c r="AC35" s="13">
        <v>650.57281494140625</v>
      </c>
      <c r="AD35" s="13">
        <v>573.74176025390625</v>
      </c>
      <c r="AE35" s="13">
        <v>1050.385498046875</v>
      </c>
      <c r="AF35" s="13">
        <v>821.1876220703125</v>
      </c>
      <c r="AG35" s="13">
        <v>444.1182861328125</v>
      </c>
      <c r="AH35" s="13">
        <v>501.65786743164062</v>
      </c>
      <c r="AI35" s="13">
        <v>805.25115966796875</v>
      </c>
      <c r="AJ35" s="13">
        <v>937.77935791015625</v>
      </c>
      <c r="AK35" s="13">
        <v>559.33538818359375</v>
      </c>
      <c r="AL35" s="13">
        <v>559.57354736328125</v>
      </c>
      <c r="AM35" s="13">
        <v>1336.345703125</v>
      </c>
      <c r="AN35" s="13">
        <v>713.55035400390625</v>
      </c>
      <c r="AO35" s="13">
        <v>1188.2059326171875</v>
      </c>
      <c r="AP35" s="13">
        <v>923.47216796875</v>
      </c>
      <c r="AQ35" s="13">
        <v>639.57073974609375</v>
      </c>
      <c r="AR35" s="13">
        <v>520.79071044921875</v>
      </c>
      <c r="AS35" s="13">
        <v>745.1064453125</v>
      </c>
      <c r="AT35" s="13">
        <v>684.5003662109375</v>
      </c>
      <c r="AU35" s="13">
        <v>672.6585693359375</v>
      </c>
      <c r="AV35" s="13">
        <v>700.20489501953125</v>
      </c>
      <c r="AW35" s="13">
        <v>399.58502197265625</v>
      </c>
      <c r="AX35" s="13">
        <v>336.07168579101562</v>
      </c>
      <c r="AY35" s="13">
        <v>1826.2506103515625</v>
      </c>
      <c r="AZ35" s="13">
        <v>272.80316162109375</v>
      </c>
      <c r="BA35" s="13">
        <v>820.90008544921875</v>
      </c>
      <c r="BB35" s="13">
        <v>667.17877197265625</v>
      </c>
      <c r="BC35" s="13">
        <v>678.9342041015625</v>
      </c>
      <c r="BD35" s="13">
        <v>828.8612060546875</v>
      </c>
      <c r="BE35" s="13">
        <v>564.3243408203125</v>
      </c>
      <c r="BF35" s="13">
        <v>761.02374267578125</v>
      </c>
      <c r="BG35" s="13">
        <v>1339.5096435546875</v>
      </c>
      <c r="BH35" s="13">
        <v>1053.2452392578125</v>
      </c>
      <c r="BI35" s="13">
        <v>735.18035888671875</v>
      </c>
      <c r="BJ35" s="13">
        <v>570.231201171875</v>
      </c>
      <c r="BK35" s="13">
        <v>318.82977294921875</v>
      </c>
      <c r="BL35" s="13">
        <v>830.6689453125</v>
      </c>
      <c r="BM35" s="13">
        <v>889.98486328125</v>
      </c>
      <c r="BN35" s="13">
        <v>795.26947021484375</v>
      </c>
      <c r="BO35" s="13">
        <v>628.52532958984375</v>
      </c>
      <c r="BP35" s="13">
        <v>1406.095703125</v>
      </c>
      <c r="BQ35" s="13"/>
      <c r="BR35" s="13"/>
    </row>
    <row r="36" spans="2:70" x14ac:dyDescent="0.2">
      <c r="B36">
        <v>1831</v>
      </c>
      <c r="C36" s="13">
        <v>789.01593017578125</v>
      </c>
      <c r="D36" s="13">
        <v>1542.2900390625</v>
      </c>
      <c r="E36" s="13">
        <v>1740.87841796875</v>
      </c>
      <c r="F36" s="13">
        <v>746.590087890625</v>
      </c>
      <c r="G36" s="13">
        <v>756.8931884765625</v>
      </c>
      <c r="H36" s="13">
        <v>615.095947265625</v>
      </c>
      <c r="I36" s="13">
        <v>639.89935302734375</v>
      </c>
      <c r="J36" s="13">
        <v>693.13397216796875</v>
      </c>
      <c r="K36" s="13">
        <v>729.859130859375</v>
      </c>
      <c r="L36" s="13">
        <v>2049.96826171875</v>
      </c>
      <c r="M36" s="13">
        <v>1767.537353515625</v>
      </c>
      <c r="N36" s="13">
        <v>1979.427001953125</v>
      </c>
      <c r="O36" s="13">
        <v>1364.0235595703125</v>
      </c>
      <c r="P36" s="13">
        <v>3275.438720703125</v>
      </c>
      <c r="Q36" s="13">
        <v>2106.1240234375</v>
      </c>
      <c r="R36" s="13">
        <v>2603.36865234375</v>
      </c>
      <c r="S36" s="13">
        <v>1644.5589599609375</v>
      </c>
      <c r="T36" s="13">
        <v>1191.9432373046875</v>
      </c>
      <c r="U36" s="13">
        <v>1774.36572265625</v>
      </c>
      <c r="V36" s="13">
        <v>718.78515625</v>
      </c>
      <c r="W36" s="13">
        <v>2094.11669921875</v>
      </c>
      <c r="X36" s="13">
        <v>1178.140380859375</v>
      </c>
      <c r="Y36" s="13">
        <v>1431.183837890625</v>
      </c>
      <c r="Z36" s="13">
        <v>1011.63671875</v>
      </c>
      <c r="AA36" s="13">
        <v>379.376708984375</v>
      </c>
      <c r="AB36" s="13">
        <v>1124.588134765625</v>
      </c>
      <c r="AC36" s="13">
        <v>652.22479248046875</v>
      </c>
      <c r="AD36" s="13">
        <v>594.8994140625</v>
      </c>
      <c r="AE36" s="13">
        <v>1066.6151123046875</v>
      </c>
      <c r="AF36" s="13">
        <v>822.5316162109375</v>
      </c>
      <c r="AG36" s="13">
        <v>460.24508666992188</v>
      </c>
      <c r="AH36" s="13">
        <v>502.0814208984375</v>
      </c>
      <c r="AI36" s="13">
        <v>817.7755126953125</v>
      </c>
      <c r="AJ36" s="13">
        <v>945.20263671875</v>
      </c>
      <c r="AK36" s="13">
        <v>561.13946533203125</v>
      </c>
      <c r="AL36" s="13">
        <v>562.6632080078125</v>
      </c>
      <c r="AM36" s="13">
        <v>1338.8447265625</v>
      </c>
      <c r="AN36" s="13">
        <v>718.8115234375</v>
      </c>
      <c r="AO36" s="13">
        <v>1196.184814453125</v>
      </c>
      <c r="AP36" s="13">
        <v>924.201416015625</v>
      </c>
      <c r="AQ36" s="13">
        <v>640.0758056640625</v>
      </c>
      <c r="AR36" s="13">
        <v>521.20196533203125</v>
      </c>
      <c r="AS36" s="13">
        <v>745.8023681640625</v>
      </c>
      <c r="AT36" s="13">
        <v>685.0408935546875</v>
      </c>
      <c r="AU36" s="13">
        <v>673.18975830078125</v>
      </c>
      <c r="AV36" s="13">
        <v>700.75787353515625</v>
      </c>
      <c r="AW36" s="13">
        <v>399.90054321289062</v>
      </c>
      <c r="AX36" s="13">
        <v>336.33706665039062</v>
      </c>
      <c r="AY36" s="13">
        <v>1658.8248291015625</v>
      </c>
      <c r="AZ36" s="13">
        <v>269.43490600585938</v>
      </c>
      <c r="BA36" s="13">
        <v>819.74005126953125</v>
      </c>
      <c r="BB36" s="13">
        <v>666.23590087890625</v>
      </c>
      <c r="BC36" s="13">
        <v>679.22906494140625</v>
      </c>
      <c r="BD36" s="13">
        <v>831.32122802734375</v>
      </c>
      <c r="BE36" s="13">
        <v>564.41986083984375</v>
      </c>
      <c r="BF36" s="13">
        <v>761.0987548828125</v>
      </c>
      <c r="BG36" s="13">
        <v>1340.4412841796875</v>
      </c>
      <c r="BH36" s="13">
        <v>1050.494873046875</v>
      </c>
      <c r="BI36" s="13">
        <v>735.9735107421875</v>
      </c>
      <c r="BJ36" s="13">
        <v>562.8597412109375</v>
      </c>
      <c r="BK36" s="13">
        <v>318.88421630859375</v>
      </c>
      <c r="BL36" s="13">
        <v>828.49969482421875</v>
      </c>
      <c r="BM36" s="13">
        <v>889.07940673828125</v>
      </c>
      <c r="BN36" s="13">
        <v>796.46844482421875</v>
      </c>
      <c r="BO36" s="13">
        <v>626.51800537109375</v>
      </c>
      <c r="BP36" s="13">
        <v>1405.18505859375</v>
      </c>
      <c r="BQ36" s="13"/>
      <c r="BR36" s="13"/>
    </row>
    <row r="37" spans="2:70" x14ac:dyDescent="0.2">
      <c r="B37">
        <v>1832</v>
      </c>
      <c r="C37" s="13">
        <v>804.7001953125</v>
      </c>
      <c r="D37" s="13">
        <v>1594.719970703125</v>
      </c>
      <c r="E37" s="13">
        <v>1823.3753662109375</v>
      </c>
      <c r="F37" s="13">
        <v>744.13079833984375</v>
      </c>
      <c r="G37" s="13">
        <v>761.60308837890625</v>
      </c>
      <c r="H37" s="13">
        <v>615.26495361328125</v>
      </c>
      <c r="I37" s="13">
        <v>640.17498779296875</v>
      </c>
      <c r="J37" s="13">
        <v>693.4539794921875</v>
      </c>
      <c r="K37" s="13">
        <v>729.8629150390625</v>
      </c>
      <c r="L37" s="13">
        <v>2094.49609375</v>
      </c>
      <c r="M37" s="13">
        <v>1815.4876708984375</v>
      </c>
      <c r="N37" s="13">
        <v>1855.3988037109375</v>
      </c>
      <c r="O37" s="13">
        <v>1502.8984375</v>
      </c>
      <c r="P37" s="13">
        <v>3428.622802734375</v>
      </c>
      <c r="Q37" s="13">
        <v>2102.564453125</v>
      </c>
      <c r="R37" s="13">
        <v>2775.072021484375</v>
      </c>
      <c r="S37" s="13">
        <v>1690.61474609375</v>
      </c>
      <c r="T37" s="13">
        <v>1161.332763671875</v>
      </c>
      <c r="U37" s="13">
        <v>1830.8587646484375</v>
      </c>
      <c r="V37" s="13">
        <v>741.60955810546875</v>
      </c>
      <c r="W37" s="13">
        <v>2190.55859375</v>
      </c>
      <c r="X37" s="13">
        <v>1195.84912109375</v>
      </c>
      <c r="Y37" s="13">
        <v>1461.775146484375</v>
      </c>
      <c r="Z37" s="13">
        <v>1038.623046875</v>
      </c>
      <c r="AA37" s="13">
        <v>396.60696411132812</v>
      </c>
      <c r="AB37" s="13">
        <v>1132.6104736328125</v>
      </c>
      <c r="AC37" s="13">
        <v>649.8365478515625</v>
      </c>
      <c r="AD37" s="13">
        <v>605.82562255859375</v>
      </c>
      <c r="AE37" s="13">
        <v>1091.60400390625</v>
      </c>
      <c r="AF37" s="13">
        <v>823.64666748046875</v>
      </c>
      <c r="AG37" s="13">
        <v>460.83868408203125</v>
      </c>
      <c r="AH37" s="13">
        <v>502.43576049804688</v>
      </c>
      <c r="AI37" s="13">
        <v>830.26416015625</v>
      </c>
      <c r="AJ37" s="13">
        <v>952.01885986328125</v>
      </c>
      <c r="AK37" s="13">
        <v>562.55584716796875</v>
      </c>
      <c r="AL37" s="13">
        <v>565.61285400390625</v>
      </c>
      <c r="AM37" s="13">
        <v>1341.162841796875</v>
      </c>
      <c r="AN37" s="13">
        <v>723.80926513671875</v>
      </c>
      <c r="AO37" s="13">
        <v>1204.0233154296875</v>
      </c>
      <c r="AP37" s="13">
        <v>924.80316162109375</v>
      </c>
      <c r="AQ37" s="13">
        <v>640.49261474609375</v>
      </c>
      <c r="AR37" s="13">
        <v>521.54132080078125</v>
      </c>
      <c r="AS37" s="13">
        <v>746.30645751953125</v>
      </c>
      <c r="AT37" s="13">
        <v>685.48699951171875</v>
      </c>
      <c r="AU37" s="13">
        <v>673.62811279296875</v>
      </c>
      <c r="AV37" s="13">
        <v>701.214111328125</v>
      </c>
      <c r="AW37" s="13">
        <v>400.16094970703125</v>
      </c>
      <c r="AX37" s="13">
        <v>336.55615234375</v>
      </c>
      <c r="AY37" s="13">
        <v>1654.456787109375</v>
      </c>
      <c r="AZ37" s="13">
        <v>269.5159912109375</v>
      </c>
      <c r="BA37" s="13">
        <v>820.0985107421875</v>
      </c>
      <c r="BB37" s="13">
        <v>666.5272216796875</v>
      </c>
      <c r="BC37" s="13">
        <v>679.3907470703125</v>
      </c>
      <c r="BD37" s="13">
        <v>833.625244140625</v>
      </c>
      <c r="BE37" s="13">
        <v>564.4364013671875</v>
      </c>
      <c r="BF37" s="13">
        <v>761.06732177734375</v>
      </c>
      <c r="BG37" s="13">
        <v>1340.98388671875</v>
      </c>
      <c r="BH37" s="13">
        <v>1047.314208984375</v>
      </c>
      <c r="BI37" s="13">
        <v>735.65289306640625</v>
      </c>
      <c r="BJ37" s="13">
        <v>562.48480224609375</v>
      </c>
      <c r="BK37" s="13">
        <v>318.80551147460938</v>
      </c>
      <c r="BL37" s="13">
        <v>825.99127197265625</v>
      </c>
      <c r="BM37" s="13">
        <v>890.042724609375</v>
      </c>
      <c r="BN37" s="13">
        <v>797.22430419921875</v>
      </c>
      <c r="BO37" s="13">
        <v>625.83050537109375</v>
      </c>
      <c r="BP37" s="13">
        <v>1403.853515625</v>
      </c>
      <c r="BQ37" s="13"/>
      <c r="BR37" s="13"/>
    </row>
    <row r="38" spans="2:70" x14ac:dyDescent="0.2">
      <c r="B38">
        <v>1833</v>
      </c>
      <c r="C38" s="13">
        <v>815.42523193359375</v>
      </c>
      <c r="D38" s="13">
        <v>1633.0908203125</v>
      </c>
      <c r="E38" s="13">
        <v>1830.107177734375</v>
      </c>
      <c r="F38" s="13">
        <v>743.89306640625</v>
      </c>
      <c r="G38" s="13">
        <v>766.22943115234375</v>
      </c>
      <c r="H38" s="13">
        <v>615.41595458984375</v>
      </c>
      <c r="I38" s="13">
        <v>640.30059814453125</v>
      </c>
      <c r="J38" s="13">
        <v>693.6820068359375</v>
      </c>
      <c r="K38" s="13">
        <v>731.77276611328125</v>
      </c>
      <c r="L38" s="13">
        <v>2163.78564453125</v>
      </c>
      <c r="M38" s="13">
        <v>1791.7767333984375</v>
      </c>
      <c r="N38" s="13">
        <v>1900.492919921875</v>
      </c>
      <c r="O38" s="13">
        <v>1528.7161865234375</v>
      </c>
      <c r="P38" s="13">
        <v>3553.385009765625</v>
      </c>
      <c r="Q38" s="13">
        <v>2107.71533203125</v>
      </c>
      <c r="R38" s="13">
        <v>2766.403564453125</v>
      </c>
      <c r="S38" s="13">
        <v>1830.0166015625</v>
      </c>
      <c r="T38" s="13">
        <v>1196.3453369140625</v>
      </c>
      <c r="U38" s="13">
        <v>1872.609619140625</v>
      </c>
      <c r="V38" s="13">
        <v>758.48907470703125</v>
      </c>
      <c r="W38" s="13">
        <v>2191.310302734375</v>
      </c>
      <c r="X38" s="13">
        <v>1213.767822265625</v>
      </c>
      <c r="Y38" s="13">
        <v>1468.751220703125</v>
      </c>
      <c r="Z38" s="13">
        <v>1066.2098388671875</v>
      </c>
      <c r="AA38" s="13">
        <v>397.22384643554688</v>
      </c>
      <c r="AB38" s="13">
        <v>1140.4229736328125</v>
      </c>
      <c r="AC38" s="13">
        <v>646.11090087890625</v>
      </c>
      <c r="AD38" s="13">
        <v>615.642822265625</v>
      </c>
      <c r="AE38" s="13">
        <v>1114.716552734375</v>
      </c>
      <c r="AF38" s="13">
        <v>824.68658447265625</v>
      </c>
      <c r="AG38" s="13">
        <v>460.38961791992188</v>
      </c>
      <c r="AH38" s="13">
        <v>502.76730346679688</v>
      </c>
      <c r="AI38" s="13">
        <v>842.86602783203125</v>
      </c>
      <c r="AJ38" s="13">
        <v>958.6619873046875</v>
      </c>
      <c r="AK38" s="13">
        <v>563.84515380859375</v>
      </c>
      <c r="AL38" s="13">
        <v>568.52569580078125</v>
      </c>
      <c r="AM38" s="13">
        <v>1343.42333984375</v>
      </c>
      <c r="AN38" s="13">
        <v>728.740966796875</v>
      </c>
      <c r="AO38" s="13">
        <v>1211.7276611328125</v>
      </c>
      <c r="AP38" s="13">
        <v>925.3629150390625</v>
      </c>
      <c r="AQ38" s="13">
        <v>640.88031005859375</v>
      </c>
      <c r="AR38" s="13">
        <v>521.8570556640625</v>
      </c>
      <c r="AS38" s="13">
        <v>746.74981689453125</v>
      </c>
      <c r="AT38" s="13">
        <v>685.90185546875</v>
      </c>
      <c r="AU38" s="13">
        <v>674.03582763671875</v>
      </c>
      <c r="AV38" s="13">
        <v>701.6385498046875</v>
      </c>
      <c r="AW38" s="13">
        <v>400.40316772460938</v>
      </c>
      <c r="AX38" s="13">
        <v>336.759765625</v>
      </c>
      <c r="AY38" s="13">
        <v>1649.94873046875</v>
      </c>
      <c r="AZ38" s="13">
        <v>269.58468627929688</v>
      </c>
      <c r="BA38" s="13">
        <v>820.264892578125</v>
      </c>
      <c r="BB38" s="13">
        <v>666.66253662109375</v>
      </c>
      <c r="BC38" s="13">
        <v>679.5084228515625</v>
      </c>
      <c r="BD38" s="13">
        <v>835.88128662109375</v>
      </c>
      <c r="BE38" s="13">
        <v>564.42681884765625</v>
      </c>
      <c r="BF38" s="13">
        <v>761.0006103515625</v>
      </c>
      <c r="BG38" s="13">
        <v>1341.3802490234375</v>
      </c>
      <c r="BH38" s="13">
        <v>1043.9989013671875</v>
      </c>
      <c r="BI38" s="13">
        <v>735.196533203125</v>
      </c>
      <c r="BJ38" s="13">
        <v>581.9925537109375</v>
      </c>
      <c r="BK38" s="13">
        <v>318.68280029296875</v>
      </c>
      <c r="BL38" s="13">
        <v>823.37664794921875</v>
      </c>
      <c r="BM38" s="13">
        <v>890.8839111328125</v>
      </c>
      <c r="BN38" s="13">
        <v>797.8333740234375</v>
      </c>
      <c r="BO38" s="13">
        <v>625.05731201171875</v>
      </c>
      <c r="BP38" s="13">
        <v>1402.0162353515625</v>
      </c>
      <c r="BQ38" s="13"/>
      <c r="BR38" s="13"/>
    </row>
    <row r="39" spans="2:70" x14ac:dyDescent="0.2">
      <c r="B39">
        <v>1834</v>
      </c>
      <c r="C39" s="13">
        <v>824.428466796875</v>
      </c>
      <c r="D39" s="13">
        <v>1656.486572265625</v>
      </c>
      <c r="E39" s="13">
        <v>1882.2587890625</v>
      </c>
      <c r="F39" s="13">
        <v>744.68536376953125</v>
      </c>
      <c r="G39" s="13">
        <v>770.8271484375</v>
      </c>
      <c r="H39" s="13">
        <v>615.527587890625</v>
      </c>
      <c r="I39" s="13">
        <v>640.34600830078125</v>
      </c>
      <c r="J39" s="13">
        <v>693.86395263671875</v>
      </c>
      <c r="K39" s="13">
        <v>733.6806640625</v>
      </c>
      <c r="L39" s="13">
        <v>2190.65673828125</v>
      </c>
      <c r="M39" s="13">
        <v>1873.1422119140625</v>
      </c>
      <c r="N39" s="13">
        <v>1869.7908935546875</v>
      </c>
      <c r="O39" s="13">
        <v>1530.02392578125</v>
      </c>
      <c r="P39" s="13">
        <v>3684.056884765625</v>
      </c>
      <c r="Q39" s="13">
        <v>2113.674560546875</v>
      </c>
      <c r="R39" s="13">
        <v>2794.4541015625</v>
      </c>
      <c r="S39" s="13">
        <v>1852.8572998046875</v>
      </c>
      <c r="T39" s="13">
        <v>1208.781494140625</v>
      </c>
      <c r="U39" s="13">
        <v>1895.6492919921875</v>
      </c>
      <c r="V39" s="13">
        <v>767.7989501953125</v>
      </c>
      <c r="W39" s="13">
        <v>2247.912841796875</v>
      </c>
      <c r="X39" s="13">
        <v>1231.9246826171875</v>
      </c>
      <c r="Y39" s="13">
        <v>1543.23095703125</v>
      </c>
      <c r="Z39" s="13">
        <v>1094.4718017578125</v>
      </c>
      <c r="AA39" s="13">
        <v>408.03359985351562</v>
      </c>
      <c r="AB39" s="13">
        <v>1148.1456298828125</v>
      </c>
      <c r="AC39" s="13">
        <v>641.6737060546875</v>
      </c>
      <c r="AD39" s="13">
        <v>643.3321533203125</v>
      </c>
      <c r="AE39" s="13">
        <v>1136.42431640625</v>
      </c>
      <c r="AF39" s="13">
        <v>825.68701171875</v>
      </c>
      <c r="AG39" s="13">
        <v>459.99911499023438</v>
      </c>
      <c r="AH39" s="13">
        <v>503.08676147460938</v>
      </c>
      <c r="AI39" s="13">
        <v>855.6171875</v>
      </c>
      <c r="AJ39" s="13">
        <v>965.23199462890625</v>
      </c>
      <c r="AK39" s="13">
        <v>565.0675048828125</v>
      </c>
      <c r="AL39" s="13">
        <v>571.42559814453125</v>
      </c>
      <c r="AM39" s="13">
        <v>1345.65478515625</v>
      </c>
      <c r="AN39" s="13">
        <v>733.65216064453125</v>
      </c>
      <c r="AO39" s="13">
        <v>1219.3870849609375</v>
      </c>
      <c r="AP39" s="13">
        <v>925.900390625</v>
      </c>
      <c r="AQ39" s="13">
        <v>641.2525634765625</v>
      </c>
      <c r="AR39" s="13">
        <v>522.16015625</v>
      </c>
      <c r="AS39" s="13">
        <v>747.16851806640625</v>
      </c>
      <c r="AT39" s="13">
        <v>686.30029296875</v>
      </c>
      <c r="AU39" s="13">
        <v>674.42730712890625</v>
      </c>
      <c r="AV39" s="13">
        <v>702.04608154296875</v>
      </c>
      <c r="AW39" s="13">
        <v>400.6357421875</v>
      </c>
      <c r="AX39" s="13">
        <v>336.95538330078125</v>
      </c>
      <c r="AY39" s="13">
        <v>1645.3721923828125</v>
      </c>
      <c r="AZ39" s="13">
        <v>269.64688110351562</v>
      </c>
      <c r="BA39" s="13">
        <v>820.32879638671875</v>
      </c>
      <c r="BB39" s="13">
        <v>666.71441650390625</v>
      </c>
      <c r="BC39" s="13">
        <v>679.60260009765625</v>
      </c>
      <c r="BD39" s="13">
        <v>838.114501953125</v>
      </c>
      <c r="BE39" s="13">
        <v>564.4033203125</v>
      </c>
      <c r="BF39" s="13">
        <v>760.9151611328125</v>
      </c>
      <c r="BG39" s="13">
        <v>1341.6905517578125</v>
      </c>
      <c r="BH39" s="13">
        <v>1040.617431640625</v>
      </c>
      <c r="BI39" s="13">
        <v>734.66790771484375</v>
      </c>
      <c r="BJ39" s="13">
        <v>599.95477294921875</v>
      </c>
      <c r="BK39" s="13">
        <v>318.53662109375</v>
      </c>
      <c r="BL39" s="13">
        <v>820.70965576171875</v>
      </c>
      <c r="BM39" s="13">
        <v>891.66009521484375</v>
      </c>
      <c r="BN39" s="13">
        <v>798.3641357421875</v>
      </c>
      <c r="BO39" s="13">
        <v>624.23907470703125</v>
      </c>
      <c r="BP39" s="13">
        <v>1403.475830078125</v>
      </c>
      <c r="BQ39" s="13"/>
      <c r="BR39" s="13"/>
    </row>
    <row r="40" spans="2:70" x14ac:dyDescent="0.2">
      <c r="B40">
        <v>1835</v>
      </c>
      <c r="C40" s="13">
        <v>838.152587890625</v>
      </c>
      <c r="D40" s="13">
        <v>1691.028076171875</v>
      </c>
      <c r="E40" s="13">
        <v>2023.2669677734375</v>
      </c>
      <c r="F40" s="13">
        <v>743.7298583984375</v>
      </c>
      <c r="G40" s="13">
        <v>781.80242919921875</v>
      </c>
      <c r="H40" s="13">
        <v>615.609130859375</v>
      </c>
      <c r="I40" s="13">
        <v>640.2554931640625</v>
      </c>
      <c r="J40" s="13">
        <v>694.11883544921875</v>
      </c>
      <c r="K40" s="13">
        <v>730.56109619140625</v>
      </c>
      <c r="L40" s="13">
        <v>2191.90234375</v>
      </c>
      <c r="M40" s="13">
        <v>1845.889404296875</v>
      </c>
      <c r="N40" s="13">
        <v>1880.2120361328125</v>
      </c>
      <c r="O40" s="13">
        <v>1635.9910888671875</v>
      </c>
      <c r="P40" s="13">
        <v>3741.237060546875</v>
      </c>
      <c r="Q40" s="13">
        <v>2122.172607421875</v>
      </c>
      <c r="R40" s="13">
        <v>2794.74072265625</v>
      </c>
      <c r="S40" s="13">
        <v>1823.4410400390625</v>
      </c>
      <c r="T40" s="13">
        <v>1205.1783447265625</v>
      </c>
      <c r="U40" s="13">
        <v>1933.87060546875</v>
      </c>
      <c r="V40" s="13">
        <v>783.26971435546875</v>
      </c>
      <c r="W40" s="13">
        <v>2411.11865234375</v>
      </c>
      <c r="X40" s="13">
        <v>1250.2991943359375</v>
      </c>
      <c r="Y40" s="13">
        <v>1867.2694091796875</v>
      </c>
      <c r="Z40" s="13">
        <v>1123.3775634765625</v>
      </c>
      <c r="AA40" s="13">
        <v>437.9359130859375</v>
      </c>
      <c r="AB40" s="13">
        <v>1155.66796875</v>
      </c>
      <c r="AC40" s="13">
        <v>635.99322509765625</v>
      </c>
      <c r="AD40" s="13">
        <v>664.5048828125</v>
      </c>
      <c r="AE40" s="13">
        <v>1147.60986328125</v>
      </c>
      <c r="AF40" s="13">
        <v>826.61712646484375</v>
      </c>
      <c r="AG40" s="13">
        <v>457.99655151367188</v>
      </c>
      <c r="AH40" s="13">
        <v>503.38497924804688</v>
      </c>
      <c r="AI40" s="13">
        <v>868.48699951171875</v>
      </c>
      <c r="AJ40" s="13">
        <v>971.63690185546875</v>
      </c>
      <c r="AK40" s="13">
        <v>566.169921875</v>
      </c>
      <c r="AL40" s="13">
        <v>574.2911376953125</v>
      </c>
      <c r="AM40" s="13">
        <v>1347.83251953125</v>
      </c>
      <c r="AN40" s="13">
        <v>738.5013427734375</v>
      </c>
      <c r="AO40" s="13">
        <v>1225.7427978515625</v>
      </c>
      <c r="AP40" s="13">
        <v>926.398681640625</v>
      </c>
      <c r="AQ40" s="13">
        <v>641.59759521484375</v>
      </c>
      <c r="AR40" s="13">
        <v>522.441162109375</v>
      </c>
      <c r="AS40" s="13">
        <v>747.54705810546875</v>
      </c>
      <c r="AT40" s="13">
        <v>686.66961669921875</v>
      </c>
      <c r="AU40" s="13">
        <v>674.790283203125</v>
      </c>
      <c r="AV40" s="13">
        <v>702.4239501953125</v>
      </c>
      <c r="AW40" s="13">
        <v>400.851318359375</v>
      </c>
      <c r="AX40" s="13">
        <v>337.13681030273438</v>
      </c>
      <c r="AY40" s="13">
        <v>1640.668212890625</v>
      </c>
      <c r="AZ40" s="13">
        <v>269.6976318359375</v>
      </c>
      <c r="BA40" s="13">
        <v>820.21331787109375</v>
      </c>
      <c r="BB40" s="13">
        <v>666.62054443359375</v>
      </c>
      <c r="BC40" s="13">
        <v>679.65576171875</v>
      </c>
      <c r="BD40" s="13">
        <v>840.3028564453125</v>
      </c>
      <c r="BE40" s="13">
        <v>564.35552978515625</v>
      </c>
      <c r="BF40" s="13">
        <v>760.796875</v>
      </c>
      <c r="BG40" s="13">
        <v>1341.9658203125</v>
      </c>
      <c r="BH40" s="13">
        <v>1033.9727783203125</v>
      </c>
      <c r="BI40" s="13">
        <v>734.01312255859375</v>
      </c>
      <c r="BJ40" s="13">
        <v>578.96563720703125</v>
      </c>
      <c r="BK40" s="13">
        <v>317.38552856445312</v>
      </c>
      <c r="BL40" s="13">
        <v>815.46917724609375</v>
      </c>
      <c r="BM40" s="13">
        <v>892.32208251953125</v>
      </c>
      <c r="BN40" s="13">
        <v>798.75750732421875</v>
      </c>
      <c r="BO40" s="13">
        <v>623.341552734375</v>
      </c>
      <c r="BP40" s="13">
        <v>1397.79248046875</v>
      </c>
      <c r="BQ40" s="13"/>
      <c r="BR40" s="13"/>
    </row>
    <row r="41" spans="2:70" x14ac:dyDescent="0.2">
      <c r="B41">
        <v>1836</v>
      </c>
      <c r="C41" s="13">
        <v>845.0128173828125</v>
      </c>
      <c r="D41" s="13">
        <v>1691.13427734375</v>
      </c>
      <c r="E41" s="13">
        <v>2174.875244140625</v>
      </c>
      <c r="F41" s="13">
        <v>743.9139404296875</v>
      </c>
      <c r="G41" s="13">
        <v>786.640380859375</v>
      </c>
      <c r="H41" s="13">
        <v>615.7431640625</v>
      </c>
      <c r="I41" s="13">
        <v>640.44012451171875</v>
      </c>
      <c r="J41" s="13">
        <v>693.96881103515625</v>
      </c>
      <c r="K41" s="13">
        <v>728.885986328125</v>
      </c>
      <c r="L41" s="13">
        <v>2194.6708984375</v>
      </c>
      <c r="M41" s="13">
        <v>1832.3516845703125</v>
      </c>
      <c r="N41" s="13">
        <v>1836.76171875</v>
      </c>
      <c r="O41" s="13">
        <v>1642.1773681640625</v>
      </c>
      <c r="P41" s="13">
        <v>3736.72216796875</v>
      </c>
      <c r="Q41" s="13">
        <v>2116.74462890625</v>
      </c>
      <c r="R41" s="13">
        <v>2881.8564453125</v>
      </c>
      <c r="S41" s="13">
        <v>1778.44287109375</v>
      </c>
      <c r="T41" s="13">
        <v>1243.1839599609375</v>
      </c>
      <c r="U41" s="13">
        <v>1931.689208984375</v>
      </c>
      <c r="V41" s="13">
        <v>782.3331298828125</v>
      </c>
      <c r="W41" s="13">
        <v>2596.344482421875</v>
      </c>
      <c r="X41" s="13">
        <v>1269.0540771484375</v>
      </c>
      <c r="Y41" s="13">
        <v>1834.321044921875</v>
      </c>
      <c r="Z41" s="13">
        <v>1153.2880859375</v>
      </c>
      <c r="AA41" s="13">
        <v>469.98672485351562</v>
      </c>
      <c r="AB41" s="13">
        <v>1163.732421875</v>
      </c>
      <c r="AC41" s="13">
        <v>632.73175048828125</v>
      </c>
      <c r="AD41" s="13">
        <v>702.4339599609375</v>
      </c>
      <c r="AE41" s="13">
        <v>1136.0750732421875</v>
      </c>
      <c r="AF41" s="13">
        <v>827.6873779296875</v>
      </c>
      <c r="AG41" s="13">
        <v>457.26687622070312</v>
      </c>
      <c r="AH41" s="13">
        <v>503.72512817382812</v>
      </c>
      <c r="AI41" s="13">
        <v>881.69696044921875</v>
      </c>
      <c r="AJ41" s="13">
        <v>978.49420166015625</v>
      </c>
      <c r="AK41" s="13">
        <v>567.51239013671875</v>
      </c>
      <c r="AL41" s="13">
        <v>577.2669677734375</v>
      </c>
      <c r="AM41" s="13">
        <v>1350.1256103515625</v>
      </c>
      <c r="AN41" s="13">
        <v>743.56854248046875</v>
      </c>
      <c r="AO41" s="13">
        <v>1233.6754150390625</v>
      </c>
      <c r="AP41" s="13">
        <v>926.97412109375</v>
      </c>
      <c r="AQ41" s="13">
        <v>641.99615478515625</v>
      </c>
      <c r="AR41" s="13">
        <v>522.76568603515625</v>
      </c>
      <c r="AS41" s="13">
        <v>748.02728271484375</v>
      </c>
      <c r="AT41" s="13">
        <v>687.09613037109375</v>
      </c>
      <c r="AU41" s="13">
        <v>675.20941162109375</v>
      </c>
      <c r="AV41" s="13">
        <v>702.86016845703125</v>
      </c>
      <c r="AW41" s="13">
        <v>401.100341796875</v>
      </c>
      <c r="AX41" s="13">
        <v>337.34613037109375</v>
      </c>
      <c r="AY41" s="13">
        <v>1636.2493896484375</v>
      </c>
      <c r="AZ41" s="13">
        <v>269.77078247070312</v>
      </c>
      <c r="BA41" s="13">
        <v>820.4453125</v>
      </c>
      <c r="BB41" s="13">
        <v>666.80914306640625</v>
      </c>
      <c r="BC41" s="13">
        <v>679.78863525390625</v>
      </c>
      <c r="BD41" s="13">
        <v>842.59588623046875</v>
      </c>
      <c r="BE41" s="13">
        <v>564.35498046875</v>
      </c>
      <c r="BF41" s="13">
        <v>760.74237060546875</v>
      </c>
      <c r="BG41" s="13">
        <v>1342.0472412109375</v>
      </c>
      <c r="BH41" s="13">
        <v>1030.6312255859375</v>
      </c>
      <c r="BI41" s="13">
        <v>733.60418701171875</v>
      </c>
      <c r="BJ41" s="13">
        <v>566.70220947265625</v>
      </c>
      <c r="BK41" s="13">
        <v>317.24227905273438</v>
      </c>
      <c r="BL41" s="13">
        <v>812.83380126953125</v>
      </c>
      <c r="BM41" s="13">
        <v>893.207763671875</v>
      </c>
      <c r="BN41" s="13">
        <v>799.4183349609375</v>
      </c>
      <c r="BO41" s="13">
        <v>622.60101318359375</v>
      </c>
      <c r="BP41" s="13">
        <v>1393.9351806640625</v>
      </c>
      <c r="BQ41" s="13"/>
      <c r="BR41" s="13"/>
    </row>
    <row r="42" spans="2:70" x14ac:dyDescent="0.2">
      <c r="B42">
        <v>1837</v>
      </c>
      <c r="C42" s="13">
        <v>845.946044921875</v>
      </c>
      <c r="D42" s="13">
        <v>1673.2164306640625</v>
      </c>
      <c r="E42" s="13">
        <v>2236.725341796875</v>
      </c>
      <c r="F42" s="13">
        <v>741.9620361328125</v>
      </c>
      <c r="G42" s="13">
        <v>791.77655029296875</v>
      </c>
      <c r="H42" s="13">
        <v>615.93475341796875</v>
      </c>
      <c r="I42" s="13">
        <v>640.9461669921875</v>
      </c>
      <c r="J42" s="13">
        <v>694.0966796875</v>
      </c>
      <c r="K42" s="13">
        <v>731.96533203125</v>
      </c>
      <c r="L42" s="13">
        <v>2190.590087890625</v>
      </c>
      <c r="M42" s="13">
        <v>1866.1851806640625</v>
      </c>
      <c r="N42" s="13">
        <v>1851.3428955078125</v>
      </c>
      <c r="O42" s="13">
        <v>1620.6959228515625</v>
      </c>
      <c r="P42" s="13">
        <v>3616.033203125</v>
      </c>
      <c r="Q42" s="13">
        <v>2117.858154296875</v>
      </c>
      <c r="R42" s="13">
        <v>2968.03466796875</v>
      </c>
      <c r="S42" s="13">
        <v>1774.8912353515625</v>
      </c>
      <c r="T42" s="13">
        <v>1234.872802734375</v>
      </c>
      <c r="U42" s="13">
        <v>1912.958740234375</v>
      </c>
      <c r="V42" s="13">
        <v>774.6534423828125</v>
      </c>
      <c r="W42" s="13">
        <v>2664.2255859375</v>
      </c>
      <c r="X42" s="13">
        <v>1288.218017578125</v>
      </c>
      <c r="Y42" s="13">
        <v>1924.3223876953125</v>
      </c>
      <c r="Z42" s="13">
        <v>1184.2708740234375</v>
      </c>
      <c r="AA42" s="13">
        <v>481.92459106445312</v>
      </c>
      <c r="AB42" s="13">
        <v>1172.4410400390625</v>
      </c>
      <c r="AC42" s="13">
        <v>632.330322265625</v>
      </c>
      <c r="AD42" s="13">
        <v>679.1666259765625</v>
      </c>
      <c r="AE42" s="13">
        <v>1109.4896240234375</v>
      </c>
      <c r="AF42" s="13">
        <v>828.9237060546875</v>
      </c>
      <c r="AG42" s="13">
        <v>455.62591552734375</v>
      </c>
      <c r="AH42" s="13">
        <v>504.11492919921875</v>
      </c>
      <c r="AI42" s="13">
        <v>895.28399658203125</v>
      </c>
      <c r="AJ42" s="13">
        <v>985.88922119140625</v>
      </c>
      <c r="AK42" s="13">
        <v>569.14044189453125</v>
      </c>
      <c r="AL42" s="13">
        <v>580.37237548828125</v>
      </c>
      <c r="AM42" s="13">
        <v>1352.555419921875</v>
      </c>
      <c r="AN42" s="13">
        <v>748.8919677734375</v>
      </c>
      <c r="AO42" s="13">
        <v>1242.1046142578125</v>
      </c>
      <c r="AP42" s="13">
        <v>927.640869140625</v>
      </c>
      <c r="AQ42" s="13">
        <v>642.45794677734375</v>
      </c>
      <c r="AR42" s="13">
        <v>523.14166259765625</v>
      </c>
      <c r="AS42" s="13">
        <v>748.6163330078125</v>
      </c>
      <c r="AT42" s="13">
        <v>687.59033203125</v>
      </c>
      <c r="AU42" s="13">
        <v>675.695068359375</v>
      </c>
      <c r="AV42" s="13">
        <v>703.36572265625</v>
      </c>
      <c r="AW42" s="13">
        <v>401.38882446289062</v>
      </c>
      <c r="AX42" s="13">
        <v>337.58877563476562</v>
      </c>
      <c r="AY42" s="13">
        <v>1632.1636962890625</v>
      </c>
      <c r="AZ42" s="13">
        <v>269.87042236328125</v>
      </c>
      <c r="BA42" s="13">
        <v>821.08917236328125</v>
      </c>
      <c r="BB42" s="13">
        <v>667.3323974609375</v>
      </c>
      <c r="BC42" s="13">
        <v>680.01611328125</v>
      </c>
      <c r="BD42" s="13">
        <v>845.0125732421875</v>
      </c>
      <c r="BE42" s="13">
        <v>564.410400390625</v>
      </c>
      <c r="BF42" s="13">
        <v>760.76324462890625</v>
      </c>
      <c r="BG42" s="13">
        <v>1342.5230712890625</v>
      </c>
      <c r="BH42" s="13">
        <v>1027.707275390625</v>
      </c>
      <c r="BI42" s="13">
        <v>733.48577880859375</v>
      </c>
      <c r="BJ42" s="13">
        <v>594.93585205078125</v>
      </c>
      <c r="BK42" s="13">
        <v>317.224609375</v>
      </c>
      <c r="BL42" s="13">
        <v>810.52777099609375</v>
      </c>
      <c r="BM42" s="13">
        <v>894.35906982421875</v>
      </c>
      <c r="BN42" s="13">
        <v>800.39642333984375</v>
      </c>
      <c r="BO42" s="13">
        <v>622.04541015625</v>
      </c>
      <c r="BP42" s="13">
        <v>1397.6666259765625</v>
      </c>
      <c r="BQ42" s="13"/>
      <c r="BR42" s="13"/>
    </row>
    <row r="43" spans="2:70" x14ac:dyDescent="0.2">
      <c r="B43">
        <v>1838</v>
      </c>
      <c r="C43" s="13">
        <v>843.790771484375</v>
      </c>
      <c r="D43" s="13">
        <v>1651.67724609375</v>
      </c>
      <c r="E43" s="13">
        <v>2252.46728515625</v>
      </c>
      <c r="F43" s="13">
        <v>740.02740478515625</v>
      </c>
      <c r="G43" s="13">
        <v>796.95166015625</v>
      </c>
      <c r="H43" s="13">
        <v>616.1201171875</v>
      </c>
      <c r="I43" s="13">
        <v>641.43695068359375</v>
      </c>
      <c r="J43" s="13">
        <v>694.04412841796875</v>
      </c>
      <c r="K43" s="13">
        <v>731.62774658203125</v>
      </c>
      <c r="L43" s="13">
        <v>2137.079833984375</v>
      </c>
      <c r="M43" s="13">
        <v>1863.8509521484375</v>
      </c>
      <c r="N43" s="13">
        <v>1834.859375</v>
      </c>
      <c r="O43" s="13">
        <v>1630.881591796875</v>
      </c>
      <c r="P43" s="13">
        <v>3509.6787109375</v>
      </c>
      <c r="Q43" s="13">
        <v>2108.296875</v>
      </c>
      <c r="R43" s="13">
        <v>3017.385986328125</v>
      </c>
      <c r="S43" s="13">
        <v>1798.018310546875</v>
      </c>
      <c r="T43" s="13">
        <v>1218.50537109375</v>
      </c>
      <c r="U43" s="13">
        <v>1890.2161865234375</v>
      </c>
      <c r="V43" s="13">
        <v>765.35113525390625</v>
      </c>
      <c r="W43" s="13">
        <v>2677.5478515625</v>
      </c>
      <c r="X43" s="13">
        <v>1307.6651611328125</v>
      </c>
      <c r="Y43" s="13">
        <v>1899.7340087890625</v>
      </c>
      <c r="Z43" s="13">
        <v>1216.068359375</v>
      </c>
      <c r="AA43" s="13">
        <v>484.42584228515625</v>
      </c>
      <c r="AB43" s="13">
        <v>1181.1865234375</v>
      </c>
      <c r="AC43" s="13">
        <v>631.79180908203125</v>
      </c>
      <c r="AD43" s="13">
        <v>658.81890869140625</v>
      </c>
      <c r="AE43" s="13">
        <v>1085.6876220703125</v>
      </c>
      <c r="AF43" s="13">
        <v>830.154052734375</v>
      </c>
      <c r="AG43" s="13">
        <v>454.0863037109375</v>
      </c>
      <c r="AH43" s="13">
        <v>504.50265502929688</v>
      </c>
      <c r="AI43" s="13">
        <v>909.07171630859375</v>
      </c>
      <c r="AJ43" s="13">
        <v>993.31634521484375</v>
      </c>
      <c r="AK43" s="13">
        <v>570.759521484375</v>
      </c>
      <c r="AL43" s="13">
        <v>583.489013671875</v>
      </c>
      <c r="AM43" s="13">
        <v>1354.9830322265625</v>
      </c>
      <c r="AN43" s="13">
        <v>754.242919921875</v>
      </c>
      <c r="AO43" s="13">
        <v>1250.581298828125</v>
      </c>
      <c r="AP43" s="13">
        <v>928.3037109375</v>
      </c>
      <c r="AQ43" s="13">
        <v>642.9169921875</v>
      </c>
      <c r="AR43" s="13">
        <v>523.5155029296875</v>
      </c>
      <c r="AS43" s="13">
        <v>749.2020263671875</v>
      </c>
      <c r="AT43" s="13">
        <v>688.0816650390625</v>
      </c>
      <c r="AU43" s="13">
        <v>676.1778564453125</v>
      </c>
      <c r="AV43" s="13">
        <v>703.86834716796875</v>
      </c>
      <c r="AW43" s="13">
        <v>401.67562866210938</v>
      </c>
      <c r="AX43" s="13">
        <v>337.82998657226562</v>
      </c>
      <c r="AY43" s="13">
        <v>1628.0728759765625</v>
      </c>
      <c r="AZ43" s="13">
        <v>269.9688720703125</v>
      </c>
      <c r="BA43" s="13">
        <v>821.7137451171875</v>
      </c>
      <c r="BB43" s="13">
        <v>667.84002685546875</v>
      </c>
      <c r="BC43" s="13">
        <v>680.23907470703125</v>
      </c>
      <c r="BD43" s="13">
        <v>847.4305419921875</v>
      </c>
      <c r="BE43" s="13">
        <v>564.46307373046875</v>
      </c>
      <c r="BF43" s="13">
        <v>760.780517578125</v>
      </c>
      <c r="BG43" s="13">
        <v>1342.8551025390625</v>
      </c>
      <c r="BH43" s="13">
        <v>1024.7720947265625</v>
      </c>
      <c r="BI43" s="13">
        <v>733.35345458984375</v>
      </c>
      <c r="BJ43" s="13">
        <v>592.7757568359375</v>
      </c>
      <c r="BK43" s="13">
        <v>317.20098876953125</v>
      </c>
      <c r="BL43" s="13">
        <v>808.21282958984375</v>
      </c>
      <c r="BM43" s="13">
        <v>895.4991455078125</v>
      </c>
      <c r="BN43" s="13">
        <v>801.36053466796875</v>
      </c>
      <c r="BO43" s="13">
        <v>621.48150634765625</v>
      </c>
      <c r="BP43" s="13">
        <v>1396.01611328125</v>
      </c>
      <c r="BQ43" s="13"/>
      <c r="BR43" s="13"/>
    </row>
    <row r="44" spans="2:70" x14ac:dyDescent="0.2">
      <c r="B44">
        <v>1839</v>
      </c>
      <c r="C44" s="13">
        <v>846.76416015625</v>
      </c>
      <c r="D44" s="13">
        <v>1649.4666748046875</v>
      </c>
      <c r="E44" s="13">
        <v>2286.378662109375</v>
      </c>
      <c r="F44" s="13">
        <v>741.14337158203125</v>
      </c>
      <c r="G44" s="13">
        <v>802.203125</v>
      </c>
      <c r="H44" s="13">
        <v>616.32012939453125</v>
      </c>
      <c r="I44" s="13">
        <v>641.978271484375</v>
      </c>
      <c r="J44" s="13">
        <v>694.11773681640625</v>
      </c>
      <c r="K44" s="13">
        <v>730.31707763671875</v>
      </c>
      <c r="L44" s="13">
        <v>2140.160888671875</v>
      </c>
      <c r="M44" s="13">
        <v>1870.823486328125</v>
      </c>
      <c r="N44" s="13">
        <v>1882.3985595703125</v>
      </c>
      <c r="O44" s="13">
        <v>1608.853515625</v>
      </c>
      <c r="P44" s="13">
        <v>3482.070556640625</v>
      </c>
      <c r="Q44" s="13">
        <v>2106.7958984375</v>
      </c>
      <c r="R44" s="13">
        <v>2948.807861328125</v>
      </c>
      <c r="S44" s="13">
        <v>1813.89599609375</v>
      </c>
      <c r="T44" s="13">
        <v>1231.1541748046875</v>
      </c>
      <c r="U44" s="13">
        <v>1886.1385498046875</v>
      </c>
      <c r="V44" s="13">
        <v>763.5972900390625</v>
      </c>
      <c r="W44" s="13">
        <v>2716.462890625</v>
      </c>
      <c r="X44" s="13">
        <v>1327.4266357421875</v>
      </c>
      <c r="Y44" s="13">
        <v>1772.8753662109375</v>
      </c>
      <c r="Z44" s="13">
        <v>1248.75927734375</v>
      </c>
      <c r="AA44" s="13">
        <v>491.7545166015625</v>
      </c>
      <c r="AB44" s="13">
        <v>1190.0919189453125</v>
      </c>
      <c r="AC44" s="13">
        <v>631.707275390625</v>
      </c>
      <c r="AD44" s="13">
        <v>711.1324462890625</v>
      </c>
      <c r="AE44" s="13">
        <v>1077.458251953125</v>
      </c>
      <c r="AF44" s="13">
        <v>831.41241455078125</v>
      </c>
      <c r="AG44" s="13">
        <v>456.29217529296875</v>
      </c>
      <c r="AH44" s="13">
        <v>504.8985595703125</v>
      </c>
      <c r="AI44" s="13">
        <v>923.1007080078125</v>
      </c>
      <c r="AJ44" s="13">
        <v>1000.8783569335938</v>
      </c>
      <c r="AK44" s="13">
        <v>572.42840576171875</v>
      </c>
      <c r="AL44" s="13">
        <v>586.6407470703125</v>
      </c>
      <c r="AM44" s="13">
        <v>1357.4361572265625</v>
      </c>
      <c r="AN44" s="13">
        <v>759.66778564453125</v>
      </c>
      <c r="AO44" s="13">
        <v>1259.2010498046875</v>
      </c>
      <c r="AP44" s="13">
        <v>928.9814453125</v>
      </c>
      <c r="AQ44" s="13">
        <v>643.38641357421875</v>
      </c>
      <c r="AR44" s="13">
        <v>523.897705078125</v>
      </c>
      <c r="AS44" s="13">
        <v>749.807861328125</v>
      </c>
      <c r="AT44" s="13">
        <v>688.58404541015625</v>
      </c>
      <c r="AU44" s="13">
        <v>676.67156982421875</v>
      </c>
      <c r="AV44" s="13">
        <v>704.38226318359375</v>
      </c>
      <c r="AW44" s="13">
        <v>401.96890258789062</v>
      </c>
      <c r="AX44" s="13">
        <v>338.07666015625</v>
      </c>
      <c r="AY44" s="13">
        <v>1624.0428466796875</v>
      </c>
      <c r="AZ44" s="13">
        <v>270.07159423828125</v>
      </c>
      <c r="BA44" s="13">
        <v>822.404296875</v>
      </c>
      <c r="BB44" s="13">
        <v>668.4012451171875</v>
      </c>
      <c r="BC44" s="13">
        <v>680.47705078125</v>
      </c>
      <c r="BD44" s="13">
        <v>849.87408447265625</v>
      </c>
      <c r="BE44" s="13">
        <v>564.524658203125</v>
      </c>
      <c r="BF44" s="13">
        <v>760.809814453125</v>
      </c>
      <c r="BG44" s="13">
        <v>1343.29931640625</v>
      </c>
      <c r="BH44" s="13">
        <v>1021.9095458984375</v>
      </c>
      <c r="BI44" s="13">
        <v>733.2672119140625</v>
      </c>
      <c r="BJ44" s="13">
        <v>581.72076416015625</v>
      </c>
      <c r="BK44" s="13">
        <v>317.197265625</v>
      </c>
      <c r="BL44" s="13">
        <v>805.95526123046875</v>
      </c>
      <c r="BM44" s="13">
        <v>896.68280029296875</v>
      </c>
      <c r="BN44" s="13">
        <v>802.37628173828125</v>
      </c>
      <c r="BO44" s="13">
        <v>620.94732666015625</v>
      </c>
      <c r="BP44" s="13">
        <v>1392.8349609375</v>
      </c>
      <c r="BQ44" s="13"/>
      <c r="BR44" s="13"/>
    </row>
    <row r="45" spans="2:70" x14ac:dyDescent="0.2">
      <c r="B45">
        <v>1840</v>
      </c>
      <c r="C45" s="13">
        <v>856.579345703125</v>
      </c>
      <c r="D45" s="13">
        <v>1699.2115478515625</v>
      </c>
      <c r="E45" s="13">
        <v>2143.80419921875</v>
      </c>
      <c r="F45" s="13">
        <v>747.80145263671875</v>
      </c>
      <c r="G45" s="13">
        <v>807.59075927734375</v>
      </c>
      <c r="H45" s="13">
        <v>611.33612060546875</v>
      </c>
      <c r="I45" s="13">
        <v>642.67138671875</v>
      </c>
      <c r="J45" s="13">
        <v>694.03411865234375</v>
      </c>
      <c r="K45" s="13">
        <v>733.5625</v>
      </c>
      <c r="L45" s="13">
        <v>2187.39697265625</v>
      </c>
      <c r="M45" s="13">
        <v>1914.986328125</v>
      </c>
      <c r="N45" s="13">
        <v>1979.56494140625</v>
      </c>
      <c r="O45" s="13">
        <v>1727.408447265625</v>
      </c>
      <c r="P45" s="13">
        <v>3527.95947265625</v>
      </c>
      <c r="Q45" s="13">
        <v>2102.6875</v>
      </c>
      <c r="R45" s="13">
        <v>3003.044921875</v>
      </c>
      <c r="S45" s="13">
        <v>1949.99072265625</v>
      </c>
      <c r="T45" s="13">
        <v>1248.8048095703125</v>
      </c>
      <c r="U45" s="13">
        <v>1943.669677734375</v>
      </c>
      <c r="V45" s="13">
        <v>784.25946044921875</v>
      </c>
      <c r="W45" s="13">
        <v>2519.387939453125</v>
      </c>
      <c r="X45" s="13">
        <v>1347.5498046875</v>
      </c>
      <c r="Y45" s="13">
        <v>2233.438720703125</v>
      </c>
      <c r="Z45" s="13">
        <v>1282.4544677734375</v>
      </c>
      <c r="AA45" s="13">
        <v>459.94015502929688</v>
      </c>
      <c r="AB45" s="13">
        <v>1199.3486328125</v>
      </c>
      <c r="AC45" s="13">
        <v>655.67596435546875</v>
      </c>
      <c r="AD45" s="13">
        <v>764.99755859375</v>
      </c>
      <c r="AE45" s="13">
        <v>1077.188232421875</v>
      </c>
      <c r="AF45" s="13">
        <v>832.75079345703125</v>
      </c>
      <c r="AG45" s="13">
        <v>459.99124145507812</v>
      </c>
      <c r="AH45" s="13">
        <v>505.318115234375</v>
      </c>
      <c r="AI45" s="13">
        <v>936.9239501953125</v>
      </c>
      <c r="AJ45" s="13">
        <v>1008.734375</v>
      </c>
      <c r="AK45" s="13">
        <v>574.236572265625</v>
      </c>
      <c r="AL45" s="13">
        <v>589.86419677734375</v>
      </c>
      <c r="AM45" s="13">
        <v>1359.9566650390625</v>
      </c>
      <c r="AN45" s="13">
        <v>765.23858642578125</v>
      </c>
      <c r="AO45" s="13">
        <v>1268.108642578125</v>
      </c>
      <c r="AP45" s="13">
        <v>929.7027587890625</v>
      </c>
      <c r="AQ45" s="13">
        <v>643.885986328125</v>
      </c>
      <c r="AR45" s="13">
        <v>524.30450439453125</v>
      </c>
      <c r="AS45" s="13">
        <v>750.47503662109375</v>
      </c>
      <c r="AT45" s="13">
        <v>689.11871337890625</v>
      </c>
      <c r="AU45" s="13">
        <v>677.19696044921875</v>
      </c>
      <c r="AV45" s="13">
        <v>704.92919921875</v>
      </c>
      <c r="AW45" s="13">
        <v>402.281005859375</v>
      </c>
      <c r="AX45" s="13">
        <v>338.33914184570312</v>
      </c>
      <c r="AY45" s="13">
        <v>1568.2200927734375</v>
      </c>
      <c r="AZ45" s="13">
        <v>266.44015502929688</v>
      </c>
      <c r="BA45" s="13">
        <v>823.2904052734375</v>
      </c>
      <c r="BB45" s="13">
        <v>669.1214599609375</v>
      </c>
      <c r="BC45" s="13">
        <v>680.54534912109375</v>
      </c>
      <c r="BD45" s="13">
        <v>852.38067626953125</v>
      </c>
      <c r="BE45" s="13">
        <v>564.61260986328125</v>
      </c>
      <c r="BF45" s="13">
        <v>760.87457275390625</v>
      </c>
      <c r="BG45" s="13">
        <v>1343.8616943359375</v>
      </c>
      <c r="BH45" s="13">
        <v>1019.2455444335938</v>
      </c>
      <c r="BI45" s="13">
        <v>733.3179931640625</v>
      </c>
      <c r="BJ45" s="13">
        <v>609.53936767578125</v>
      </c>
      <c r="BK45" s="13">
        <v>317.2528076171875</v>
      </c>
      <c r="BL45" s="13">
        <v>803.85418701171875</v>
      </c>
      <c r="BM45" s="13">
        <v>897.99346923828125</v>
      </c>
      <c r="BN45" s="13">
        <v>803.54339599609375</v>
      </c>
      <c r="BO45" s="13">
        <v>620.50030517578125</v>
      </c>
      <c r="BP45" s="13">
        <v>1396.88916015625</v>
      </c>
      <c r="BQ45" s="13"/>
      <c r="BR45" s="13"/>
    </row>
    <row r="46" spans="2:70" x14ac:dyDescent="0.2">
      <c r="B46">
        <v>1841</v>
      </c>
      <c r="C46" s="13">
        <v>866.60498046875</v>
      </c>
      <c r="D46" s="13">
        <v>1718.9788818359375</v>
      </c>
      <c r="E46" s="13">
        <v>2223.0576171875</v>
      </c>
      <c r="F46" s="13">
        <v>748.18804931640625</v>
      </c>
      <c r="G46" s="13">
        <v>812.796142578125</v>
      </c>
      <c r="H46" s="13">
        <v>611.4637451171875</v>
      </c>
      <c r="I46" s="13">
        <v>643.05303955078125</v>
      </c>
      <c r="J46" s="13">
        <v>694.58087158203125</v>
      </c>
      <c r="K46" s="13">
        <v>732.9913330078125</v>
      </c>
      <c r="L46" s="13">
        <v>2255.039794921875</v>
      </c>
      <c r="M46" s="13">
        <v>1896.57470703125</v>
      </c>
      <c r="N46" s="13">
        <v>1983.259521484375</v>
      </c>
      <c r="O46" s="13">
        <v>1695.8492431640625</v>
      </c>
      <c r="P46" s="13">
        <v>3616.80322265625</v>
      </c>
      <c r="Q46" s="13">
        <v>2103.680419921875</v>
      </c>
      <c r="R46" s="13">
        <v>3116.413818359375</v>
      </c>
      <c r="S46" s="13">
        <v>1931.7930908203125</v>
      </c>
      <c r="T46" s="13">
        <v>1232.15234375</v>
      </c>
      <c r="U46" s="13">
        <v>1964.2032470703125</v>
      </c>
      <c r="V46" s="13">
        <v>792.41925048828125</v>
      </c>
      <c r="W46" s="13">
        <v>2621.792724609375</v>
      </c>
      <c r="X46" s="13">
        <v>1365.814453125</v>
      </c>
      <c r="Y46" s="13">
        <v>1904.852783203125</v>
      </c>
      <c r="Z46" s="13">
        <v>1316.7779541015625</v>
      </c>
      <c r="AA46" s="13">
        <v>474.2020263671875</v>
      </c>
      <c r="AB46" s="13">
        <v>1208.0902099609375</v>
      </c>
      <c r="AC46" s="13">
        <v>654.54833984375</v>
      </c>
      <c r="AD46" s="13">
        <v>748.25860595703125</v>
      </c>
      <c r="AE46" s="13">
        <v>1108.967041015625</v>
      </c>
      <c r="AF46" s="13">
        <v>833.93084716796875</v>
      </c>
      <c r="AG46" s="13">
        <v>460.87112426757812</v>
      </c>
      <c r="AH46" s="13">
        <v>505.6900634765625</v>
      </c>
      <c r="AI46" s="13">
        <v>951.3935546875</v>
      </c>
      <c r="AJ46" s="13">
        <v>1016.1633911132812</v>
      </c>
      <c r="AK46" s="13">
        <v>575.77374267578125</v>
      </c>
      <c r="AL46" s="13">
        <v>592.992431640625</v>
      </c>
      <c r="AM46" s="13">
        <v>1362.3526611328125</v>
      </c>
      <c r="AN46" s="13">
        <v>770.62939453125</v>
      </c>
      <c r="AO46" s="13">
        <v>1276.6978759765625</v>
      </c>
      <c r="AP46" s="13">
        <v>930.3363037109375</v>
      </c>
      <c r="AQ46" s="13">
        <v>644.32470703125</v>
      </c>
      <c r="AR46" s="13">
        <v>524.66180419921875</v>
      </c>
      <c r="AS46" s="13">
        <v>751.02532958984375</v>
      </c>
      <c r="AT46" s="13">
        <v>689.58831787109375</v>
      </c>
      <c r="AU46" s="13">
        <v>677.65838623046875</v>
      </c>
      <c r="AV46" s="13">
        <v>705.4095458984375</v>
      </c>
      <c r="AW46" s="13">
        <v>402.55514526367188</v>
      </c>
      <c r="AX46" s="13">
        <v>338.5697021484375</v>
      </c>
      <c r="AY46" s="13">
        <v>1564.266845703125</v>
      </c>
      <c r="AZ46" s="13">
        <v>266.48629760742188</v>
      </c>
      <c r="BA46" s="13">
        <v>823.77716064453125</v>
      </c>
      <c r="BB46" s="13">
        <v>669.51708984375</v>
      </c>
      <c r="BC46" s="13">
        <v>681.21002197265625</v>
      </c>
      <c r="BD46" s="13">
        <v>854.77960205078125</v>
      </c>
      <c r="BE46" s="13">
        <v>564.64654541015625</v>
      </c>
      <c r="BF46" s="13">
        <v>760.866455078125</v>
      </c>
      <c r="BG46" s="13">
        <v>1345.065185546875</v>
      </c>
      <c r="BH46" s="13">
        <v>1016.19873046875</v>
      </c>
      <c r="BI46" s="13">
        <v>733.0877685546875</v>
      </c>
      <c r="BJ46" s="13">
        <v>605.14227294921875</v>
      </c>
      <c r="BK46" s="13">
        <v>317.18679809570312</v>
      </c>
      <c r="BL46" s="13">
        <v>801.4512939453125</v>
      </c>
      <c r="BM46" s="13">
        <v>899.04833984375</v>
      </c>
      <c r="BN46" s="13">
        <v>804.40380859375</v>
      </c>
      <c r="BO46" s="13">
        <v>619.8758544921875</v>
      </c>
      <c r="BP46" s="13">
        <v>1394.86474609375</v>
      </c>
      <c r="BQ46" s="13"/>
      <c r="BR46" s="13"/>
    </row>
    <row r="47" spans="2:70" x14ac:dyDescent="0.2">
      <c r="B47">
        <v>1842</v>
      </c>
      <c r="C47" s="13">
        <v>868.6536865234375</v>
      </c>
      <c r="D47" s="13">
        <v>1727.479248046875</v>
      </c>
      <c r="E47" s="13">
        <v>2156.9609375</v>
      </c>
      <c r="F47" s="13">
        <v>750.05206298828125</v>
      </c>
      <c r="G47" s="13">
        <v>818.1307373046875</v>
      </c>
      <c r="H47" s="13">
        <v>611.57269287109375</v>
      </c>
      <c r="I47" s="13">
        <v>645.6351318359375</v>
      </c>
      <c r="J47" s="13">
        <v>695.519775390625</v>
      </c>
      <c r="K47" s="13">
        <v>732.66363525390625</v>
      </c>
      <c r="L47" s="13">
        <v>2216.818603515625</v>
      </c>
      <c r="M47" s="13">
        <v>1887.5284423828125</v>
      </c>
      <c r="N47" s="13">
        <v>1918.5294189453125</v>
      </c>
      <c r="O47" s="13">
        <v>1678.8197021484375</v>
      </c>
      <c r="P47" s="13">
        <v>3776.775390625</v>
      </c>
      <c r="Q47" s="13">
        <v>2097.6484375</v>
      </c>
      <c r="R47" s="13">
        <v>3028.5654296875</v>
      </c>
      <c r="S47" s="13">
        <v>1917.2957763671875</v>
      </c>
      <c r="T47" s="13">
        <v>1175.454345703125</v>
      </c>
      <c r="U47" s="13">
        <v>1970.714599609375</v>
      </c>
      <c r="V47" s="13">
        <v>794.92364501953125</v>
      </c>
      <c r="W47" s="13">
        <v>2536.155029296875</v>
      </c>
      <c r="X47" s="13">
        <v>1384.36962890625</v>
      </c>
      <c r="Y47" s="13">
        <v>1737.5440673828125</v>
      </c>
      <c r="Z47" s="13">
        <v>1352.1085205078125</v>
      </c>
      <c r="AA47" s="13">
        <v>459.23150634765625</v>
      </c>
      <c r="AB47" s="13">
        <v>1217.0870361328125</v>
      </c>
      <c r="AC47" s="13">
        <v>654.09356689453125</v>
      </c>
      <c r="AD47" s="13">
        <v>723.14111328125</v>
      </c>
      <c r="AE47" s="13">
        <v>1148.0797119140625</v>
      </c>
      <c r="AF47" s="13">
        <v>835.16461181640625</v>
      </c>
      <c r="AG47" s="13">
        <v>462.50949096679688</v>
      </c>
      <c r="AH47" s="13">
        <v>506.07785034179688</v>
      </c>
      <c r="AI47" s="13">
        <v>966.14910888671875</v>
      </c>
      <c r="AJ47" s="13">
        <v>1023.8065795898438</v>
      </c>
      <c r="AK47" s="13">
        <v>577.40496826171875</v>
      </c>
      <c r="AL47" s="13">
        <v>596.174072265625</v>
      </c>
      <c r="AM47" s="13">
        <v>1364.794677734375</v>
      </c>
      <c r="AN47" s="13">
        <v>776.130126953125</v>
      </c>
      <c r="AO47" s="13">
        <v>1285.4991455078125</v>
      </c>
      <c r="AP47" s="13">
        <v>930.99896240234375</v>
      </c>
      <c r="AQ47" s="13">
        <v>644.78363037109375</v>
      </c>
      <c r="AR47" s="13">
        <v>525.03546142578125</v>
      </c>
      <c r="AS47" s="13">
        <v>751.6162109375</v>
      </c>
      <c r="AT47" s="13">
        <v>690.07940673828125</v>
      </c>
      <c r="AU47" s="13">
        <v>678.14111328125</v>
      </c>
      <c r="AV47" s="13">
        <v>705.91192626953125</v>
      </c>
      <c r="AW47" s="13">
        <v>402.84185791015625</v>
      </c>
      <c r="AX47" s="13">
        <v>338.81094360351562</v>
      </c>
      <c r="AY47" s="13">
        <v>1560.371337890625</v>
      </c>
      <c r="AZ47" s="13">
        <v>266.56564331054688</v>
      </c>
      <c r="BA47" s="13">
        <v>827.0831298828125</v>
      </c>
      <c r="BB47" s="13">
        <v>672.20391845703125</v>
      </c>
      <c r="BC47" s="13">
        <v>681.9072265625</v>
      </c>
      <c r="BD47" s="13">
        <v>857.22265625</v>
      </c>
      <c r="BE47" s="13">
        <v>564.6978759765625</v>
      </c>
      <c r="BF47" s="13">
        <v>760.88189697265625</v>
      </c>
      <c r="BG47" s="13">
        <v>1346.72705078125</v>
      </c>
      <c r="BH47" s="13">
        <v>1013.2870483398438</v>
      </c>
      <c r="BI47" s="13">
        <v>733.28460693359375</v>
      </c>
      <c r="BJ47" s="13">
        <v>605.729248046875</v>
      </c>
      <c r="BK47" s="13">
        <v>317.16015625</v>
      </c>
      <c r="BL47" s="13">
        <v>799.15484619140625</v>
      </c>
      <c r="BM47" s="13">
        <v>900.1881103515625</v>
      </c>
      <c r="BN47" s="13">
        <v>805.365234375</v>
      </c>
      <c r="BO47" s="13">
        <v>619.30950927734375</v>
      </c>
      <c r="BP47" s="13">
        <v>1394.5361328125</v>
      </c>
      <c r="BQ47" s="13"/>
      <c r="BR47" s="13"/>
    </row>
    <row r="48" spans="2:70" x14ac:dyDescent="0.2">
      <c r="B48">
        <v>1843</v>
      </c>
      <c r="C48" s="13">
        <v>874.44921875</v>
      </c>
      <c r="D48" s="13">
        <v>1759.7503662109375</v>
      </c>
      <c r="E48" s="13">
        <v>2082.999755859375</v>
      </c>
      <c r="F48" s="13">
        <v>754.1036376953125</v>
      </c>
      <c r="G48" s="13">
        <v>823.3499755859375</v>
      </c>
      <c r="H48" s="13">
        <v>606.59417724609375</v>
      </c>
      <c r="I48" s="13">
        <v>645.99749755859375</v>
      </c>
      <c r="J48" s="13">
        <v>696.29962158203125</v>
      </c>
      <c r="K48" s="13">
        <v>730.8236083984375</v>
      </c>
      <c r="L48" s="13">
        <v>2125.790771484375</v>
      </c>
      <c r="M48" s="13">
        <v>1980.1180419921875</v>
      </c>
      <c r="N48" s="13">
        <v>1917.835693359375</v>
      </c>
      <c r="O48" s="13">
        <v>1761.74560546875</v>
      </c>
      <c r="P48" s="13">
        <v>3941.706787109375</v>
      </c>
      <c r="Q48" s="13">
        <v>2098.593505859375</v>
      </c>
      <c r="R48" s="13">
        <v>2928.94970703125</v>
      </c>
      <c r="S48" s="13">
        <v>1845.6658935546875</v>
      </c>
      <c r="T48" s="13">
        <v>1199.47412109375</v>
      </c>
      <c r="U48" s="13">
        <v>2003.1085205078125</v>
      </c>
      <c r="V48" s="13">
        <v>807.86053466796875</v>
      </c>
      <c r="W48" s="13">
        <v>2429.691650390625</v>
      </c>
      <c r="X48" s="13">
        <v>1403.1029052734375</v>
      </c>
      <c r="Y48" s="13">
        <v>2013.580810546875</v>
      </c>
      <c r="Z48" s="13">
        <v>1388.23193359375</v>
      </c>
      <c r="AA48" s="13">
        <v>442.66000366210938</v>
      </c>
      <c r="AB48" s="13">
        <v>1225.8232421875</v>
      </c>
      <c r="AC48" s="13">
        <v>652.49713134765625</v>
      </c>
      <c r="AD48" s="13">
        <v>734.59161376953125</v>
      </c>
      <c r="AE48" s="13">
        <v>1185.8876953125</v>
      </c>
      <c r="AF48" s="13">
        <v>836.311767578125</v>
      </c>
      <c r="AG48" s="13">
        <v>464.31863403320312</v>
      </c>
      <c r="AH48" s="13">
        <v>506.439453125</v>
      </c>
      <c r="AI48" s="13">
        <v>981.02508544921875</v>
      </c>
      <c r="AJ48" s="13">
        <v>1031.234619140625</v>
      </c>
      <c r="AK48" s="13">
        <v>578.88763427734375</v>
      </c>
      <c r="AL48" s="13">
        <v>599.30999755859375</v>
      </c>
      <c r="AM48" s="13">
        <v>1367.1697998046875</v>
      </c>
      <c r="AN48" s="13">
        <v>781.5469970703125</v>
      </c>
      <c r="AO48" s="13">
        <v>1294.1365966796875</v>
      </c>
      <c r="AP48" s="13">
        <v>931.6134033203125</v>
      </c>
      <c r="AQ48" s="13">
        <v>645.20916748046875</v>
      </c>
      <c r="AR48" s="13">
        <v>525.3819580078125</v>
      </c>
      <c r="AS48" s="13">
        <v>752.13934326171875</v>
      </c>
      <c r="AT48" s="13">
        <v>690.53485107421875</v>
      </c>
      <c r="AU48" s="13">
        <v>678.58868408203125</v>
      </c>
      <c r="AV48" s="13">
        <v>706.37786865234375</v>
      </c>
      <c r="AW48" s="13">
        <v>403.10772705078125</v>
      </c>
      <c r="AX48" s="13">
        <v>339.03448486328125</v>
      </c>
      <c r="AY48" s="13">
        <v>1459.716552734375</v>
      </c>
      <c r="AZ48" s="13">
        <v>264.50503540039062</v>
      </c>
      <c r="BA48" s="13">
        <v>827.5439453125</v>
      </c>
      <c r="BB48" s="13">
        <v>672.57843017578125</v>
      </c>
      <c r="BC48" s="13">
        <v>682.551025390625</v>
      </c>
      <c r="BD48" s="13">
        <v>859.609130859375</v>
      </c>
      <c r="BE48" s="13">
        <v>564.71954345703125</v>
      </c>
      <c r="BF48" s="13">
        <v>760.85723876953125</v>
      </c>
      <c r="BG48" s="13">
        <v>1348.1640625</v>
      </c>
      <c r="BH48" s="13">
        <v>1010.1705932617188</v>
      </c>
      <c r="BI48" s="13">
        <v>733.32696533203125</v>
      </c>
      <c r="BJ48" s="13">
        <v>593.646240234375</v>
      </c>
      <c r="BK48" s="13">
        <v>317.066650390625</v>
      </c>
      <c r="BL48" s="13">
        <v>796.69696044921875</v>
      </c>
      <c r="BM48" s="13">
        <v>901.18719482421875</v>
      </c>
      <c r="BN48" s="13">
        <v>806.15771484375</v>
      </c>
      <c r="BO48" s="13">
        <v>618.64630126953125</v>
      </c>
      <c r="BP48" s="13">
        <v>1391.638427734375</v>
      </c>
      <c r="BQ48" s="13"/>
      <c r="BR48" s="13"/>
    </row>
    <row r="49" spans="2:70" x14ac:dyDescent="0.2">
      <c r="B49">
        <v>1844</v>
      </c>
      <c r="C49" s="13">
        <v>888.587158203125</v>
      </c>
      <c r="D49" s="13">
        <v>1791.715087890625</v>
      </c>
      <c r="E49" s="13">
        <v>2236.17138671875</v>
      </c>
      <c r="F49" s="13">
        <v>759.07366943359375</v>
      </c>
      <c r="G49" s="13">
        <v>828.45037841796875</v>
      </c>
      <c r="H49" s="13">
        <v>606.6199951171875</v>
      </c>
      <c r="I49" s="13">
        <v>643.96923828125</v>
      </c>
      <c r="J49" s="13">
        <v>697.041015625</v>
      </c>
      <c r="K49" s="13">
        <v>727.9453125</v>
      </c>
      <c r="L49" s="13">
        <v>2162.82861328125</v>
      </c>
      <c r="M49" s="13">
        <v>2048.083984375</v>
      </c>
      <c r="N49" s="13">
        <v>1859.60009765625</v>
      </c>
      <c r="O49" s="13">
        <v>1784.3546142578125</v>
      </c>
      <c r="P49" s="13">
        <v>4065.756103515625</v>
      </c>
      <c r="Q49" s="13">
        <v>2126.008056640625</v>
      </c>
      <c r="R49" s="13">
        <v>2942.079345703125</v>
      </c>
      <c r="S49" s="13">
        <v>1901.3450927734375</v>
      </c>
      <c r="T49" s="13">
        <v>1248.0399169921875</v>
      </c>
      <c r="U49" s="13">
        <v>2034.3583984375</v>
      </c>
      <c r="V49" s="13">
        <v>820.32568359375</v>
      </c>
      <c r="W49" s="13">
        <v>2607.92041015625</v>
      </c>
      <c r="X49" s="13">
        <v>1422.0067138671875</v>
      </c>
      <c r="Y49" s="13">
        <v>2289.268310546875</v>
      </c>
      <c r="Z49" s="13">
        <v>1425.153076171875</v>
      </c>
      <c r="AA49" s="13">
        <v>474.142578125</v>
      </c>
      <c r="AB49" s="13">
        <v>1234.2576904296875</v>
      </c>
      <c r="AC49" s="13">
        <v>649.64105224609375</v>
      </c>
      <c r="AD49" s="13">
        <v>783.99078369140625</v>
      </c>
      <c r="AE49" s="13">
        <v>1204.5338134765625</v>
      </c>
      <c r="AF49" s="13">
        <v>837.362548828125</v>
      </c>
      <c r="AG49" s="13">
        <v>465.347900390625</v>
      </c>
      <c r="AH49" s="13">
        <v>506.77215576171875</v>
      </c>
      <c r="AI49" s="13">
        <v>996.01434326171875</v>
      </c>
      <c r="AJ49" s="13">
        <v>1038.4130859375</v>
      </c>
      <c r="AK49" s="13">
        <v>580.2047119140625</v>
      </c>
      <c r="AL49" s="13">
        <v>602.39276123046875</v>
      </c>
      <c r="AM49" s="13">
        <v>1369.4700927734375</v>
      </c>
      <c r="AN49" s="13">
        <v>786.86474609375</v>
      </c>
      <c r="AO49" s="13">
        <v>1302.5799560546875</v>
      </c>
      <c r="AP49" s="13">
        <v>932.17449951171875</v>
      </c>
      <c r="AQ49" s="13">
        <v>645.5977783203125</v>
      </c>
      <c r="AR49" s="13">
        <v>525.69842529296875</v>
      </c>
      <c r="AS49" s="13">
        <v>752.5899658203125</v>
      </c>
      <c r="AT49" s="13">
        <v>690.9508056640625</v>
      </c>
      <c r="AU49" s="13">
        <v>678.99737548828125</v>
      </c>
      <c r="AV49" s="13">
        <v>706.80328369140625</v>
      </c>
      <c r="AW49" s="13">
        <v>403.35052490234375</v>
      </c>
      <c r="AX49" s="13">
        <v>339.23867797851562</v>
      </c>
      <c r="AY49" s="13">
        <v>1455.921630859375</v>
      </c>
      <c r="AZ49" s="13">
        <v>264.46878051757812</v>
      </c>
      <c r="BA49" s="13">
        <v>824.94415283203125</v>
      </c>
      <c r="BB49" s="13">
        <v>670.46551513671875</v>
      </c>
      <c r="BC49" s="13">
        <v>683.13568115234375</v>
      </c>
      <c r="BD49" s="13">
        <v>861.93194580078125</v>
      </c>
      <c r="BE49" s="13">
        <v>564.708251953125</v>
      </c>
      <c r="BF49" s="13">
        <v>760.788330078125</v>
      </c>
      <c r="BG49" s="13">
        <v>1349.49267578125</v>
      </c>
      <c r="BH49" s="13">
        <v>1006.8292236328125</v>
      </c>
      <c r="BI49" s="13">
        <v>733.19854736328125</v>
      </c>
      <c r="BJ49" s="13">
        <v>573.03790283203125</v>
      </c>
      <c r="BK49" s="13">
        <v>316.8994140625</v>
      </c>
      <c r="BL49" s="13">
        <v>794.061767578125</v>
      </c>
      <c r="BM49" s="13">
        <v>902.03045654296875</v>
      </c>
      <c r="BN49" s="13">
        <v>806.76318359375</v>
      </c>
      <c r="BO49" s="13">
        <v>617.87615966796875</v>
      </c>
      <c r="BP49" s="13">
        <v>1386.9090576171875</v>
      </c>
      <c r="BQ49" s="13"/>
      <c r="BR49" s="13"/>
    </row>
    <row r="50" spans="2:70" x14ac:dyDescent="0.2">
      <c r="B50">
        <v>1845</v>
      </c>
      <c r="C50" s="13">
        <v>898.388916015625</v>
      </c>
      <c r="D50" s="13">
        <v>1803.9500732421875</v>
      </c>
      <c r="E50" s="13">
        <v>2404.838623046875</v>
      </c>
      <c r="F50" s="13">
        <v>760.2919921875</v>
      </c>
      <c r="G50" s="13">
        <v>833.52911376953125</v>
      </c>
      <c r="H50" s="13">
        <v>606.6497802734375</v>
      </c>
      <c r="I50" s="13">
        <v>646.3553466796875</v>
      </c>
      <c r="J50" s="13">
        <v>697.7860107421875</v>
      </c>
      <c r="K50" s="13">
        <v>723.5145263671875</v>
      </c>
      <c r="L50" s="13">
        <v>2181.787841796875</v>
      </c>
      <c r="M50" s="13">
        <v>2079.78662109375</v>
      </c>
      <c r="N50" s="13">
        <v>1945.85791015625</v>
      </c>
      <c r="O50" s="13">
        <v>1820.6336669921875</v>
      </c>
      <c r="P50" s="13">
        <v>4012.96923828125</v>
      </c>
      <c r="Q50" s="13">
        <v>2127.64111328125</v>
      </c>
      <c r="R50" s="13">
        <v>2885.681884765625</v>
      </c>
      <c r="S50" s="13">
        <v>1978.8125</v>
      </c>
      <c r="T50" s="13">
        <v>1278.3948974609375</v>
      </c>
      <c r="U50" s="13">
        <v>2047.7584228515625</v>
      </c>
      <c r="V50" s="13">
        <v>825.5806884765625</v>
      </c>
      <c r="W50" s="13">
        <v>2809.7822265625</v>
      </c>
      <c r="X50" s="13">
        <v>1441.132568359375</v>
      </c>
      <c r="Y50" s="13">
        <v>2353.769775390625</v>
      </c>
      <c r="Z50" s="13">
        <v>1462.99658203125</v>
      </c>
      <c r="AA50" s="13">
        <v>509.31771850585938</v>
      </c>
      <c r="AB50" s="13">
        <v>1242.6060791015625</v>
      </c>
      <c r="AC50" s="13">
        <v>646.29193115234375</v>
      </c>
      <c r="AD50" s="13">
        <v>812.8851318359375</v>
      </c>
      <c r="AE50" s="13">
        <v>1200.698974609375</v>
      </c>
      <c r="AF50" s="13">
        <v>838.3763427734375</v>
      </c>
      <c r="AG50" s="13">
        <v>463.85409545898438</v>
      </c>
      <c r="AH50" s="13">
        <v>507.0936279296875</v>
      </c>
      <c r="AI50" s="13">
        <v>1011.1919555664062</v>
      </c>
      <c r="AJ50" s="13">
        <v>1045.5216064453125</v>
      </c>
      <c r="AK50" s="13">
        <v>581.45794677734375</v>
      </c>
      <c r="AL50" s="13">
        <v>605.46392822265625</v>
      </c>
      <c r="AM50" s="13">
        <v>1371.743408203125</v>
      </c>
      <c r="AN50" s="13">
        <v>792.16455078125</v>
      </c>
      <c r="AO50" s="13">
        <v>1310.98681640625</v>
      </c>
      <c r="AP50" s="13">
        <v>932.71502685546875</v>
      </c>
      <c r="AQ50" s="13">
        <v>645.97210693359375</v>
      </c>
      <c r="AR50" s="13">
        <v>526.00323486328125</v>
      </c>
      <c r="AS50" s="13">
        <v>753.01824951171875</v>
      </c>
      <c r="AT50" s="13">
        <v>691.35137939453125</v>
      </c>
      <c r="AU50" s="13">
        <v>679.39105224609375</v>
      </c>
      <c r="AV50" s="13">
        <v>707.21307373046875</v>
      </c>
      <c r="AW50" s="13">
        <v>403.58441162109375</v>
      </c>
      <c r="AX50" s="13">
        <v>339.43536376953125</v>
      </c>
      <c r="AY50" s="13">
        <v>1452.103759765625</v>
      </c>
      <c r="AZ50" s="13">
        <v>264.40838623046875</v>
      </c>
      <c r="BA50" s="13">
        <v>827.99981689453125</v>
      </c>
      <c r="BB50" s="13">
        <v>672.948974609375</v>
      </c>
      <c r="BC50" s="13">
        <v>683.6973876953125</v>
      </c>
      <c r="BD50" s="13">
        <v>864.23333740234375</v>
      </c>
      <c r="BE50" s="13">
        <v>564.68414306640625</v>
      </c>
      <c r="BF50" s="13">
        <v>760.70208740234375</v>
      </c>
      <c r="BG50" s="13">
        <v>1350.7789306640625</v>
      </c>
      <c r="BH50" s="13">
        <v>1003.4072265625</v>
      </c>
      <c r="BI50" s="13">
        <v>733.003173828125</v>
      </c>
      <c r="BJ50" s="13">
        <v>538.61248779296875</v>
      </c>
      <c r="BK50" s="13">
        <v>316.70327758789062</v>
      </c>
      <c r="BL50" s="13">
        <v>791.36285400390625</v>
      </c>
      <c r="BM50" s="13">
        <v>899.59014892578125</v>
      </c>
      <c r="BN50" s="13">
        <v>807.29522705078125</v>
      </c>
      <c r="BO50" s="13">
        <v>617.06488037109375</v>
      </c>
      <c r="BP50" s="13">
        <v>1379.63525390625</v>
      </c>
      <c r="BQ50" s="13"/>
      <c r="BR50" s="13"/>
    </row>
    <row r="51" spans="2:70" x14ac:dyDescent="0.2">
      <c r="B51">
        <v>1846</v>
      </c>
      <c r="C51" s="13">
        <v>911.4100341796875</v>
      </c>
      <c r="D51" s="13">
        <v>1815.330322265625</v>
      </c>
      <c r="E51" s="13">
        <v>2631.776611328125</v>
      </c>
      <c r="F51" s="13">
        <v>761.80035400390625</v>
      </c>
      <c r="G51" s="13">
        <v>838.83648681640625</v>
      </c>
      <c r="H51" s="13">
        <v>606.7327880859375</v>
      </c>
      <c r="I51" s="13">
        <v>646.676025390625</v>
      </c>
      <c r="J51" s="13">
        <v>698.6116943359375</v>
      </c>
      <c r="K51" s="13">
        <v>721.1751708984375</v>
      </c>
      <c r="L51" s="13">
        <v>2109.4951171875</v>
      </c>
      <c r="M51" s="13">
        <v>2104.1552734375</v>
      </c>
      <c r="N51" s="13">
        <v>1979.1568603515625</v>
      </c>
      <c r="O51" s="13">
        <v>1938.8438720703125</v>
      </c>
      <c r="P51" s="13">
        <v>3963.343505859375</v>
      </c>
      <c r="Q51" s="13">
        <v>2124.10400390625</v>
      </c>
      <c r="R51" s="13">
        <v>2862.61279296875</v>
      </c>
      <c r="S51" s="13">
        <v>1964.1827392578125</v>
      </c>
      <c r="T51" s="13">
        <v>1234.7281494140625</v>
      </c>
      <c r="U51" s="13">
        <v>2060.26416015625</v>
      </c>
      <c r="V51" s="13">
        <v>830.48486328125</v>
      </c>
      <c r="W51" s="13">
        <v>3078.698486328125</v>
      </c>
      <c r="X51" s="13">
        <v>1460.6112060546875</v>
      </c>
      <c r="Y51" s="13">
        <v>2601.9267578125</v>
      </c>
      <c r="Z51" s="13">
        <v>1502.048828125</v>
      </c>
      <c r="AA51" s="13">
        <v>555.80450439453125</v>
      </c>
      <c r="AB51" s="13">
        <v>1251.42626953125</v>
      </c>
      <c r="AC51" s="13">
        <v>644.3599853515625</v>
      </c>
      <c r="AD51" s="13">
        <v>828.42681884765625</v>
      </c>
      <c r="AE51" s="13">
        <v>1209.4366455078125</v>
      </c>
      <c r="AF51" s="13">
        <v>839.5015869140625</v>
      </c>
      <c r="AG51" s="13">
        <v>463.92617797851562</v>
      </c>
      <c r="AH51" s="13">
        <v>507.44818115234375</v>
      </c>
      <c r="AI51" s="13">
        <v>1026.738525390625</v>
      </c>
      <c r="AJ51" s="13">
        <v>1053.0244140625</v>
      </c>
      <c r="AK51" s="13">
        <v>582.9052734375</v>
      </c>
      <c r="AL51" s="13">
        <v>608.6298828125</v>
      </c>
      <c r="AM51" s="13">
        <v>1374.109375</v>
      </c>
      <c r="AN51" s="13">
        <v>797.6561279296875</v>
      </c>
      <c r="AO51" s="13">
        <v>1319.764404296875</v>
      </c>
      <c r="AP51" s="13">
        <v>933.31622314453125</v>
      </c>
      <c r="AQ51" s="13">
        <v>646.38848876953125</v>
      </c>
      <c r="AR51" s="13">
        <v>526.34228515625</v>
      </c>
      <c r="AS51" s="13">
        <v>753.52667236328125</v>
      </c>
      <c r="AT51" s="13">
        <v>691.79705810546875</v>
      </c>
      <c r="AU51" s="13">
        <v>679.8289794921875</v>
      </c>
      <c r="AV51" s="13">
        <v>707.66900634765625</v>
      </c>
      <c r="AW51" s="13">
        <v>403.84454345703125</v>
      </c>
      <c r="AX51" s="13">
        <v>339.6541748046875</v>
      </c>
      <c r="AY51" s="13">
        <v>1448.389892578125</v>
      </c>
      <c r="AZ51" s="13">
        <v>264.417236328125</v>
      </c>
      <c r="BA51" s="13">
        <v>828.40875244140625</v>
      </c>
      <c r="BB51" s="13">
        <v>673.28131103515625</v>
      </c>
      <c r="BC51" s="13">
        <v>684.32684326171875</v>
      </c>
      <c r="BD51" s="13">
        <v>866.62042236328125</v>
      </c>
      <c r="BE51" s="13">
        <v>564.69696044921875</v>
      </c>
      <c r="BF51" s="13">
        <v>760.66558837890625</v>
      </c>
      <c r="BG51" s="13">
        <v>1352.2598876953125</v>
      </c>
      <c r="BH51" s="13">
        <v>1000.2586669921875</v>
      </c>
      <c r="BI51" s="13">
        <v>732.99969482421875</v>
      </c>
      <c r="BJ51" s="13">
        <v>521.724853515625</v>
      </c>
      <c r="BK51" s="13">
        <v>316.59014892578125</v>
      </c>
      <c r="BL51" s="13">
        <v>788.87969970703125</v>
      </c>
      <c r="BM51" s="13">
        <v>900.46527099609375</v>
      </c>
      <c r="BN51" s="13">
        <v>808.0391845703125</v>
      </c>
      <c r="BO51" s="13">
        <v>616.375244140625</v>
      </c>
      <c r="BP51" s="13">
        <v>1375.9644775390625</v>
      </c>
      <c r="BQ51" s="13"/>
      <c r="BR51" s="13"/>
    </row>
    <row r="52" spans="2:70" x14ac:dyDescent="0.2">
      <c r="B52">
        <v>1847</v>
      </c>
      <c r="C52" s="13">
        <v>936.1478271484375</v>
      </c>
      <c r="D52" s="13">
        <v>1858.465087890625</v>
      </c>
      <c r="E52" s="13">
        <v>3014.417236328125</v>
      </c>
      <c r="F52" s="13">
        <v>768.51434326171875</v>
      </c>
      <c r="G52" s="13">
        <v>844.07196044921875</v>
      </c>
      <c r="H52" s="13">
        <v>596.63897705078125</v>
      </c>
      <c r="I52" s="13">
        <v>646.86505126953125</v>
      </c>
      <c r="J52" s="13">
        <v>699.38677978515625</v>
      </c>
      <c r="K52" s="13">
        <v>720.3636474609375</v>
      </c>
      <c r="L52" s="13">
        <v>2086.9970703125</v>
      </c>
      <c r="M52" s="13">
        <v>2074.508056640625</v>
      </c>
      <c r="N52" s="13">
        <v>1902.585205078125</v>
      </c>
      <c r="O52" s="13">
        <v>2149.906005859375</v>
      </c>
      <c r="P52" s="13">
        <v>3996.6103515625</v>
      </c>
      <c r="Q52" s="13">
        <v>2122.217529296875</v>
      </c>
      <c r="R52" s="13">
        <v>2888.688720703125</v>
      </c>
      <c r="S52" s="13">
        <v>2025.9078369140625</v>
      </c>
      <c r="T52" s="13">
        <v>1267.5274658203125</v>
      </c>
      <c r="U52" s="13">
        <v>2107.63818359375</v>
      </c>
      <c r="V52" s="13">
        <v>849.4248046875</v>
      </c>
      <c r="W52" s="13">
        <v>3535.55078125</v>
      </c>
      <c r="X52" s="13">
        <v>1480.278564453125</v>
      </c>
      <c r="Y52" s="13">
        <v>3008.5888671875</v>
      </c>
      <c r="Z52" s="13">
        <v>1541.9951171875</v>
      </c>
      <c r="AA52" s="13">
        <v>634.61383056640625</v>
      </c>
      <c r="AB52" s="13">
        <v>1259.9857177734375</v>
      </c>
      <c r="AC52" s="13">
        <v>641.33685302734375</v>
      </c>
      <c r="AD52" s="13">
        <v>909.7332763671875</v>
      </c>
      <c r="AE52" s="13">
        <v>1227.894775390625</v>
      </c>
      <c r="AF52" s="13">
        <v>840.54327392578125</v>
      </c>
      <c r="AG52" s="13">
        <v>465.96310424804688</v>
      </c>
      <c r="AH52" s="13">
        <v>507.77761840820312</v>
      </c>
      <c r="AI52" s="13">
        <v>1042.425048828125</v>
      </c>
      <c r="AJ52" s="13">
        <v>1060.3121337890625</v>
      </c>
      <c r="AK52" s="13">
        <v>584.20806884765625</v>
      </c>
      <c r="AL52" s="13">
        <v>611.7510986328125</v>
      </c>
      <c r="AM52" s="13">
        <v>1376.410888671875</v>
      </c>
      <c r="AN52" s="13">
        <v>803.0645751953125</v>
      </c>
      <c r="AO52" s="13">
        <v>1328.372314453125</v>
      </c>
      <c r="AP52" s="13">
        <v>933.8712158203125</v>
      </c>
      <c r="AQ52" s="13">
        <v>646.77288818359375</v>
      </c>
      <c r="AR52" s="13">
        <v>526.6552734375</v>
      </c>
      <c r="AS52" s="13">
        <v>753.97955322265625</v>
      </c>
      <c r="AT52" s="13">
        <v>692.20843505859375</v>
      </c>
      <c r="AU52" s="13">
        <v>680.23321533203125</v>
      </c>
      <c r="AV52" s="13">
        <v>708.08978271484375</v>
      </c>
      <c r="AW52" s="13">
        <v>404.08468627929688</v>
      </c>
      <c r="AX52" s="13">
        <v>339.85614013671875</v>
      </c>
      <c r="AY52" s="13">
        <v>1251.88330078125</v>
      </c>
      <c r="AZ52" s="13">
        <v>260.19647216796875</v>
      </c>
      <c r="BA52" s="13">
        <v>828.648681640625</v>
      </c>
      <c r="BB52" s="13">
        <v>673.476318359375</v>
      </c>
      <c r="BC52" s="13">
        <v>684.90496826171875</v>
      </c>
      <c r="BD52" s="13">
        <v>868.95263671875</v>
      </c>
      <c r="BE52" s="13">
        <v>564.68133544921875</v>
      </c>
      <c r="BF52" s="13">
        <v>760.59075927734375</v>
      </c>
      <c r="BG52" s="13">
        <v>1353.5968017578125</v>
      </c>
      <c r="BH52" s="13">
        <v>996.91851806640625</v>
      </c>
      <c r="BI52" s="13">
        <v>732.84814453125</v>
      </c>
      <c r="BJ52" s="13">
        <v>513.58001708984375</v>
      </c>
      <c r="BK52" s="13">
        <v>316.4130859375</v>
      </c>
      <c r="BL52" s="13">
        <v>786.245361328125</v>
      </c>
      <c r="BM52" s="13">
        <v>897.7213134765625</v>
      </c>
      <c r="BN52" s="13">
        <v>805.53558349609375</v>
      </c>
      <c r="BO52" s="13">
        <v>615.593505859375</v>
      </c>
      <c r="BP52" s="13">
        <v>1373.943603515625</v>
      </c>
      <c r="BQ52" s="13"/>
      <c r="BR52" s="13"/>
    </row>
    <row r="53" spans="2:70" x14ac:dyDescent="0.2">
      <c r="B53">
        <v>1848</v>
      </c>
      <c r="C53" s="13">
        <v>924.4449462890625</v>
      </c>
      <c r="D53" s="13">
        <v>1800.8885498046875</v>
      </c>
      <c r="E53" s="13">
        <v>3000.06396484375</v>
      </c>
      <c r="F53" s="13">
        <v>768.04559326171875</v>
      </c>
      <c r="G53" s="13">
        <v>850.01422119140625</v>
      </c>
      <c r="H53" s="13">
        <v>597.1634521484375</v>
      </c>
      <c r="I53" s="13">
        <v>647.98223876953125</v>
      </c>
      <c r="J53" s="13">
        <v>700.39080810546875</v>
      </c>
      <c r="K53" s="13">
        <v>723.2618408203125</v>
      </c>
      <c r="L53" s="13">
        <v>2227.349609375</v>
      </c>
      <c r="M53" s="13">
        <v>2163.128173828125</v>
      </c>
      <c r="N53" s="13">
        <v>1931.277099609375</v>
      </c>
      <c r="O53" s="13">
        <v>1681.7996826171875</v>
      </c>
      <c r="P53" s="13">
        <v>4113.97705078125</v>
      </c>
      <c r="Q53" s="13">
        <v>2122.9814453125</v>
      </c>
      <c r="R53" s="13">
        <v>2930.3876953125</v>
      </c>
      <c r="S53" s="13">
        <v>1860.2890625</v>
      </c>
      <c r="T53" s="13">
        <v>1281.7227783203125</v>
      </c>
      <c r="U53" s="13">
        <v>2038.6475830078125</v>
      </c>
      <c r="V53" s="13">
        <v>821.54144287109375</v>
      </c>
      <c r="W53" s="13">
        <v>3498.043701171875</v>
      </c>
      <c r="X53" s="13">
        <v>1500.7427978515625</v>
      </c>
      <c r="Y53" s="13">
        <v>3444.96533203125</v>
      </c>
      <c r="Z53" s="13">
        <v>1584.0869140625</v>
      </c>
      <c r="AA53" s="13">
        <v>630.8441162109375</v>
      </c>
      <c r="AB53" s="13">
        <v>1270.889404296875</v>
      </c>
      <c r="AC53" s="13">
        <v>645.985595703125</v>
      </c>
      <c r="AD53" s="13">
        <v>809.10833740234375</v>
      </c>
      <c r="AE53" s="13">
        <v>1255.7908935546875</v>
      </c>
      <c r="AF53" s="13">
        <v>842.185546875</v>
      </c>
      <c r="AG53" s="13">
        <v>469.1766357421875</v>
      </c>
      <c r="AH53" s="13">
        <v>508.28564453125</v>
      </c>
      <c r="AI53" s="13">
        <v>1059.06787109375</v>
      </c>
      <c r="AJ53" s="13">
        <v>1069.5533447265625</v>
      </c>
      <c r="AK53" s="13">
        <v>586.557373046875</v>
      </c>
      <c r="AL53" s="13">
        <v>615.3216552734375</v>
      </c>
      <c r="AM53" s="13">
        <v>1379.2000732421875</v>
      </c>
      <c r="AN53" s="13">
        <v>809.36761474609375</v>
      </c>
      <c r="AO53" s="13">
        <v>1338.796142578125</v>
      </c>
      <c r="AP53" s="13">
        <v>934.7545166015625</v>
      </c>
      <c r="AQ53" s="13">
        <v>647.3846435546875</v>
      </c>
      <c r="AR53" s="13">
        <v>527.15338134765625</v>
      </c>
      <c r="AS53" s="13">
        <v>754.84906005859375</v>
      </c>
      <c r="AT53" s="13">
        <v>692.8631591796875</v>
      </c>
      <c r="AU53" s="13">
        <v>680.87664794921875</v>
      </c>
      <c r="AV53" s="13">
        <v>708.759521484375</v>
      </c>
      <c r="AW53" s="13">
        <v>404.46688842773438</v>
      </c>
      <c r="AX53" s="13">
        <v>340.17758178710938</v>
      </c>
      <c r="AY53" s="13">
        <v>1249.0572509765625</v>
      </c>
      <c r="AZ53" s="13">
        <v>260.52682495117188</v>
      </c>
      <c r="BA53" s="13">
        <v>830.07855224609375</v>
      </c>
      <c r="BB53" s="13">
        <v>674.63848876953125</v>
      </c>
      <c r="BC53" s="13">
        <v>685.84912109375</v>
      </c>
      <c r="BD53" s="13">
        <v>871.72454833984375</v>
      </c>
      <c r="BE53" s="13">
        <v>564.865966796875</v>
      </c>
      <c r="BF53" s="13">
        <v>760.78570556640625</v>
      </c>
      <c r="BG53" s="13">
        <v>1355.7601318359375</v>
      </c>
      <c r="BH53" s="13">
        <v>995.00079345703125</v>
      </c>
      <c r="BI53" s="13">
        <v>733.7373046875</v>
      </c>
      <c r="BJ53" s="13">
        <v>533.04815673828125</v>
      </c>
      <c r="BK53" s="13">
        <v>316.68533325195312</v>
      </c>
      <c r="BL53" s="13">
        <v>784.73291015625</v>
      </c>
      <c r="BM53" s="13">
        <v>899.88623046875</v>
      </c>
      <c r="BN53" s="13">
        <v>807.436767578125</v>
      </c>
      <c r="BO53" s="13">
        <v>615.465087890625</v>
      </c>
      <c r="BP53" s="13">
        <v>1378.5994873046875</v>
      </c>
      <c r="BQ53" s="13"/>
      <c r="BR53" s="13"/>
    </row>
    <row r="54" spans="2:70" x14ac:dyDescent="0.2">
      <c r="B54">
        <v>1849</v>
      </c>
      <c r="C54" s="13">
        <v>937.5301513671875</v>
      </c>
      <c r="D54" s="13">
        <v>1858.00390625</v>
      </c>
      <c r="E54" s="13">
        <v>2946.972412109375</v>
      </c>
      <c r="F54" s="13">
        <v>772.17236328125</v>
      </c>
      <c r="G54" s="13">
        <v>855.078369140625</v>
      </c>
      <c r="H54" s="13">
        <v>597.2032470703125</v>
      </c>
      <c r="I54" s="13">
        <v>648.2725830078125</v>
      </c>
      <c r="J54" s="13">
        <v>701.07763671875</v>
      </c>
      <c r="K54" s="13">
        <v>720.06500244140625</v>
      </c>
      <c r="L54" s="13">
        <v>2314.00732421875</v>
      </c>
      <c r="M54" s="13">
        <v>2268.244873046875</v>
      </c>
      <c r="N54" s="13">
        <v>1957.811767578125</v>
      </c>
      <c r="O54" s="13">
        <v>1734.17822265625</v>
      </c>
      <c r="P54" s="13">
        <v>4299.57373046875</v>
      </c>
      <c r="Q54" s="13">
        <v>2124.735107421875</v>
      </c>
      <c r="R54" s="13">
        <v>3062.728271484375</v>
      </c>
      <c r="S54" s="13">
        <v>1891.8734130859375</v>
      </c>
      <c r="T54" s="13">
        <v>1326.4827880859375</v>
      </c>
      <c r="U54" s="13">
        <v>2100.218505859375</v>
      </c>
      <c r="V54" s="13">
        <v>846.21685791015625</v>
      </c>
      <c r="W54" s="13">
        <v>3423.835205078125</v>
      </c>
      <c r="X54" s="13">
        <v>1521.009765625</v>
      </c>
      <c r="Y54" s="13">
        <v>3401.482421875</v>
      </c>
      <c r="Z54" s="13">
        <v>1626.33349609375</v>
      </c>
      <c r="AA54" s="13">
        <v>618.6597900390625</v>
      </c>
      <c r="AB54" s="13">
        <v>1279.835693359375</v>
      </c>
      <c r="AC54" s="13">
        <v>643.80517578125</v>
      </c>
      <c r="AD54" s="13">
        <v>822.23492431640625</v>
      </c>
      <c r="AE54" s="13">
        <v>1296.928466796875</v>
      </c>
      <c r="AF54" s="13">
        <v>843.29644775390625</v>
      </c>
      <c r="AG54" s="13">
        <v>470.75393676757812</v>
      </c>
      <c r="AH54" s="13">
        <v>508.63525390625</v>
      </c>
      <c r="AI54" s="13">
        <v>1075.32568359375</v>
      </c>
      <c r="AJ54" s="13">
        <v>1077.16650390625</v>
      </c>
      <c r="AK54" s="13">
        <v>587.98345947265625</v>
      </c>
      <c r="AL54" s="13">
        <v>618.52508544921875</v>
      </c>
      <c r="AM54" s="13">
        <v>1381.563232421875</v>
      </c>
      <c r="AN54" s="13">
        <v>814.950439453125</v>
      </c>
      <c r="AO54" s="13">
        <v>1347.82275390625</v>
      </c>
      <c r="AP54" s="13">
        <v>935.346435546875</v>
      </c>
      <c r="AQ54" s="13">
        <v>647.7945556640625</v>
      </c>
      <c r="AR54" s="13">
        <v>527.4871826171875</v>
      </c>
      <c r="AS54" s="13">
        <v>755.3408203125</v>
      </c>
      <c r="AT54" s="13">
        <v>693.3018798828125</v>
      </c>
      <c r="AU54" s="13">
        <v>681.30780029296875</v>
      </c>
      <c r="AV54" s="13">
        <v>709.20831298828125</v>
      </c>
      <c r="AW54" s="13">
        <v>404.7230224609375</v>
      </c>
      <c r="AX54" s="13">
        <v>340.39297485351562</v>
      </c>
      <c r="AY54" s="13">
        <v>1245.8485107421875</v>
      </c>
      <c r="AZ54" s="13">
        <v>260.52828979492188</v>
      </c>
      <c r="BA54" s="13">
        <v>830.449951171875</v>
      </c>
      <c r="BB54" s="13">
        <v>674.9403076171875</v>
      </c>
      <c r="BC54" s="13">
        <v>686.46868896484375</v>
      </c>
      <c r="BD54" s="13">
        <v>874.11822509765625</v>
      </c>
      <c r="BE54" s="13">
        <v>564.87237548828125</v>
      </c>
      <c r="BF54" s="13">
        <v>760.740478515625</v>
      </c>
      <c r="BG54" s="13">
        <v>1357.075439453125</v>
      </c>
      <c r="BH54" s="13">
        <v>991.8330078125</v>
      </c>
      <c r="BI54" s="13">
        <v>733.7000732421875</v>
      </c>
      <c r="BJ54" s="13">
        <v>512.6820068359375</v>
      </c>
      <c r="BK54" s="13">
        <v>316.55764770507812</v>
      </c>
      <c r="BL54" s="13">
        <v>782.23455810546875</v>
      </c>
      <c r="BM54" s="13">
        <v>897.283935546875</v>
      </c>
      <c r="BN54" s="13">
        <v>808.06072998046875</v>
      </c>
      <c r="BO54" s="13">
        <v>614.75616455078125</v>
      </c>
      <c r="BP54" s="13">
        <v>1373.9974365234375</v>
      </c>
      <c r="BQ54" s="13"/>
      <c r="BR54" s="13"/>
    </row>
    <row r="55" spans="2:70" x14ac:dyDescent="0.2">
      <c r="B55">
        <v>1850</v>
      </c>
      <c r="C55" s="13">
        <v>965.99285888671875</v>
      </c>
      <c r="D55" s="13">
        <v>1944.9639892578125</v>
      </c>
      <c r="E55" s="13">
        <v>3078.7197265625</v>
      </c>
      <c r="F55" s="13">
        <v>786.31109619140625</v>
      </c>
      <c r="G55" s="13">
        <v>862.66986083984375</v>
      </c>
      <c r="H55" s="13">
        <v>604.9339599609375</v>
      </c>
      <c r="I55" s="13">
        <v>648.16375732421875</v>
      </c>
      <c r="J55" s="13">
        <v>701.85211181640625</v>
      </c>
      <c r="K55" s="13">
        <v>717.39923095703125</v>
      </c>
      <c r="L55" s="13">
        <v>2309.541259765625</v>
      </c>
      <c r="M55" s="13">
        <v>2370.193115234375</v>
      </c>
      <c r="N55" s="13">
        <v>2031.3770751953125</v>
      </c>
      <c r="O55" s="13">
        <v>1883.8935546875</v>
      </c>
      <c r="P55" s="13">
        <v>4636.2841796875</v>
      </c>
      <c r="Q55" s="13">
        <v>2126.09375</v>
      </c>
      <c r="R55" s="13">
        <v>3064.7734375</v>
      </c>
      <c r="S55" s="13">
        <v>1969.199462890625</v>
      </c>
      <c r="T55" s="13">
        <v>1360.931396484375</v>
      </c>
      <c r="U55" s="13">
        <v>2194.948486328125</v>
      </c>
      <c r="V55" s="13">
        <v>880.68353271484375</v>
      </c>
      <c r="W55" s="13">
        <v>3584.343994140625</v>
      </c>
      <c r="X55" s="13">
        <v>1541.315185546875</v>
      </c>
      <c r="Y55" s="13">
        <v>3128.984375</v>
      </c>
      <c r="Z55" s="13">
        <v>1669.23779296875</v>
      </c>
      <c r="AA55" s="13">
        <v>645.3709716796875</v>
      </c>
      <c r="AB55" s="13">
        <v>1236.1412353515625</v>
      </c>
      <c r="AC55" s="13">
        <v>652.5692138671875</v>
      </c>
      <c r="AD55" s="13">
        <v>919.98321533203125</v>
      </c>
      <c r="AE55" s="13">
        <v>1355.604736328125</v>
      </c>
      <c r="AF55" s="13">
        <v>844.1502685546875</v>
      </c>
      <c r="AG55" s="13">
        <v>495.35360717773438</v>
      </c>
      <c r="AH55" s="13">
        <v>508.90826416015625</v>
      </c>
      <c r="AI55" s="13">
        <v>1091.5299072265625</v>
      </c>
      <c r="AJ55" s="13">
        <v>1084.00244140625</v>
      </c>
      <c r="AK55" s="13">
        <v>588.96136474609375</v>
      </c>
      <c r="AL55" s="13">
        <v>621.55670166015625</v>
      </c>
      <c r="AM55" s="13">
        <v>1383.7216796875</v>
      </c>
      <c r="AN55" s="13">
        <v>826.6619873046875</v>
      </c>
      <c r="AO55" s="13">
        <v>1361.1273193359375</v>
      </c>
      <c r="AP55" s="13">
        <v>935.79742431640625</v>
      </c>
      <c r="AQ55" s="13">
        <v>648.10693359375</v>
      </c>
      <c r="AR55" s="13">
        <v>527.7415771484375</v>
      </c>
      <c r="AS55" s="13">
        <v>755.655029296875</v>
      </c>
      <c r="AT55" s="13">
        <v>693.63616943359375</v>
      </c>
      <c r="AU55" s="13">
        <v>681.6363525390625</v>
      </c>
      <c r="AV55" s="13">
        <v>709.55029296875</v>
      </c>
      <c r="AW55" s="13">
        <v>404.91815185546875</v>
      </c>
      <c r="AX55" s="13">
        <v>340.55715942382812</v>
      </c>
      <c r="AY55" s="13">
        <v>1391.9771728515625</v>
      </c>
      <c r="AZ55" s="13">
        <v>263.62612915039062</v>
      </c>
      <c r="BA55" s="13">
        <v>830.30865478515625</v>
      </c>
      <c r="BB55" s="13">
        <v>674.825439453125</v>
      </c>
      <c r="BC55" s="13">
        <v>686.93133544921875</v>
      </c>
      <c r="BD55" s="13">
        <v>880.42529296875</v>
      </c>
      <c r="BE55" s="13">
        <v>564.79254150390625</v>
      </c>
      <c r="BF55" s="13">
        <v>760.5792236328125</v>
      </c>
      <c r="BG55" s="13">
        <v>1357.9947509765625</v>
      </c>
      <c r="BH55" s="13">
        <v>988.07147216796875</v>
      </c>
      <c r="BI55" s="13">
        <v>733.2147216796875</v>
      </c>
      <c r="BJ55" s="13">
        <v>496.538818359375</v>
      </c>
      <c r="BK55" s="13">
        <v>316.23675537109375</v>
      </c>
      <c r="BL55" s="13">
        <v>779.2679443359375</v>
      </c>
      <c r="BM55" s="13">
        <v>897.10150146484375</v>
      </c>
      <c r="BN55" s="13">
        <v>804.8555908203125</v>
      </c>
      <c r="BO55" s="13">
        <v>613.767822265625</v>
      </c>
      <c r="BP55" s="13">
        <v>1370.1575927734375</v>
      </c>
      <c r="BQ55" s="13"/>
      <c r="BR55" s="13"/>
    </row>
    <row r="56" spans="2:70" x14ac:dyDescent="0.2">
      <c r="B56">
        <v>1851</v>
      </c>
      <c r="C56" s="13">
        <v>972.6182861328125</v>
      </c>
      <c r="D56" s="13">
        <v>1948.2576904296875</v>
      </c>
      <c r="E56" s="13">
        <v>3118.28515625</v>
      </c>
      <c r="F56" s="13">
        <v>805.52716064453125</v>
      </c>
      <c r="G56" s="13">
        <v>867.42340087890625</v>
      </c>
      <c r="H56" s="13">
        <v>618.65704345703125</v>
      </c>
      <c r="I56" s="13">
        <v>647.5614013671875</v>
      </c>
      <c r="J56" s="13">
        <v>704.662353515625</v>
      </c>
      <c r="K56" s="13">
        <v>716.8699951171875</v>
      </c>
      <c r="L56" s="13">
        <v>2275.64501953125</v>
      </c>
      <c r="M56" s="13">
        <v>2227.6171875</v>
      </c>
      <c r="N56" s="13">
        <v>2047.5599365234375</v>
      </c>
      <c r="O56" s="13">
        <v>1808.389892578125</v>
      </c>
      <c r="P56" s="13">
        <v>4810.740234375</v>
      </c>
      <c r="Q56" s="13">
        <v>2127.017578125</v>
      </c>
      <c r="R56" s="13">
        <v>3091.949951171875</v>
      </c>
      <c r="S56" s="13">
        <v>2016.9263916015625</v>
      </c>
      <c r="T56" s="13">
        <v>1333.593994140625</v>
      </c>
      <c r="U56" s="13">
        <v>2190.783203125</v>
      </c>
      <c r="V56" s="13">
        <v>878.31982421875</v>
      </c>
      <c r="W56" s="13">
        <v>3611.7763671875</v>
      </c>
      <c r="X56" s="13">
        <v>1554.11669921875</v>
      </c>
      <c r="Y56" s="13">
        <v>3699.942138671875</v>
      </c>
      <c r="Z56" s="13">
        <v>1781.71923828125</v>
      </c>
      <c r="AA56" s="13">
        <v>653.28179931640625</v>
      </c>
      <c r="AB56" s="13">
        <v>1237.3297119140625</v>
      </c>
      <c r="AC56" s="13">
        <v>732.97222900390625</v>
      </c>
      <c r="AD56" s="13">
        <v>884.45135498046875</v>
      </c>
      <c r="AE56" s="13">
        <v>1349.9200439453125</v>
      </c>
      <c r="AF56" s="13">
        <v>832.101806640625</v>
      </c>
      <c r="AG56" s="13">
        <v>503.64285278320312</v>
      </c>
      <c r="AH56" s="13">
        <v>509.08657836914062</v>
      </c>
      <c r="AI56" s="13">
        <v>1107.61181640625</v>
      </c>
      <c r="AJ56" s="13">
        <v>1089.8468017578125</v>
      </c>
      <c r="AK56" s="13">
        <v>589.381103515625</v>
      </c>
      <c r="AL56" s="13">
        <v>624.3695068359375</v>
      </c>
      <c r="AM56" s="13">
        <v>1385.625244140625</v>
      </c>
      <c r="AN56" s="13">
        <v>832.25128173828125</v>
      </c>
      <c r="AO56" s="13">
        <v>1369.25048828125</v>
      </c>
      <c r="AP56" s="13">
        <v>936.07421875</v>
      </c>
      <c r="AQ56" s="13">
        <v>648.29864501953125</v>
      </c>
      <c r="AR56" s="13">
        <v>527.897705078125</v>
      </c>
      <c r="AS56" s="13">
        <v>755.80364990234375</v>
      </c>
      <c r="AT56" s="13">
        <v>693.84136962890625</v>
      </c>
      <c r="AU56" s="13">
        <v>681.83795166015625</v>
      </c>
      <c r="AV56" s="13">
        <v>709.76019287109375</v>
      </c>
      <c r="AW56" s="13">
        <v>406.23379516601562</v>
      </c>
      <c r="AX56" s="13">
        <v>341.66363525390625</v>
      </c>
      <c r="AY56" s="13">
        <v>1647.744140625</v>
      </c>
      <c r="AZ56" s="13">
        <v>269.12701416015625</v>
      </c>
      <c r="BA56" s="13">
        <v>829.53350830078125</v>
      </c>
      <c r="BB56" s="13">
        <v>674.1954345703125</v>
      </c>
      <c r="BC56" s="13">
        <v>689.79852294921875</v>
      </c>
      <c r="BD56" s="13">
        <v>884.16302490234375</v>
      </c>
      <c r="BE56" s="13">
        <v>564.6064453125</v>
      </c>
      <c r="BF56" s="13">
        <v>760.27490234375</v>
      </c>
      <c r="BG56" s="13">
        <v>1363.1622314453125</v>
      </c>
      <c r="BH56" s="13">
        <v>983.58050537109375</v>
      </c>
      <c r="BI56" s="13">
        <v>731.91815185546875</v>
      </c>
      <c r="BJ56" s="13">
        <v>508.421630859375</v>
      </c>
      <c r="BK56" s="13">
        <v>315.67752075195312</v>
      </c>
      <c r="BL56" s="13">
        <v>775.72601318359375</v>
      </c>
      <c r="BM56" s="13">
        <v>895.893310546875</v>
      </c>
      <c r="BN56" s="13">
        <v>803.7303466796875</v>
      </c>
      <c r="BO56" s="13">
        <v>609.74871826171875</v>
      </c>
      <c r="BP56" s="13">
        <v>1369.6605224609375</v>
      </c>
      <c r="BQ56" s="13"/>
      <c r="BR56" s="13"/>
    </row>
    <row r="57" spans="2:70" x14ac:dyDescent="0.2">
      <c r="B57">
        <v>1852</v>
      </c>
      <c r="C57" s="13">
        <v>992.05633544921875</v>
      </c>
      <c r="D57" s="13">
        <v>1973.6363525390625</v>
      </c>
      <c r="E57" s="13">
        <v>3358.547607421875</v>
      </c>
      <c r="F57" s="13">
        <v>799.8546142578125</v>
      </c>
      <c r="G57" s="13">
        <v>873.07269287109375</v>
      </c>
      <c r="H57" s="13">
        <v>623.64404296875</v>
      </c>
      <c r="I57" s="13">
        <v>645.05517578125</v>
      </c>
      <c r="J57" s="13">
        <v>707.8360595703125</v>
      </c>
      <c r="K57" s="13">
        <v>711.83477783203125</v>
      </c>
      <c r="L57" s="13">
        <v>2305.151611328125</v>
      </c>
      <c r="M57" s="13">
        <v>2281.529296875</v>
      </c>
      <c r="N57" s="13">
        <v>2125.910888671875</v>
      </c>
      <c r="O57" s="13">
        <v>1959.22509765625</v>
      </c>
      <c r="P57" s="13">
        <v>4713.3876953125</v>
      </c>
      <c r="Q57" s="13">
        <v>2125.324951171875</v>
      </c>
      <c r="R57" s="13">
        <v>3038.44677734375</v>
      </c>
      <c r="S57" s="13">
        <v>2045.00146484375</v>
      </c>
      <c r="T57" s="13">
        <v>1304.62646484375</v>
      </c>
      <c r="U57" s="13">
        <v>2221.873291015625</v>
      </c>
      <c r="V57" s="13">
        <v>890.60186767578125</v>
      </c>
      <c r="W57" s="13">
        <v>3879.924072265625</v>
      </c>
      <c r="X57" s="13">
        <v>1567.63232421875</v>
      </c>
      <c r="Y57" s="13">
        <v>4337.77880859375</v>
      </c>
      <c r="Z57" s="13">
        <v>1903.150390625</v>
      </c>
      <c r="AA57" s="13">
        <v>702.345947265625</v>
      </c>
      <c r="AB57" s="13">
        <v>1246.1903076171875</v>
      </c>
      <c r="AC57" s="13">
        <v>715.759033203125</v>
      </c>
      <c r="AD57" s="13">
        <v>966.7967529296875</v>
      </c>
      <c r="AE57" s="13">
        <v>1313.67236328125</v>
      </c>
      <c r="AF57" s="13">
        <v>820.8643798828125</v>
      </c>
      <c r="AG57" s="13">
        <v>498.64712524414062</v>
      </c>
      <c r="AH57" s="13">
        <v>509.46041870117188</v>
      </c>
      <c r="AI57" s="13">
        <v>1124.7320556640625</v>
      </c>
      <c r="AJ57" s="13">
        <v>1097.862060546875</v>
      </c>
      <c r="AK57" s="13">
        <v>590.95281982421875</v>
      </c>
      <c r="AL57" s="13">
        <v>627.678466796875</v>
      </c>
      <c r="AM57" s="13">
        <v>1388.06396484375</v>
      </c>
      <c r="AN57" s="13">
        <v>838.1998291015625</v>
      </c>
      <c r="AO57" s="13">
        <v>1378.82568359375</v>
      </c>
      <c r="AP57" s="13">
        <v>936.71051025390625</v>
      </c>
      <c r="AQ57" s="13">
        <v>648.7392578125</v>
      </c>
      <c r="AR57" s="13">
        <v>528.2564697265625</v>
      </c>
      <c r="AS57" s="13">
        <v>756.35321044921875</v>
      </c>
      <c r="AT57" s="13">
        <v>694.31298828125</v>
      </c>
      <c r="AU57" s="13">
        <v>682.3013916015625</v>
      </c>
      <c r="AV57" s="13">
        <v>710.24267578125</v>
      </c>
      <c r="AW57" s="13">
        <v>406.5291748046875</v>
      </c>
      <c r="AX57" s="13">
        <v>341.91213989257812</v>
      </c>
      <c r="AY57" s="13">
        <v>1727.769287109375</v>
      </c>
      <c r="AZ57" s="13">
        <v>271.23147583007812</v>
      </c>
      <c r="BA57" s="13">
        <v>826.31890869140625</v>
      </c>
      <c r="BB57" s="13">
        <v>671.58282470703125</v>
      </c>
      <c r="BC57" s="13">
        <v>693.08154296875</v>
      </c>
      <c r="BD57" s="13">
        <v>888.39251708984375</v>
      </c>
      <c r="BE57" s="13">
        <v>564.6392822265625</v>
      </c>
      <c r="BF57" s="13">
        <v>760.265380859375</v>
      </c>
      <c r="BG57" s="13">
        <v>1369.3779296875</v>
      </c>
      <c r="BH57" s="13">
        <v>980.6326904296875</v>
      </c>
      <c r="BI57" s="13">
        <v>727.72039794921875</v>
      </c>
      <c r="BJ57" s="13">
        <v>489.75546264648438</v>
      </c>
      <c r="BK57" s="13">
        <v>315.609375</v>
      </c>
      <c r="BL57" s="13">
        <v>773.40118408203125</v>
      </c>
      <c r="BM57" s="13">
        <v>896.79217529296875</v>
      </c>
      <c r="BN57" s="13">
        <v>804.49554443359375</v>
      </c>
      <c r="BO57" s="13">
        <v>609.09832763671875</v>
      </c>
      <c r="BP57" s="13">
        <v>1360.094482421875</v>
      </c>
      <c r="BQ57" s="13"/>
      <c r="BR57" s="13"/>
    </row>
    <row r="58" spans="2:70" x14ac:dyDescent="0.2">
      <c r="B58">
        <v>1853</v>
      </c>
      <c r="C58" s="13">
        <v>1000.6892700195312</v>
      </c>
      <c r="D58" s="13">
        <v>1966.122314453125</v>
      </c>
      <c r="E58" s="13">
        <v>3476.0576171875</v>
      </c>
      <c r="F58" s="13">
        <v>778.92431640625</v>
      </c>
      <c r="G58" s="13">
        <v>878.2777099609375</v>
      </c>
      <c r="H58" s="13">
        <v>631.0045166015625</v>
      </c>
      <c r="I58" s="13">
        <v>644.71881103515625</v>
      </c>
      <c r="J58" s="13">
        <v>711.1165771484375</v>
      </c>
      <c r="K58" s="13">
        <v>710.107421875</v>
      </c>
      <c r="L58" s="13">
        <v>2283.2158203125</v>
      </c>
      <c r="M58" s="13">
        <v>2267.502197265625</v>
      </c>
      <c r="N58" s="13">
        <v>2127.07177734375</v>
      </c>
      <c r="O58" s="13">
        <v>2054.00341796875</v>
      </c>
      <c r="P58" s="13">
        <v>4546.5751953125</v>
      </c>
      <c r="Q58" s="13">
        <v>2131.992919921875</v>
      </c>
      <c r="R58" s="13">
        <v>2970.584228515625</v>
      </c>
      <c r="S58" s="13">
        <v>2153.90234375</v>
      </c>
      <c r="T58" s="13">
        <v>1321.463623046875</v>
      </c>
      <c r="U58" s="13">
        <v>2214.09619140625</v>
      </c>
      <c r="V58" s="13">
        <v>886.9781494140625</v>
      </c>
      <c r="W58" s="13">
        <v>4001.528076171875</v>
      </c>
      <c r="X58" s="13">
        <v>1580.9217529296875</v>
      </c>
      <c r="Y58" s="13">
        <v>4738.9423828125</v>
      </c>
      <c r="Z58" s="13">
        <v>2032.0701904296875</v>
      </c>
      <c r="AA58" s="13">
        <v>725.992919921875</v>
      </c>
      <c r="AB58" s="13">
        <v>1250.74462890625</v>
      </c>
      <c r="AC58" s="13">
        <v>667.77362060546875</v>
      </c>
      <c r="AD58" s="13">
        <v>994.50006103515625</v>
      </c>
      <c r="AE58" s="13">
        <v>1264.7132568359375</v>
      </c>
      <c r="AF58" s="13">
        <v>809.4249267578125</v>
      </c>
      <c r="AG58" s="13">
        <v>481.51864624023438</v>
      </c>
      <c r="AH58" s="13">
        <v>509.72479248046875</v>
      </c>
      <c r="AI58" s="13">
        <v>1141.6788330078125</v>
      </c>
      <c r="AJ58" s="13">
        <v>1104.7249755859375</v>
      </c>
      <c r="AK58" s="13">
        <v>591.87969970703125</v>
      </c>
      <c r="AL58" s="13">
        <v>630.732177734375</v>
      </c>
      <c r="AM58" s="13">
        <v>1390.207763671875</v>
      </c>
      <c r="AN58" s="13">
        <v>844.0093994140625</v>
      </c>
      <c r="AO58" s="13">
        <v>1387.69775390625</v>
      </c>
      <c r="AP58" s="13">
        <v>937.14556884765625</v>
      </c>
      <c r="AQ58" s="13">
        <v>649.04058837890625</v>
      </c>
      <c r="AR58" s="13">
        <v>528.50177001953125</v>
      </c>
      <c r="AS58" s="13">
        <v>756.70111083984375</v>
      </c>
      <c r="AT58" s="13">
        <v>694.63543701171875</v>
      </c>
      <c r="AU58" s="13">
        <v>682.6182861328125</v>
      </c>
      <c r="AV58" s="13">
        <v>710.572509765625</v>
      </c>
      <c r="AW58" s="13">
        <v>406.71615600585938</v>
      </c>
      <c r="AX58" s="13">
        <v>342.0693359375</v>
      </c>
      <c r="AY58" s="13">
        <v>1855.4517822265625</v>
      </c>
      <c r="AZ58" s="13">
        <v>274.19400024414062</v>
      </c>
      <c r="BA58" s="13">
        <v>825.883544921875</v>
      </c>
      <c r="BB58" s="13">
        <v>671.22900390625</v>
      </c>
      <c r="BC58" s="13">
        <v>696.152587890625</v>
      </c>
      <c r="BD58" s="13">
        <v>892.40142822265625</v>
      </c>
      <c r="BE58" s="13">
        <v>564.54937744140625</v>
      </c>
      <c r="BF58" s="13">
        <v>760.090576171875</v>
      </c>
      <c r="BG58" s="13">
        <v>1375.24169921875</v>
      </c>
      <c r="BH58" s="13">
        <v>976.8409423828125</v>
      </c>
      <c r="BI58" s="13">
        <v>722.91546630859375</v>
      </c>
      <c r="BJ58" s="13">
        <v>506.39056396484375</v>
      </c>
      <c r="BK58" s="13">
        <v>315.26596069335938</v>
      </c>
      <c r="BL58" s="13">
        <v>770.41070556640625</v>
      </c>
      <c r="BM58" s="13">
        <v>896.506591796875</v>
      </c>
      <c r="BN58" s="13">
        <v>800.3509521484375</v>
      </c>
      <c r="BO58" s="13">
        <v>607.91790771484375</v>
      </c>
      <c r="BP58" s="13">
        <v>1355.8487548828125</v>
      </c>
      <c r="BQ58" s="13"/>
      <c r="BR58" s="13"/>
    </row>
    <row r="59" spans="2:70" x14ac:dyDescent="0.2">
      <c r="B59">
        <v>1854</v>
      </c>
      <c r="C59" s="13">
        <v>1017.9481811523438</v>
      </c>
      <c r="D59" s="13">
        <v>1974.2716064453125</v>
      </c>
      <c r="E59" s="13">
        <v>3701.556884765625</v>
      </c>
      <c r="F59" s="13">
        <v>756.9075927734375</v>
      </c>
      <c r="G59" s="13">
        <v>883.85687255859375</v>
      </c>
      <c r="H59" s="13">
        <v>628.97943115234375</v>
      </c>
      <c r="I59" s="13">
        <v>644.873291015625</v>
      </c>
      <c r="J59" s="13">
        <v>714.67059326171875</v>
      </c>
      <c r="K59" s="13">
        <v>704.53155517578125</v>
      </c>
      <c r="L59" s="13">
        <v>2331.753662109375</v>
      </c>
      <c r="M59" s="13">
        <v>2252.25927734375</v>
      </c>
      <c r="N59" s="13">
        <v>2148.22119140625</v>
      </c>
      <c r="O59" s="13">
        <v>2164.35986328125</v>
      </c>
      <c r="P59" s="13">
        <v>4363.71923828125</v>
      </c>
      <c r="Q59" s="13">
        <v>2131.02734375</v>
      </c>
      <c r="R59" s="13">
        <v>3173.638427734375</v>
      </c>
      <c r="S59" s="13">
        <v>2254.5576171875</v>
      </c>
      <c r="T59" s="13">
        <v>1333.7764892578125</v>
      </c>
      <c r="U59" s="13">
        <v>2225.5556640625</v>
      </c>
      <c r="V59" s="13">
        <v>891.281494140625</v>
      </c>
      <c r="W59" s="13">
        <v>4284.1669921875</v>
      </c>
      <c r="X59" s="13">
        <v>1594.5618896484375</v>
      </c>
      <c r="Y59" s="13">
        <v>4146.09326171875</v>
      </c>
      <c r="Z59" s="13">
        <v>2170.31396484375</v>
      </c>
      <c r="AA59" s="13">
        <v>771.66424560546875</v>
      </c>
      <c r="AB59" s="13">
        <v>1258.3179931640625</v>
      </c>
      <c r="AC59" s="13">
        <v>609.10626220703125</v>
      </c>
      <c r="AD59" s="13">
        <v>1058.6029052734375</v>
      </c>
      <c r="AE59" s="13">
        <v>1215.4052734375</v>
      </c>
      <c r="AF59" s="13">
        <v>798.38446044921875</v>
      </c>
      <c r="AG59" s="13">
        <v>465.45010375976562</v>
      </c>
      <c r="AH59" s="13">
        <v>510.06472778320312</v>
      </c>
      <c r="AI59" s="13">
        <v>1159.193603515625</v>
      </c>
      <c r="AJ59" s="13">
        <v>1112.46728515625</v>
      </c>
      <c r="AK59" s="13">
        <v>593.25421142578125</v>
      </c>
      <c r="AL59" s="13">
        <v>633.98907470703125</v>
      </c>
      <c r="AM59" s="13">
        <v>1392.560791015625</v>
      </c>
      <c r="AN59" s="13">
        <v>849.98480224609375</v>
      </c>
      <c r="AO59" s="13">
        <v>1397.185546875</v>
      </c>
      <c r="AP59" s="13">
        <v>937.7193603515625</v>
      </c>
      <c r="AQ59" s="13">
        <v>649.43798828125</v>
      </c>
      <c r="AR59" s="13">
        <v>528.825439453125</v>
      </c>
      <c r="AS59" s="13">
        <v>757.18975830078125</v>
      </c>
      <c r="AT59" s="13">
        <v>695.060791015625</v>
      </c>
      <c r="AU59" s="13">
        <v>683.0362548828125</v>
      </c>
      <c r="AV59" s="13">
        <v>711.007568359375</v>
      </c>
      <c r="AW59" s="13">
        <v>406.97882080078125</v>
      </c>
      <c r="AX59" s="13">
        <v>342.29031372070312</v>
      </c>
      <c r="AY59" s="13">
        <v>1804.509521484375</v>
      </c>
      <c r="AZ59" s="13">
        <v>273.35470581054688</v>
      </c>
      <c r="BA59" s="13">
        <v>826.076416015625</v>
      </c>
      <c r="BB59" s="13">
        <v>671.3857421875</v>
      </c>
      <c r="BC59" s="13">
        <v>699.39422607421875</v>
      </c>
      <c r="BD59" s="13">
        <v>896.59674072265625</v>
      </c>
      <c r="BE59" s="13">
        <v>564.5438232421875</v>
      </c>
      <c r="BF59" s="13">
        <v>760.02935791015625</v>
      </c>
      <c r="BG59" s="13">
        <v>1381.6246337890625</v>
      </c>
      <c r="BH59" s="13">
        <v>973.64703369140625</v>
      </c>
      <c r="BI59" s="13">
        <v>718.57275390625</v>
      </c>
      <c r="BJ59" s="13">
        <v>484.09759521484375</v>
      </c>
      <c r="BK59" s="13">
        <v>315.1116943359375</v>
      </c>
      <c r="BL59" s="13">
        <v>767.89178466796875</v>
      </c>
      <c r="BM59" s="13">
        <v>897.03424072265625</v>
      </c>
      <c r="BN59" s="13">
        <v>800.6785888671875</v>
      </c>
      <c r="BO59" s="13">
        <v>607.103515625</v>
      </c>
      <c r="BP59" s="13">
        <v>1345.294921875</v>
      </c>
      <c r="BQ59" s="13"/>
      <c r="BR59" s="13"/>
    </row>
    <row r="60" spans="2:70" x14ac:dyDescent="0.2">
      <c r="B60">
        <v>1855</v>
      </c>
      <c r="C60" s="13">
        <v>1027.6719970703125</v>
      </c>
      <c r="D60" s="13">
        <v>1971.130859375</v>
      </c>
      <c r="E60" s="13">
        <v>3795.7158203125</v>
      </c>
      <c r="F60" s="13">
        <v>756.593017578125</v>
      </c>
      <c r="G60" s="13">
        <v>889.62225341796875</v>
      </c>
      <c r="H60" s="13">
        <v>636.99163818359375</v>
      </c>
      <c r="I60" s="13">
        <v>645.23785400390625</v>
      </c>
      <c r="J60" s="13">
        <v>718.235595703125</v>
      </c>
      <c r="K60" s="13">
        <v>704.1795654296875</v>
      </c>
      <c r="L60" s="13">
        <v>2294.320068359375</v>
      </c>
      <c r="M60" s="13">
        <v>2470.083251953125</v>
      </c>
      <c r="N60" s="13">
        <v>2253.482666015625</v>
      </c>
      <c r="O60" s="13">
        <v>2202</v>
      </c>
      <c r="P60" s="13">
        <v>4232.470703125</v>
      </c>
      <c r="Q60" s="13">
        <v>2149.708984375</v>
      </c>
      <c r="R60" s="13">
        <v>3121.450439453125</v>
      </c>
      <c r="S60" s="13">
        <v>2300.32763671875</v>
      </c>
      <c r="T60" s="13">
        <v>1411.2232666015625</v>
      </c>
      <c r="U60" s="13">
        <v>2224.684814453125</v>
      </c>
      <c r="V60" s="13">
        <v>890.74609375</v>
      </c>
      <c r="W60" s="13">
        <v>4397.54638671875</v>
      </c>
      <c r="X60" s="13">
        <v>1608.4224853515625</v>
      </c>
      <c r="Y60" s="13">
        <v>3933.047119140625</v>
      </c>
      <c r="Z60" s="13">
        <v>2318.224853515625</v>
      </c>
      <c r="AA60" s="13">
        <v>790.06744384765625</v>
      </c>
      <c r="AB60" s="13">
        <v>1267.234619140625</v>
      </c>
      <c r="AC60" s="13">
        <v>613.26806640625</v>
      </c>
      <c r="AD60" s="13">
        <v>1118.982177734375</v>
      </c>
      <c r="AE60" s="13">
        <v>1184.0284423828125</v>
      </c>
      <c r="AF60" s="13">
        <v>787.5955810546875</v>
      </c>
      <c r="AG60" s="13">
        <v>464.71533203125</v>
      </c>
      <c r="AH60" s="13">
        <v>510.43710327148438</v>
      </c>
      <c r="AI60" s="13">
        <v>1177.10888671875</v>
      </c>
      <c r="AJ60" s="13">
        <v>1120.6243896484375</v>
      </c>
      <c r="AK60" s="13">
        <v>594.8231201171875</v>
      </c>
      <c r="AL60" s="13">
        <v>637.3436279296875</v>
      </c>
      <c r="AM60" s="13">
        <v>1395.005859375</v>
      </c>
      <c r="AN60" s="13">
        <v>856.05657958984375</v>
      </c>
      <c r="AO60" s="13">
        <v>1406.989013671875</v>
      </c>
      <c r="AP60" s="13">
        <v>938.352783203125</v>
      </c>
      <c r="AQ60" s="13">
        <v>649.876708984375</v>
      </c>
      <c r="AR60" s="13">
        <v>529.1826171875</v>
      </c>
      <c r="AS60" s="13">
        <v>757.7354736328125</v>
      </c>
      <c r="AT60" s="13">
        <v>695.5302734375</v>
      </c>
      <c r="AU60" s="13">
        <v>683.49761962890625</v>
      </c>
      <c r="AV60" s="13">
        <v>711.48785400390625</v>
      </c>
      <c r="AW60" s="13">
        <v>407.2720947265625</v>
      </c>
      <c r="AX60" s="13">
        <v>342.53692626953125</v>
      </c>
      <c r="AY60" s="13">
        <v>1936.5330810546875</v>
      </c>
      <c r="AZ60" s="13">
        <v>276.69699096679688</v>
      </c>
      <c r="BA60" s="13">
        <v>826.5379638671875</v>
      </c>
      <c r="BB60" s="13">
        <v>671.7608642578125</v>
      </c>
      <c r="BC60" s="13">
        <v>702.7183837890625</v>
      </c>
      <c r="BD60" s="13">
        <v>900.87982177734375</v>
      </c>
      <c r="BE60" s="13">
        <v>564.57427978515625</v>
      </c>
      <c r="BF60" s="13">
        <v>760.01666259765625</v>
      </c>
      <c r="BG60" s="13">
        <v>1388.158935546875</v>
      </c>
      <c r="BH60" s="13">
        <v>970.712158203125</v>
      </c>
      <c r="BI60" s="13">
        <v>714.4390869140625</v>
      </c>
      <c r="BJ60" s="13">
        <v>507.686279296875</v>
      </c>
      <c r="BK60" s="13">
        <v>315.03814697265625</v>
      </c>
      <c r="BL60" s="13">
        <v>765.57708740234375</v>
      </c>
      <c r="BM60" s="13">
        <v>897.91033935546875</v>
      </c>
      <c r="BN60" s="13">
        <v>801.37066650390625</v>
      </c>
      <c r="BO60" s="13">
        <v>606.4454345703125</v>
      </c>
      <c r="BP60" s="13">
        <v>1336.8363037109375</v>
      </c>
      <c r="BQ60" s="13"/>
      <c r="BR60" s="13"/>
    </row>
    <row r="61" spans="2:70" x14ac:dyDescent="0.2">
      <c r="B61">
        <v>1856</v>
      </c>
      <c r="C61" s="13">
        <v>1043.2255859375</v>
      </c>
      <c r="D61" s="13">
        <v>2022.0035400390625</v>
      </c>
      <c r="E61" s="13">
        <v>3753.95654296875</v>
      </c>
      <c r="F61" s="13">
        <v>760.33221435546875</v>
      </c>
      <c r="G61" s="13">
        <v>896.31427001953125</v>
      </c>
      <c r="H61" s="13">
        <v>616.75799560546875</v>
      </c>
      <c r="I61" s="13">
        <v>645.18536376953125</v>
      </c>
      <c r="J61" s="13">
        <v>721.85546875</v>
      </c>
      <c r="K61" s="13">
        <v>704.978515625</v>
      </c>
      <c r="L61" s="13">
        <v>2473.43115234375</v>
      </c>
      <c r="M61" s="13">
        <v>2299.124755859375</v>
      </c>
      <c r="N61" s="13">
        <v>2142.3896484375</v>
      </c>
      <c r="O61" s="13">
        <v>2273.204833984375</v>
      </c>
      <c r="P61" s="13">
        <v>4367.45849609375</v>
      </c>
      <c r="Q61" s="13">
        <v>2143.27978515625</v>
      </c>
      <c r="R61" s="13">
        <v>3230.842529296875</v>
      </c>
      <c r="S61" s="13">
        <v>2254.715087890625</v>
      </c>
      <c r="T61" s="13">
        <v>1396.5380859375</v>
      </c>
      <c r="U61" s="13">
        <v>2276.507568359375</v>
      </c>
      <c r="V61" s="13">
        <v>911.09814453125</v>
      </c>
      <c r="W61" s="13">
        <v>4310.740234375</v>
      </c>
      <c r="X61" s="13">
        <v>1622.197998046875</v>
      </c>
      <c r="Y61" s="13">
        <v>4791.60400390625</v>
      </c>
      <c r="Z61" s="13">
        <v>2475.679931640625</v>
      </c>
      <c r="AA61" s="13">
        <v>781.40899658203125</v>
      </c>
      <c r="AB61" s="13">
        <v>1273.608154296875</v>
      </c>
      <c r="AC61" s="13">
        <v>633.63018798828125</v>
      </c>
      <c r="AD61" s="13">
        <v>1131.5587158203125</v>
      </c>
      <c r="AE61" s="13">
        <v>1184.9537353515625</v>
      </c>
      <c r="AF61" s="13">
        <v>776.75469970703125</v>
      </c>
      <c r="AG61" s="13">
        <v>465.968017578125</v>
      </c>
      <c r="AH61" s="13">
        <v>510.74575805664062</v>
      </c>
      <c r="AI61" s="13">
        <v>1195.044677734375</v>
      </c>
      <c r="AJ61" s="13">
        <v>1128.1197509765625</v>
      </c>
      <c r="AK61" s="13">
        <v>596.01495361328125</v>
      </c>
      <c r="AL61" s="13">
        <v>640.55450439453125</v>
      </c>
      <c r="AM61" s="13">
        <v>1397.280029296875</v>
      </c>
      <c r="AN61" s="13">
        <v>862.0635986328125</v>
      </c>
      <c r="AO61" s="13">
        <v>1416.1768798828125</v>
      </c>
      <c r="AP61" s="13">
        <v>938.86895751953125</v>
      </c>
      <c r="AQ61" s="13">
        <v>650.23419189453125</v>
      </c>
      <c r="AR61" s="13">
        <v>529.4737548828125</v>
      </c>
      <c r="AS61" s="13">
        <v>758.1710205078125</v>
      </c>
      <c r="AT61" s="13">
        <v>695.912841796875</v>
      </c>
      <c r="AU61" s="13">
        <v>683.8736572265625</v>
      </c>
      <c r="AV61" s="13">
        <v>711.87921142578125</v>
      </c>
      <c r="AW61" s="13">
        <v>407.50619506835938</v>
      </c>
      <c r="AX61" s="13">
        <v>342.73379516601562</v>
      </c>
      <c r="AY61" s="13">
        <v>1558.55078125</v>
      </c>
      <c r="AZ61" s="13">
        <v>268.3531494140625</v>
      </c>
      <c r="BA61" s="13">
        <v>826.46551513671875</v>
      </c>
      <c r="BB61" s="13">
        <v>671.70196533203125</v>
      </c>
      <c r="BC61" s="13">
        <v>705.92388916015625</v>
      </c>
      <c r="BD61" s="13">
        <v>905.04998779296875</v>
      </c>
      <c r="BE61" s="13">
        <v>564.533203125</v>
      </c>
      <c r="BF61" s="13">
        <v>764.7430419921875</v>
      </c>
      <c r="BG61" s="13">
        <v>1394.4793701171875</v>
      </c>
      <c r="BH61" s="13">
        <v>967.29364013671875</v>
      </c>
      <c r="BI61" s="13">
        <v>709.96783447265625</v>
      </c>
      <c r="BJ61" s="13">
        <v>541.57293701171875</v>
      </c>
      <c r="BK61" s="13">
        <v>314.80438232421875</v>
      </c>
      <c r="BL61" s="13">
        <v>762.88104248046875</v>
      </c>
      <c r="BM61" s="13">
        <v>898.09429931640625</v>
      </c>
      <c r="BN61" s="13">
        <v>805.4984130859375</v>
      </c>
      <c r="BO61" s="13">
        <v>605.47979736328125</v>
      </c>
      <c r="BP61" s="13">
        <v>1336.15185546875</v>
      </c>
      <c r="BQ61" s="13"/>
      <c r="BR61" s="13"/>
    </row>
    <row r="62" spans="2:70" x14ac:dyDescent="0.2">
      <c r="B62">
        <v>1857</v>
      </c>
      <c r="C62" s="13">
        <v>1048.2852783203125</v>
      </c>
      <c r="D62" s="13">
        <v>2018.3468017578125</v>
      </c>
      <c r="E62" s="13">
        <v>3731.0078125</v>
      </c>
      <c r="F62" s="13">
        <v>775.2159423828125</v>
      </c>
      <c r="G62" s="13">
        <v>901.80377197265625</v>
      </c>
      <c r="H62" s="13">
        <v>632.963623046875</v>
      </c>
      <c r="I62" s="13">
        <v>648.2618408203125</v>
      </c>
      <c r="J62" s="13">
        <v>725.24908447265625</v>
      </c>
      <c r="K62" s="13">
        <v>696.82257080078125</v>
      </c>
      <c r="L62" s="13">
        <v>2575.06884765625</v>
      </c>
      <c r="M62" s="13">
        <v>2306.904541015625</v>
      </c>
      <c r="N62" s="13">
        <v>2076.0234375</v>
      </c>
      <c r="O62" s="13">
        <v>2248.6845703125</v>
      </c>
      <c r="P62" s="13">
        <v>4338.50341796875</v>
      </c>
      <c r="Q62" s="13">
        <v>2138.338134765625</v>
      </c>
      <c r="R62" s="13">
        <v>3227.316650390625</v>
      </c>
      <c r="S62" s="13">
        <v>2137.834716796875</v>
      </c>
      <c r="T62" s="13">
        <v>1422.512451171875</v>
      </c>
      <c r="U62" s="13">
        <v>2272.327880859375</v>
      </c>
      <c r="V62" s="13">
        <v>908.80145263671875</v>
      </c>
      <c r="W62" s="13">
        <v>4294.7939453125</v>
      </c>
      <c r="X62" s="13">
        <v>1635.8779296875</v>
      </c>
      <c r="Y62" s="13">
        <v>4217.28759765625</v>
      </c>
      <c r="Z62" s="13">
        <v>2643.26220703125</v>
      </c>
      <c r="AA62" s="13">
        <v>774.0582275390625</v>
      </c>
      <c r="AB62" s="13">
        <v>1277.2945556640625</v>
      </c>
      <c r="AC62" s="13">
        <v>670.09027099609375</v>
      </c>
      <c r="AD62" s="13">
        <v>1196.1600341796875</v>
      </c>
      <c r="AE62" s="13">
        <v>1211.7591552734375</v>
      </c>
      <c r="AF62" s="13">
        <v>765.86175537109375</v>
      </c>
      <c r="AG62" s="13">
        <v>472.99539184570312</v>
      </c>
      <c r="AH62" s="13">
        <v>510.988525390625</v>
      </c>
      <c r="AI62" s="13">
        <v>1212.996337890625</v>
      </c>
      <c r="AJ62" s="13">
        <v>1134.91455078125</v>
      </c>
      <c r="AK62" s="13">
        <v>596.81463623046875</v>
      </c>
      <c r="AL62" s="13">
        <v>643.6141357421875</v>
      </c>
      <c r="AM62" s="13">
        <v>1399.376953125</v>
      </c>
      <c r="AN62" s="13">
        <v>868.0006103515625</v>
      </c>
      <c r="AO62" s="13">
        <v>1424.58447265625</v>
      </c>
      <c r="AP62" s="13">
        <v>939.26397705078125</v>
      </c>
      <c r="AQ62" s="13">
        <v>650.50775146484375</v>
      </c>
      <c r="AR62" s="13">
        <v>529.696533203125</v>
      </c>
      <c r="AS62" s="13">
        <v>758.5025634765625</v>
      </c>
      <c r="AT62" s="13">
        <v>696.2056884765625</v>
      </c>
      <c r="AU62" s="13">
        <v>684.161376953125</v>
      </c>
      <c r="AV62" s="13">
        <v>712.17877197265625</v>
      </c>
      <c r="AW62" s="13">
        <v>407.68441772460938</v>
      </c>
      <c r="AX62" s="13">
        <v>342.88369750976562</v>
      </c>
      <c r="AY62" s="13">
        <v>1846.1995849609375</v>
      </c>
      <c r="AZ62" s="13">
        <v>274.99078369140625</v>
      </c>
      <c r="BA62" s="13">
        <v>830.4033203125</v>
      </c>
      <c r="BB62" s="13">
        <v>674.90240478515625</v>
      </c>
      <c r="BC62" s="13">
        <v>709.00469970703125</v>
      </c>
      <c r="BD62" s="13">
        <v>909.11322021484375</v>
      </c>
      <c r="BE62" s="13">
        <v>564.41839599609375</v>
      </c>
      <c r="BF62" s="13">
        <v>764.54022216796875</v>
      </c>
      <c r="BG62" s="13">
        <v>1400.4495849609375</v>
      </c>
      <c r="BH62" s="13">
        <v>958.14373779296875</v>
      </c>
      <c r="BI62" s="13">
        <v>705.15350341796875</v>
      </c>
      <c r="BJ62" s="13">
        <v>517.80560302734375</v>
      </c>
      <c r="BK62" s="13">
        <v>312.69638061523438</v>
      </c>
      <c r="BL62" s="13">
        <v>755.66473388671875</v>
      </c>
      <c r="BM62" s="13">
        <v>902.49456787109375</v>
      </c>
      <c r="BN62" s="13">
        <v>804.979736328125</v>
      </c>
      <c r="BO62" s="13">
        <v>604.1978759765625</v>
      </c>
      <c r="BP62" s="13">
        <v>1324.1522216796875</v>
      </c>
      <c r="BQ62" s="13"/>
      <c r="BR62" s="13"/>
    </row>
    <row r="63" spans="2:70" x14ac:dyDescent="0.2">
      <c r="B63">
        <v>1858</v>
      </c>
      <c r="C63" s="13">
        <v>1037.6343994140625</v>
      </c>
      <c r="D63" s="13">
        <v>1991.9859619140625</v>
      </c>
      <c r="E63" s="13">
        <v>3524.142822265625</v>
      </c>
      <c r="F63" s="13">
        <v>787.94110107421875</v>
      </c>
      <c r="G63" s="13">
        <v>907.99139404296875</v>
      </c>
      <c r="H63" s="13">
        <v>620.6761474609375</v>
      </c>
      <c r="I63" s="13">
        <v>648.8175048828125</v>
      </c>
      <c r="J63" s="13">
        <v>728.8524169921875</v>
      </c>
      <c r="K63" s="13">
        <v>697.716064453125</v>
      </c>
      <c r="L63" s="13">
        <v>2542.90234375</v>
      </c>
      <c r="M63" s="13">
        <v>2261.74560546875</v>
      </c>
      <c r="N63" s="13">
        <v>2115.858154296875</v>
      </c>
      <c r="O63" s="13">
        <v>2148.655029296875</v>
      </c>
      <c r="P63" s="13">
        <v>4313.50146484375</v>
      </c>
      <c r="Q63" s="13">
        <v>2133.21337890625</v>
      </c>
      <c r="R63" s="13">
        <v>3133.417236328125</v>
      </c>
      <c r="S63" s="13">
        <v>2261.936279296875</v>
      </c>
      <c r="T63" s="13">
        <v>1445.58447265625</v>
      </c>
      <c r="U63" s="13">
        <v>2243.7587890625</v>
      </c>
      <c r="V63" s="13">
        <v>897.29034423828125</v>
      </c>
      <c r="W63" s="13">
        <v>4056.105712890625</v>
      </c>
      <c r="X63" s="13">
        <v>1650.196044921875</v>
      </c>
      <c r="Y63" s="13">
        <v>3595.642578125</v>
      </c>
      <c r="Z63" s="13">
        <v>2823.705810546875</v>
      </c>
      <c r="AA63" s="13">
        <v>730.25836181640625</v>
      </c>
      <c r="AB63" s="13">
        <v>1287.581787109375</v>
      </c>
      <c r="AC63" s="13">
        <v>715.1612548828125</v>
      </c>
      <c r="AD63" s="13">
        <v>1169.90380859375</v>
      </c>
      <c r="AE63" s="13">
        <v>1236.7982177734375</v>
      </c>
      <c r="AF63" s="13">
        <v>755.6029052734375</v>
      </c>
      <c r="AG63" s="13">
        <v>482.04098510742188</v>
      </c>
      <c r="AH63" s="13">
        <v>511.39175415039062</v>
      </c>
      <c r="AI63" s="13">
        <v>1231.8726806640625</v>
      </c>
      <c r="AJ63" s="13">
        <v>1143.580322265625</v>
      </c>
      <c r="AK63" s="13">
        <v>598.5731201171875</v>
      </c>
      <c r="AL63" s="13">
        <v>647.09637451171875</v>
      </c>
      <c r="AM63" s="13">
        <v>1401.916748046875</v>
      </c>
      <c r="AN63" s="13">
        <v>874.25262451171875</v>
      </c>
      <c r="AO63" s="13">
        <v>1434.169677734375</v>
      </c>
      <c r="AP63" s="13">
        <v>939.95391845703125</v>
      </c>
      <c r="AQ63" s="13">
        <v>650.985595703125</v>
      </c>
      <c r="AR63" s="13">
        <v>530.08563232421875</v>
      </c>
      <c r="AS63" s="13">
        <v>759.09686279296875</v>
      </c>
      <c r="AT63" s="13">
        <v>696.717041015625</v>
      </c>
      <c r="AU63" s="13">
        <v>684.6639404296875</v>
      </c>
      <c r="AV63" s="13">
        <v>712.701904296875</v>
      </c>
      <c r="AW63" s="13">
        <v>408.00381469726562</v>
      </c>
      <c r="AX63" s="13">
        <v>343.15231323242188</v>
      </c>
      <c r="AY63" s="13">
        <v>1614.0931396484375</v>
      </c>
      <c r="AZ63" s="13">
        <v>270.07150268554688</v>
      </c>
      <c r="BA63" s="13">
        <v>831.1187744140625</v>
      </c>
      <c r="BB63" s="13">
        <v>675.48382568359375</v>
      </c>
      <c r="BC63" s="13">
        <v>712.4384765625</v>
      </c>
      <c r="BD63" s="13">
        <v>913.51409912109375</v>
      </c>
      <c r="BE63" s="13">
        <v>564.4825439453125</v>
      </c>
      <c r="BF63" s="13">
        <v>764.65411376953125</v>
      </c>
      <c r="BG63" s="13">
        <v>1407.22900390625</v>
      </c>
      <c r="BH63" s="13">
        <v>955.486083984375</v>
      </c>
      <c r="BI63" s="13">
        <v>701.2650146484375</v>
      </c>
      <c r="BJ63" s="13">
        <v>552.378173828125</v>
      </c>
      <c r="BK63" s="13">
        <v>312.69882202148438</v>
      </c>
      <c r="BL63" s="13">
        <v>753.56866455078125</v>
      </c>
      <c r="BM63" s="13">
        <v>903.70245361328125</v>
      </c>
      <c r="BN63" s="13">
        <v>806.01708984375</v>
      </c>
      <c r="BO63" s="13">
        <v>603.6876220703125</v>
      </c>
      <c r="BP63" s="13">
        <v>1324.5103759765625</v>
      </c>
      <c r="BQ63" s="13"/>
      <c r="BR63" s="13"/>
    </row>
    <row r="64" spans="2:70" x14ac:dyDescent="0.2">
      <c r="B64">
        <v>1859</v>
      </c>
      <c r="C64" s="13">
        <v>1061.8287353515625</v>
      </c>
      <c r="D64" s="13">
        <v>2036.1451416015625</v>
      </c>
      <c r="E64" s="13">
        <v>3703.52001953125</v>
      </c>
      <c r="F64" s="13">
        <v>785.9033203125</v>
      </c>
      <c r="G64" s="13">
        <v>913.97857666015625</v>
      </c>
      <c r="H64" s="13">
        <v>624.25323486328125</v>
      </c>
      <c r="I64" s="13">
        <v>649.177734375</v>
      </c>
      <c r="J64" s="13">
        <v>732.3245849609375</v>
      </c>
      <c r="K64" s="13">
        <v>694.53680419921875</v>
      </c>
      <c r="L64" s="13">
        <v>2528.742919921875</v>
      </c>
      <c r="M64" s="13">
        <v>2381.963134765625</v>
      </c>
      <c r="N64" s="13">
        <v>2212.141845703125</v>
      </c>
      <c r="O64" s="13">
        <v>2188.4150390625</v>
      </c>
      <c r="P64" s="13">
        <v>4531.2978515625</v>
      </c>
      <c r="Q64" s="13">
        <v>2127.922119140625</v>
      </c>
      <c r="R64" s="13">
        <v>2965.53173828125</v>
      </c>
      <c r="S64" s="13">
        <v>2203.520263671875</v>
      </c>
      <c r="T64" s="13">
        <v>1491.2572021484375</v>
      </c>
      <c r="U64" s="13">
        <v>2289.695068359375</v>
      </c>
      <c r="V64" s="13">
        <v>915.442626953125</v>
      </c>
      <c r="W64" s="13">
        <v>4232.6953125</v>
      </c>
      <c r="X64" s="13">
        <v>1664.513427734375</v>
      </c>
      <c r="Y64" s="13">
        <v>4640.73095703125</v>
      </c>
      <c r="Z64" s="13">
        <v>3016.08349609375</v>
      </c>
      <c r="AA64" s="13">
        <v>768.3397216796875</v>
      </c>
      <c r="AB64" s="13">
        <v>1296.3572998046875</v>
      </c>
      <c r="AC64" s="13">
        <v>707.2320556640625</v>
      </c>
      <c r="AD64" s="13">
        <v>1189.83349609375</v>
      </c>
      <c r="AE64" s="13">
        <v>1256.909912109375</v>
      </c>
      <c r="AF64" s="13">
        <v>745.36810302734375</v>
      </c>
      <c r="AG64" s="13">
        <v>480.4278564453125</v>
      </c>
      <c r="AH64" s="13">
        <v>511.75698852539062</v>
      </c>
      <c r="AI64" s="13">
        <v>1250.8851318359375</v>
      </c>
      <c r="AJ64" s="13">
        <v>1151.8712158203125</v>
      </c>
      <c r="AK64" s="13">
        <v>600.10699462890625</v>
      </c>
      <c r="AL64" s="13">
        <v>650.4993896484375</v>
      </c>
      <c r="AM64" s="13">
        <v>1404.3558349609375</v>
      </c>
      <c r="AN64" s="13">
        <v>880.48382568359375</v>
      </c>
      <c r="AO64" s="13">
        <v>1443.4774169921875</v>
      </c>
      <c r="AP64" s="13">
        <v>940.57391357421875</v>
      </c>
      <c r="AQ64" s="13">
        <v>651.41497802734375</v>
      </c>
      <c r="AR64" s="13">
        <v>530.43524169921875</v>
      </c>
      <c r="AS64" s="13">
        <v>759.6297607421875</v>
      </c>
      <c r="AT64" s="13">
        <v>697.1766357421875</v>
      </c>
      <c r="AU64" s="13">
        <v>685.115478515625</v>
      </c>
      <c r="AV64" s="13">
        <v>713.1719970703125</v>
      </c>
      <c r="AW64" s="13">
        <v>408.29025268554688</v>
      </c>
      <c r="AX64" s="13">
        <v>343.39321899414062</v>
      </c>
      <c r="AY64" s="13">
        <v>1667.3292236328125</v>
      </c>
      <c r="AZ64" s="13">
        <v>271.62469482421875</v>
      </c>
      <c r="BA64" s="13">
        <v>831.57879638671875</v>
      </c>
      <c r="BB64" s="13">
        <v>675.85772705078125</v>
      </c>
      <c r="BC64" s="13">
        <v>715.807373046875</v>
      </c>
      <c r="BD64" s="13">
        <v>917.8607177734375</v>
      </c>
      <c r="BE64" s="13">
        <v>564.50390625</v>
      </c>
      <c r="BF64" s="13">
        <v>764.69451904296875</v>
      </c>
      <c r="BG64" s="13">
        <v>1413.7657470703125</v>
      </c>
      <c r="BH64" s="13">
        <v>952.47100830078125</v>
      </c>
      <c r="BI64" s="13">
        <v>697.18560791015625</v>
      </c>
      <c r="BJ64" s="13">
        <v>552.7186279296875</v>
      </c>
      <c r="BK64" s="13">
        <v>312.58157348632812</v>
      </c>
      <c r="BL64" s="13">
        <v>751.19073486328125</v>
      </c>
      <c r="BM64" s="13">
        <v>904.565673828125</v>
      </c>
      <c r="BN64" s="13">
        <v>811.17767333984375</v>
      </c>
      <c r="BO64" s="13">
        <v>602.9940185546875</v>
      </c>
      <c r="BP64" s="13">
        <v>1311.283447265625</v>
      </c>
      <c r="BQ64" s="13"/>
      <c r="BR64" s="13"/>
    </row>
    <row r="65" spans="2:70" x14ac:dyDescent="0.2">
      <c r="B65">
        <v>1860</v>
      </c>
      <c r="C65" s="13">
        <v>1081.1370849609375</v>
      </c>
      <c r="D65" s="13">
        <v>2126.505126953125</v>
      </c>
      <c r="E65" s="13">
        <v>3558.285888671875</v>
      </c>
      <c r="F65" s="13">
        <v>800.21966552734375</v>
      </c>
      <c r="G65" s="13">
        <v>904.2806396484375</v>
      </c>
      <c r="H65" s="13">
        <v>625.1129150390625</v>
      </c>
      <c r="I65" s="13">
        <v>653.00433349609375</v>
      </c>
      <c r="J65" s="13">
        <v>736.43438720703125</v>
      </c>
      <c r="K65" s="13">
        <v>688.9697265625</v>
      </c>
      <c r="L65" s="13">
        <v>2648.023193359375</v>
      </c>
      <c r="M65" s="13">
        <v>2332.111572265625</v>
      </c>
      <c r="N65" s="13">
        <v>2289.60302734375</v>
      </c>
      <c r="O65" s="13">
        <v>2375.2109375</v>
      </c>
      <c r="P65" s="13">
        <v>4713.61083984375</v>
      </c>
      <c r="Q65" s="13">
        <v>2120.0927734375</v>
      </c>
      <c r="R65" s="13">
        <v>3167.202392578125</v>
      </c>
      <c r="S65" s="13">
        <v>2285.611572265625</v>
      </c>
      <c r="T65" s="13">
        <v>1519.5377197265625</v>
      </c>
      <c r="U65" s="13">
        <v>2388.07470703125</v>
      </c>
      <c r="V65" s="13">
        <v>954.35174560546875</v>
      </c>
      <c r="W65" s="13">
        <v>4053.76513671875</v>
      </c>
      <c r="X65" s="13">
        <v>1669.2674560546875</v>
      </c>
      <c r="Y65" s="13">
        <v>4520.96728515625</v>
      </c>
      <c r="Z65" s="13">
        <v>3221.001220703125</v>
      </c>
      <c r="AA65" s="13">
        <v>734.19683837890625</v>
      </c>
      <c r="AB65" s="13">
        <v>1302.8841552734375</v>
      </c>
      <c r="AC65" s="13">
        <v>747.784912109375</v>
      </c>
      <c r="AD65" s="13">
        <v>1278.0771484375</v>
      </c>
      <c r="AE65" s="13">
        <v>1269.892578125</v>
      </c>
      <c r="AF65" s="13">
        <v>735.111083984375</v>
      </c>
      <c r="AG65" s="13">
        <v>485.3648681640625</v>
      </c>
      <c r="AH65" s="13">
        <v>512.06744384765625</v>
      </c>
      <c r="AI65" s="13">
        <v>1269.97021484375</v>
      </c>
      <c r="AJ65" s="13">
        <v>1059.8988037109375</v>
      </c>
      <c r="AK65" s="13">
        <v>611.652587890625</v>
      </c>
      <c r="AL65" s="13">
        <v>653.77899169921875</v>
      </c>
      <c r="AM65" s="13">
        <v>1406.64794921875</v>
      </c>
      <c r="AN65" s="13">
        <v>886.66400146484375</v>
      </c>
      <c r="AO65" s="13">
        <v>1426.6243896484375</v>
      </c>
      <c r="AP65" s="13">
        <v>941.0931396484375</v>
      </c>
      <c r="AQ65" s="13">
        <v>651.77459716796875</v>
      </c>
      <c r="AR65" s="13">
        <v>530.72802734375</v>
      </c>
      <c r="AS65" s="13">
        <v>760.0745849609375</v>
      </c>
      <c r="AT65" s="13">
        <v>697.56146240234375</v>
      </c>
      <c r="AU65" s="13">
        <v>685.49371337890625</v>
      </c>
      <c r="AV65" s="13">
        <v>713.565673828125</v>
      </c>
      <c r="AW65" s="13">
        <v>408.52932739257812</v>
      </c>
      <c r="AX65" s="13">
        <v>343.59432983398438</v>
      </c>
      <c r="AY65" s="13">
        <v>1725.70703125</v>
      </c>
      <c r="AZ65" s="13">
        <v>270.08892822265625</v>
      </c>
      <c r="BA65" s="13">
        <v>836.46148681640625</v>
      </c>
      <c r="BB65" s="13">
        <v>679.82611083984375</v>
      </c>
      <c r="BC65" s="13">
        <v>719.07452392578125</v>
      </c>
      <c r="BD65" s="13">
        <v>931.4161376953125</v>
      </c>
      <c r="BE65" s="13">
        <v>564.4639892578125</v>
      </c>
      <c r="BF65" s="13">
        <v>764.63031005859375</v>
      </c>
      <c r="BG65" s="13">
        <v>1420.1583251953125</v>
      </c>
      <c r="BH65" s="13">
        <v>948.9434814453125</v>
      </c>
      <c r="BI65" s="13">
        <v>688.87872314453125</v>
      </c>
      <c r="BJ65" s="13">
        <v>553.91619873046875</v>
      </c>
      <c r="BK65" s="13">
        <v>312.2926025390625</v>
      </c>
      <c r="BL65" s="13">
        <v>748.40863037109375</v>
      </c>
      <c r="BM65" s="13">
        <v>904.93170166015625</v>
      </c>
      <c r="BN65" s="13">
        <v>811.4644775390625</v>
      </c>
      <c r="BO65" s="13">
        <v>602.037841796875</v>
      </c>
      <c r="BP65" s="13">
        <v>1304.720947265625</v>
      </c>
      <c r="BQ65" s="13"/>
      <c r="BR65" s="13"/>
    </row>
    <row r="66" spans="2:70" x14ac:dyDescent="0.2">
      <c r="B66">
        <v>1861</v>
      </c>
      <c r="C66" s="13">
        <v>1090.3533935546875</v>
      </c>
      <c r="D66" s="13">
        <v>2148.8056640625</v>
      </c>
      <c r="E66" s="13">
        <v>3536.36328125</v>
      </c>
      <c r="F66" s="13">
        <v>794.792724609375</v>
      </c>
      <c r="G66" s="13">
        <v>908.7393798828125</v>
      </c>
      <c r="H66" s="13">
        <v>619.615966796875</v>
      </c>
      <c r="I66" s="13">
        <v>629.56396484375</v>
      </c>
      <c r="J66" s="13">
        <v>740.1451416015625</v>
      </c>
      <c r="K66" s="13">
        <v>685.69000244140625</v>
      </c>
      <c r="L66" s="13">
        <v>2560.286865234375</v>
      </c>
      <c r="M66" s="13">
        <v>2332.505859375</v>
      </c>
      <c r="N66" s="13">
        <v>2289.037841796875</v>
      </c>
      <c r="O66" s="13">
        <v>2409.681640625</v>
      </c>
      <c r="P66" s="13">
        <v>4920.5732421875</v>
      </c>
      <c r="Q66" s="13">
        <v>2130.546630859375</v>
      </c>
      <c r="R66" s="13">
        <v>3067.518798828125</v>
      </c>
      <c r="S66" s="13">
        <v>2274.254638671875</v>
      </c>
      <c r="T66" s="13">
        <v>1455.8505859375</v>
      </c>
      <c r="U66" s="13">
        <v>2400.388427734375</v>
      </c>
      <c r="V66" s="13">
        <v>961.73883056640625</v>
      </c>
      <c r="W66" s="13">
        <v>4025.3896484375</v>
      </c>
      <c r="X66" s="13">
        <v>1694.4110107421875</v>
      </c>
      <c r="Y66" s="13">
        <v>4442.38427734375</v>
      </c>
      <c r="Z66" s="13">
        <v>3330.349365234375</v>
      </c>
      <c r="AA66" s="13">
        <v>728.55340576171875</v>
      </c>
      <c r="AB66" s="13">
        <v>1307.033447265625</v>
      </c>
      <c r="AC66" s="13">
        <v>736.108154296875</v>
      </c>
      <c r="AD66" s="13">
        <v>1173.9791259765625</v>
      </c>
      <c r="AE66" s="13">
        <v>1284.3369140625</v>
      </c>
      <c r="AF66" s="13">
        <v>744.0841064453125</v>
      </c>
      <c r="AG66" s="13">
        <v>478.68380737304688</v>
      </c>
      <c r="AH66" s="13">
        <v>512.3209228515625</v>
      </c>
      <c r="AI66" s="13">
        <v>1289.122802734375</v>
      </c>
      <c r="AJ66" s="13">
        <v>1060.9951171875</v>
      </c>
      <c r="AK66" s="13">
        <v>613.08929443359375</v>
      </c>
      <c r="AL66" s="13">
        <v>656.92767333984375</v>
      </c>
      <c r="AM66" s="13">
        <v>1408.786865234375</v>
      </c>
      <c r="AN66" s="13">
        <v>892.78802490234375</v>
      </c>
      <c r="AO66" s="13">
        <v>1433.7535400390625</v>
      </c>
      <c r="AP66" s="13">
        <v>941.5076904296875</v>
      </c>
      <c r="AQ66" s="13">
        <v>652.0616455078125</v>
      </c>
      <c r="AR66" s="13">
        <v>530.9617919921875</v>
      </c>
      <c r="AS66" s="13">
        <v>760.43377685546875</v>
      </c>
      <c r="AT66" s="13">
        <v>697.86871337890625</v>
      </c>
      <c r="AU66" s="13">
        <v>685.795654296875</v>
      </c>
      <c r="AV66" s="13">
        <v>713.8800048828125</v>
      </c>
      <c r="AW66" s="13">
        <v>408.72238159179688</v>
      </c>
      <c r="AX66" s="13">
        <v>343.75668334960938</v>
      </c>
      <c r="AY66" s="13">
        <v>1623.8768310546875</v>
      </c>
      <c r="AZ66" s="13">
        <v>267.7265625</v>
      </c>
      <c r="BA66" s="13">
        <v>806.4168701171875</v>
      </c>
      <c r="BB66" s="13">
        <v>655.4075927734375</v>
      </c>
      <c r="BC66" s="13">
        <v>722.23431396484375</v>
      </c>
      <c r="BD66" s="13">
        <v>935.6494140625</v>
      </c>
      <c r="BE66" s="13">
        <v>564.36041259765625</v>
      </c>
      <c r="BF66" s="13">
        <v>764.47076416015625</v>
      </c>
      <c r="BG66" s="13">
        <v>1426.4522705078125</v>
      </c>
      <c r="BH66" s="13">
        <v>944.88885498046875</v>
      </c>
      <c r="BI66" s="13">
        <v>684.0513916015625</v>
      </c>
      <c r="BJ66" s="13">
        <v>555.9412841796875</v>
      </c>
      <c r="BK66" s="13">
        <v>311.82565307617188</v>
      </c>
      <c r="BL66" s="13">
        <v>745.21087646484375</v>
      </c>
      <c r="BM66" s="13">
        <v>904.78094482421875</v>
      </c>
      <c r="BN66" s="13">
        <v>811.28759765625</v>
      </c>
      <c r="BO66" s="13">
        <v>600.8101806640625</v>
      </c>
      <c r="BP66" s="13">
        <v>1297.66748046875</v>
      </c>
      <c r="BQ66" s="13"/>
      <c r="BR66" s="13"/>
    </row>
    <row r="67" spans="2:70" x14ac:dyDescent="0.2">
      <c r="B67">
        <v>1862</v>
      </c>
      <c r="C67" s="13">
        <v>1101.101318359375</v>
      </c>
      <c r="D67" s="13">
        <v>2194.146728515625</v>
      </c>
      <c r="E67" s="13">
        <v>3467.18359375</v>
      </c>
      <c r="F67" s="13">
        <v>813.39263916015625</v>
      </c>
      <c r="G67" s="13">
        <v>914.0888671875</v>
      </c>
      <c r="H67" s="13">
        <v>596.42193603515625</v>
      </c>
      <c r="I67" s="13">
        <v>569.5164794921875</v>
      </c>
      <c r="J67" s="13">
        <v>744.0850830078125</v>
      </c>
      <c r="K67" s="13">
        <v>677.40972900390625</v>
      </c>
      <c r="L67" s="13">
        <v>2660.631103515625</v>
      </c>
      <c r="M67" s="13">
        <v>2375.13427734375</v>
      </c>
      <c r="N67" s="13">
        <v>2287.167724609375</v>
      </c>
      <c r="O67" s="13">
        <v>2462.576416015625</v>
      </c>
      <c r="P67" s="13">
        <v>4979.39013671875</v>
      </c>
      <c r="Q67" s="13">
        <v>2189.727783203125</v>
      </c>
      <c r="R67" s="13">
        <v>3117.259521484375</v>
      </c>
      <c r="S67" s="13">
        <v>2439.7373046875</v>
      </c>
      <c r="T67" s="13">
        <v>1406.8544921875</v>
      </c>
      <c r="U67" s="13">
        <v>2452.384521484375</v>
      </c>
      <c r="V67" s="13">
        <v>982.23797607421875</v>
      </c>
      <c r="W67" s="13">
        <v>3939.9951171875</v>
      </c>
      <c r="X67" s="13">
        <v>1720.5294189453125</v>
      </c>
      <c r="Y67" s="13">
        <v>4265.9296875</v>
      </c>
      <c r="Z67" s="13">
        <v>3444.377197265625</v>
      </c>
      <c r="AA67" s="13">
        <v>714.65386962890625</v>
      </c>
      <c r="AB67" s="13">
        <v>1314.882080078125</v>
      </c>
      <c r="AC67" s="13">
        <v>788.50494384765625</v>
      </c>
      <c r="AD67" s="13">
        <v>1113.605712890625</v>
      </c>
      <c r="AE67" s="13">
        <v>1295.629638671875</v>
      </c>
      <c r="AF67" s="13">
        <v>753.42779541015625</v>
      </c>
      <c r="AG67" s="13">
        <v>489.26657104492188</v>
      </c>
      <c r="AH67" s="13">
        <v>512.66192626953125</v>
      </c>
      <c r="AI67" s="13">
        <v>1308.927734375</v>
      </c>
      <c r="AJ67" s="13">
        <v>1066.1539306640625</v>
      </c>
      <c r="AK67" s="13">
        <v>614.740234375</v>
      </c>
      <c r="AL67" s="13">
        <v>660.3179931640625</v>
      </c>
      <c r="AM67" s="13">
        <v>1411.1695556640625</v>
      </c>
      <c r="AN67" s="13">
        <v>899.107666015625</v>
      </c>
      <c r="AO67" s="13">
        <v>1443.1240234375</v>
      </c>
      <c r="AP67" s="13">
        <v>942.0830078125</v>
      </c>
      <c r="AQ67" s="13">
        <v>652.46014404296875</v>
      </c>
      <c r="AR67" s="13">
        <v>531.28631591796875</v>
      </c>
      <c r="AS67" s="13">
        <v>760.9298095703125</v>
      </c>
      <c r="AT67" s="13">
        <v>698.295166015625</v>
      </c>
      <c r="AU67" s="13">
        <v>686.2147216796875</v>
      </c>
      <c r="AV67" s="13">
        <v>714.31622314453125</v>
      </c>
      <c r="AW67" s="13">
        <v>408.989013671875</v>
      </c>
      <c r="AX67" s="13">
        <v>343.98092651367188</v>
      </c>
      <c r="AY67" s="13">
        <v>1195.7635498046875</v>
      </c>
      <c r="AZ67" s="13">
        <v>257.97247314453125</v>
      </c>
      <c r="BA67" s="13">
        <v>729.4925537109375</v>
      </c>
      <c r="BB67" s="13">
        <v>592.8880615234375</v>
      </c>
      <c r="BC67" s="13">
        <v>725.59600830078125</v>
      </c>
      <c r="BD67" s="13">
        <v>940.1563720703125</v>
      </c>
      <c r="BE67" s="13">
        <v>564.35418701171875</v>
      </c>
      <c r="BF67" s="13">
        <v>764.46893310546875</v>
      </c>
      <c r="BG67" s="13">
        <v>1433.2872314453125</v>
      </c>
      <c r="BH67" s="13">
        <v>935.864501953125</v>
      </c>
      <c r="BI67" s="13">
        <v>679.6329345703125</v>
      </c>
      <c r="BJ67" s="13">
        <v>518.98004150390625</v>
      </c>
      <c r="BK67" s="13">
        <v>309.708984375</v>
      </c>
      <c r="BL67" s="13">
        <v>738.0936279296875</v>
      </c>
      <c r="BM67" s="13">
        <v>905.41949462890625</v>
      </c>
      <c r="BN67" s="13">
        <v>811.8184814453125</v>
      </c>
      <c r="BO67" s="13">
        <v>600.0010986328125</v>
      </c>
      <c r="BP67" s="13">
        <v>1284.060791015625</v>
      </c>
      <c r="BQ67" s="13"/>
      <c r="BR67" s="13"/>
    </row>
    <row r="68" spans="2:70" x14ac:dyDescent="0.2">
      <c r="B68">
        <v>1863</v>
      </c>
      <c r="C68" s="13">
        <v>1151.5184326171875</v>
      </c>
      <c r="D68" s="13">
        <v>2274.2939453125</v>
      </c>
      <c r="E68" s="13">
        <v>3803.89501953125</v>
      </c>
      <c r="F68" s="13">
        <v>827.93597412109375</v>
      </c>
      <c r="G68" s="13">
        <v>917.78564453125</v>
      </c>
      <c r="H68" s="13">
        <v>602.253662109375</v>
      </c>
      <c r="I68" s="13">
        <v>686.74591064453125</v>
      </c>
      <c r="J68" s="13">
        <v>747.8992919921875</v>
      </c>
      <c r="K68" s="13">
        <v>673.254638671875</v>
      </c>
      <c r="L68" s="13">
        <v>2827.9736328125</v>
      </c>
      <c r="M68" s="13">
        <v>2494.0302734375</v>
      </c>
      <c r="N68" s="13">
        <v>2315.591064453125</v>
      </c>
      <c r="O68" s="13">
        <v>2558.883544921875</v>
      </c>
      <c r="P68" s="13">
        <v>5136.60986328125</v>
      </c>
      <c r="Q68" s="13">
        <v>2230.271728515625</v>
      </c>
      <c r="R68" s="13">
        <v>3246.228271484375</v>
      </c>
      <c r="S68" s="13">
        <v>2375.4140625</v>
      </c>
      <c r="T68" s="13">
        <v>1465.7479248046875</v>
      </c>
      <c r="U68" s="13">
        <v>2539.18310546875</v>
      </c>
      <c r="V68" s="13">
        <v>1015.9600219726562</v>
      </c>
      <c r="W68" s="13">
        <v>4350.64111328125</v>
      </c>
      <c r="X68" s="13">
        <v>1745.8990478515625</v>
      </c>
      <c r="Y68" s="13">
        <v>4234.3017578125</v>
      </c>
      <c r="Z68" s="13">
        <v>3560.498291015625</v>
      </c>
      <c r="AA68" s="13">
        <v>782.51788330078125</v>
      </c>
      <c r="AB68" s="13">
        <v>1315.6568603515625</v>
      </c>
      <c r="AC68" s="13">
        <v>791.55096435546875</v>
      </c>
      <c r="AD68" s="13">
        <v>1167.5469970703125</v>
      </c>
      <c r="AE68" s="13">
        <v>1316.674072265625</v>
      </c>
      <c r="AF68" s="13">
        <v>762.38592529296875</v>
      </c>
      <c r="AG68" s="13">
        <v>490.35317993164062</v>
      </c>
      <c r="AH68" s="13">
        <v>512.83697509765625</v>
      </c>
      <c r="AI68" s="13">
        <v>1328.3685302734375</v>
      </c>
      <c r="AJ68" s="13">
        <v>1063.4698486328125</v>
      </c>
      <c r="AK68" s="13">
        <v>615.99359130859375</v>
      </c>
      <c r="AL68" s="13">
        <v>663.29296875</v>
      </c>
      <c r="AM68" s="13">
        <v>1413.0982666015625</v>
      </c>
      <c r="AN68" s="13">
        <v>905.17864990234375</v>
      </c>
      <c r="AO68" s="13">
        <v>1449.74072265625</v>
      </c>
      <c r="AP68" s="13">
        <v>942.35321044921875</v>
      </c>
      <c r="AQ68" s="13">
        <v>652.64727783203125</v>
      </c>
      <c r="AR68" s="13">
        <v>531.438720703125</v>
      </c>
      <c r="AS68" s="13">
        <v>761.1834716796875</v>
      </c>
      <c r="AT68" s="13">
        <v>698.4954833984375</v>
      </c>
      <c r="AU68" s="13">
        <v>686.41162109375</v>
      </c>
      <c r="AV68" s="13">
        <v>714.5211181640625</v>
      </c>
      <c r="AW68" s="13">
        <v>409.12533569335938</v>
      </c>
      <c r="AX68" s="13">
        <v>344.0955810546875</v>
      </c>
      <c r="AY68" s="13">
        <v>1279.1763916015625</v>
      </c>
      <c r="AZ68" s="13">
        <v>259.6331787109375</v>
      </c>
      <c r="BA68" s="13">
        <v>879.6444091796875</v>
      </c>
      <c r="BB68" s="13">
        <v>714.922607421875</v>
      </c>
      <c r="BC68" s="13">
        <v>728.61407470703125</v>
      </c>
      <c r="BD68" s="13">
        <v>944.30157470703125</v>
      </c>
      <c r="BE68" s="13">
        <v>564.1630859375</v>
      </c>
      <c r="BF68" s="13">
        <v>764.20562744140625</v>
      </c>
      <c r="BG68" s="13">
        <v>1439.350830078125</v>
      </c>
      <c r="BH68" s="13">
        <v>930.68719482421875</v>
      </c>
      <c r="BI68" s="13">
        <v>674.1212158203125</v>
      </c>
      <c r="BJ68" s="13">
        <v>519.06195068359375</v>
      </c>
      <c r="BK68" s="13">
        <v>308.85476684570312</v>
      </c>
      <c r="BL68" s="13">
        <v>734.0103759765625</v>
      </c>
      <c r="BM68" s="13">
        <v>910.559326171875</v>
      </c>
      <c r="BN68" s="13">
        <v>816.38519287109375</v>
      </c>
      <c r="BO68" s="13">
        <v>598.40185546875</v>
      </c>
      <c r="BP68" s="13">
        <v>1275.1031494140625</v>
      </c>
      <c r="BQ68" s="13"/>
      <c r="BR68" s="13"/>
    </row>
    <row r="69" spans="2:70" x14ac:dyDescent="0.2">
      <c r="B69">
        <v>1864</v>
      </c>
      <c r="C69" s="13">
        <v>1170.78857421875</v>
      </c>
      <c r="D69" s="13">
        <v>2309.00537109375</v>
      </c>
      <c r="E69" s="13">
        <v>3910.4951171875</v>
      </c>
      <c r="F69" s="13">
        <v>769.6051025390625</v>
      </c>
      <c r="G69" s="13">
        <v>920.6846923828125</v>
      </c>
      <c r="H69" s="13">
        <v>632.959228515625</v>
      </c>
      <c r="I69" s="13">
        <v>563.66851806640625</v>
      </c>
      <c r="J69" s="13">
        <v>751.88818359375</v>
      </c>
      <c r="K69" s="13">
        <v>667.59326171875</v>
      </c>
      <c r="L69" s="13">
        <v>2876.268310546875</v>
      </c>
      <c r="M69" s="13">
        <v>2445.117919921875</v>
      </c>
      <c r="N69" s="13">
        <v>2293.180908203125</v>
      </c>
      <c r="O69" s="13">
        <v>2638.810791015625</v>
      </c>
      <c r="P69" s="13">
        <v>5231.43994140625</v>
      </c>
      <c r="Q69" s="13">
        <v>2184.76708984375</v>
      </c>
      <c r="R69" s="13">
        <v>3326.05517578125</v>
      </c>
      <c r="S69" s="13">
        <v>2404.39111328125</v>
      </c>
      <c r="T69" s="13">
        <v>1488.400390625</v>
      </c>
      <c r="U69" s="13">
        <v>2575.288818359375</v>
      </c>
      <c r="V69" s="13">
        <v>1028.9981689453125</v>
      </c>
      <c r="W69" s="13">
        <v>4470.2158203125</v>
      </c>
      <c r="X69" s="13">
        <v>1771.0789794921875</v>
      </c>
      <c r="Y69" s="13">
        <v>4468.25830078125</v>
      </c>
      <c r="Z69" s="13">
        <v>3679.6923828125</v>
      </c>
      <c r="AA69" s="13">
        <v>804.706298828125</v>
      </c>
      <c r="AB69" s="13">
        <v>1312.90966796875</v>
      </c>
      <c r="AC69" s="13">
        <v>584.6533203125</v>
      </c>
      <c r="AD69" s="13">
        <v>1175.282958984375</v>
      </c>
      <c r="AE69" s="13">
        <v>1332.718505859375</v>
      </c>
      <c r="AF69" s="13">
        <v>771.20513916015625</v>
      </c>
      <c r="AG69" s="13">
        <v>443.57803344726562</v>
      </c>
      <c r="AH69" s="13">
        <v>512.9320068359375</v>
      </c>
      <c r="AI69" s="13">
        <v>1347.7930908203125</v>
      </c>
      <c r="AJ69" s="13">
        <v>1056.873779296875</v>
      </c>
      <c r="AK69" s="13">
        <v>617.05511474609375</v>
      </c>
      <c r="AL69" s="13">
        <v>666.07147216796875</v>
      </c>
      <c r="AM69" s="13">
        <v>1414.80859375</v>
      </c>
      <c r="AN69" s="13">
        <v>911.1483154296875</v>
      </c>
      <c r="AO69" s="13">
        <v>1454.9931640625</v>
      </c>
      <c r="AP69" s="13">
        <v>942.47637939453125</v>
      </c>
      <c r="AQ69" s="13">
        <v>652.7325439453125</v>
      </c>
      <c r="AR69" s="13">
        <v>531.50811767578125</v>
      </c>
      <c r="AS69" s="13">
        <v>761.3416748046875</v>
      </c>
      <c r="AT69" s="13">
        <v>698.5867919921875</v>
      </c>
      <c r="AU69" s="13">
        <v>686.50128173828125</v>
      </c>
      <c r="AV69" s="13">
        <v>714.614501953125</v>
      </c>
      <c r="AW69" s="13">
        <v>409.21035766601562</v>
      </c>
      <c r="AX69" s="13">
        <v>344.16708374023438</v>
      </c>
      <c r="AY69" s="13">
        <v>1783.1107177734375</v>
      </c>
      <c r="AZ69" s="13">
        <v>270.98861694335938</v>
      </c>
      <c r="BA69" s="13">
        <v>721.99041748046875</v>
      </c>
      <c r="BB69" s="13">
        <v>586.790771484375</v>
      </c>
      <c r="BC69" s="13">
        <v>731.47088623046875</v>
      </c>
      <c r="BD69" s="13">
        <v>948.405517578125</v>
      </c>
      <c r="BE69" s="13">
        <v>563.88311767578125</v>
      </c>
      <c r="BF69" s="13">
        <v>769.10040283203125</v>
      </c>
      <c r="BG69" s="13">
        <v>1445.1932373046875</v>
      </c>
      <c r="BH69" s="13">
        <v>924.63446044921875</v>
      </c>
      <c r="BI69" s="13">
        <v>668.114501953125</v>
      </c>
      <c r="BJ69" s="13">
        <v>510.43096923828125</v>
      </c>
      <c r="BK69" s="13">
        <v>307.7020263671875</v>
      </c>
      <c r="BL69" s="13">
        <v>729.23675537109375</v>
      </c>
      <c r="BM69" s="13">
        <v>909.53216552734375</v>
      </c>
      <c r="BN69" s="13">
        <v>815.42236328125</v>
      </c>
      <c r="BO69" s="13">
        <v>600.73541259765625</v>
      </c>
      <c r="BP69" s="13">
        <v>1263.4927978515625</v>
      </c>
      <c r="BQ69" s="13"/>
      <c r="BR69" s="13"/>
    </row>
    <row r="70" spans="2:70" x14ac:dyDescent="0.2">
      <c r="B70">
        <v>1865</v>
      </c>
      <c r="C70" s="13">
        <v>1178.41064453125</v>
      </c>
      <c r="D70" s="13">
        <v>2308.916259765625</v>
      </c>
      <c r="E70" s="13">
        <v>3862.90771484375</v>
      </c>
      <c r="F70" s="13">
        <v>857.45062255859375</v>
      </c>
      <c r="G70" s="13">
        <v>927.82806396484375</v>
      </c>
      <c r="H70" s="13">
        <v>605.43939208984375</v>
      </c>
      <c r="I70" s="13">
        <v>509.382568359375</v>
      </c>
      <c r="J70" s="13">
        <v>757.2364501953125</v>
      </c>
      <c r="K70" s="13">
        <v>667.140380859375</v>
      </c>
      <c r="L70" s="13">
        <v>2860.830322265625</v>
      </c>
      <c r="M70" s="13">
        <v>2501.883056640625</v>
      </c>
      <c r="N70" s="13">
        <v>2194.560791015625</v>
      </c>
      <c r="O70" s="13">
        <v>2584.331298828125</v>
      </c>
      <c r="P70" s="13">
        <v>5260.7275390625</v>
      </c>
      <c r="Q70" s="13">
        <v>2302.1572265625</v>
      </c>
      <c r="R70" s="13">
        <v>3340.437744140625</v>
      </c>
      <c r="S70" s="13">
        <v>2499.974609375</v>
      </c>
      <c r="T70" s="13">
        <v>1514.2054443359375</v>
      </c>
      <c r="U70" s="13">
        <v>2573.729736328125</v>
      </c>
      <c r="V70" s="13">
        <v>1028.767578125</v>
      </c>
      <c r="W70" s="13">
        <v>4403.28662109375</v>
      </c>
      <c r="X70" s="13">
        <v>1799.6119384765625</v>
      </c>
      <c r="Y70" s="13">
        <v>4269.87158203125</v>
      </c>
      <c r="Z70" s="13">
        <v>3807.729736328125</v>
      </c>
      <c r="AA70" s="13">
        <v>794.3406982421875</v>
      </c>
      <c r="AB70" s="13">
        <v>1328.2523193359375</v>
      </c>
      <c r="AC70" s="13">
        <v>827.25152587890625</v>
      </c>
      <c r="AD70" s="13">
        <v>1250.4287109375</v>
      </c>
      <c r="AE70" s="13">
        <v>1332.4014892578125</v>
      </c>
      <c r="AF70" s="13">
        <v>781.4246826171875</v>
      </c>
      <c r="AG70" s="13">
        <v>503.11383056640625</v>
      </c>
      <c r="AH70" s="13">
        <v>513.44635009765625</v>
      </c>
      <c r="AI70" s="13">
        <v>1369.2283935546875</v>
      </c>
      <c r="AJ70" s="13">
        <v>1070.223876953125</v>
      </c>
      <c r="AK70" s="13">
        <v>619.13641357421875</v>
      </c>
      <c r="AL70" s="13">
        <v>669.96307373046875</v>
      </c>
      <c r="AM70" s="13">
        <v>1417.6787109375</v>
      </c>
      <c r="AN70" s="13">
        <v>917.906982421875</v>
      </c>
      <c r="AO70" s="13">
        <v>1467.5242919921875</v>
      </c>
      <c r="AP70" s="13">
        <v>943.369873046875</v>
      </c>
      <c r="AQ70" s="13">
        <v>653.3514404296875</v>
      </c>
      <c r="AR70" s="13">
        <v>532.01202392578125</v>
      </c>
      <c r="AS70" s="13">
        <v>762.07745361328125</v>
      </c>
      <c r="AT70" s="13">
        <v>699.2491455078125</v>
      </c>
      <c r="AU70" s="13">
        <v>687.152099609375</v>
      </c>
      <c r="AV70" s="13">
        <v>715.2919921875</v>
      </c>
      <c r="AW70" s="13">
        <v>409.60589599609375</v>
      </c>
      <c r="AX70" s="13">
        <v>344.49981689453125</v>
      </c>
      <c r="AY70" s="13">
        <v>1311.9801025390625</v>
      </c>
      <c r="AZ70" s="13">
        <v>260.62356567382812</v>
      </c>
      <c r="BA70" s="13">
        <v>652.4586181640625</v>
      </c>
      <c r="BB70" s="13">
        <v>530.279541015625</v>
      </c>
      <c r="BC70" s="13">
        <v>735.2520751953125</v>
      </c>
      <c r="BD70" s="13">
        <v>953.3006591796875</v>
      </c>
      <c r="BE70" s="13">
        <v>564.0687255859375</v>
      </c>
      <c r="BF70" s="13">
        <v>769.41680908203125</v>
      </c>
      <c r="BG70" s="13">
        <v>1453.8359375</v>
      </c>
      <c r="BH70" s="13">
        <v>923.295166015625</v>
      </c>
      <c r="BI70" s="13">
        <v>664.94805908203125</v>
      </c>
      <c r="BJ70" s="13">
        <v>524.7406005859375</v>
      </c>
      <c r="BK70" s="13">
        <v>308.1134033203125</v>
      </c>
      <c r="BL70" s="13">
        <v>728.18048095703125</v>
      </c>
      <c r="BM70" s="13">
        <v>905.15972900390625</v>
      </c>
      <c r="BN70" s="13">
        <v>822.9044189453125</v>
      </c>
      <c r="BO70" s="13">
        <v>600.6168212890625</v>
      </c>
      <c r="BP70" s="13">
        <v>1262.1114501953125</v>
      </c>
      <c r="BQ70" s="13"/>
      <c r="BR70" s="13"/>
    </row>
    <row r="71" spans="2:70" x14ac:dyDescent="0.2">
      <c r="B71">
        <v>1866</v>
      </c>
      <c r="C71" s="13">
        <v>1193.6986083984375</v>
      </c>
      <c r="D71" s="13">
        <v>2301.5185546875</v>
      </c>
      <c r="E71" s="13">
        <v>3902.9775390625</v>
      </c>
      <c r="F71" s="13">
        <v>864.78955078125</v>
      </c>
      <c r="G71" s="13">
        <v>935.54815673828125</v>
      </c>
      <c r="H71" s="13">
        <v>608.89398193359375</v>
      </c>
      <c r="I71" s="13">
        <v>620.3089599609375</v>
      </c>
      <c r="J71" s="13">
        <v>762.448974609375</v>
      </c>
      <c r="K71" s="13">
        <v>665.63397216796875</v>
      </c>
      <c r="L71" s="13">
        <v>2863.1435546875</v>
      </c>
      <c r="M71" s="13">
        <v>2480.362060546875</v>
      </c>
      <c r="N71" s="13">
        <v>2328.33349609375</v>
      </c>
      <c r="O71" s="13">
        <v>2645.243408203125</v>
      </c>
      <c r="P71" s="13">
        <v>5217.0517578125</v>
      </c>
      <c r="Q71" s="13">
        <v>2135.9892578125</v>
      </c>
      <c r="R71" s="13">
        <v>3468.344482421875</v>
      </c>
      <c r="S71" s="13">
        <v>2382.7001953125</v>
      </c>
      <c r="T71" s="13">
        <v>1481.0714111328125</v>
      </c>
      <c r="U71" s="13">
        <v>2567.75830078125</v>
      </c>
      <c r="V71" s="13">
        <v>1026.3397216796875</v>
      </c>
      <c r="W71" s="13">
        <v>4435.1259765625</v>
      </c>
      <c r="X71" s="13">
        <v>1827.8760986328125</v>
      </c>
      <c r="Y71" s="13">
        <v>4395.685546875</v>
      </c>
      <c r="Z71" s="13">
        <v>3939.00732421875</v>
      </c>
      <c r="AA71" s="13">
        <v>801.88836669921875</v>
      </c>
      <c r="AB71" s="13">
        <v>1339.356689453125</v>
      </c>
      <c r="AC71" s="13">
        <v>830.8707275390625</v>
      </c>
      <c r="AD71" s="13">
        <v>1287.251708984375</v>
      </c>
      <c r="AE71" s="13">
        <v>1325.2371826171875</v>
      </c>
      <c r="AF71" s="13">
        <v>791.464111328125</v>
      </c>
      <c r="AG71" s="13">
        <v>508.49600219726562</v>
      </c>
      <c r="AH71" s="13">
        <v>513.86053466796875</v>
      </c>
      <c r="AI71" s="13">
        <v>1390.580322265625</v>
      </c>
      <c r="AJ71" s="13">
        <v>1078.861572265625</v>
      </c>
      <c r="AK71" s="13">
        <v>620.97967529296875</v>
      </c>
      <c r="AL71" s="13">
        <v>673.6116943359375</v>
      </c>
      <c r="AM71" s="13">
        <v>1420.2767333984375</v>
      </c>
      <c r="AN71" s="13">
        <v>924.5347900390625</v>
      </c>
      <c r="AO71" s="13">
        <v>1478.6680908203125</v>
      </c>
      <c r="AP71" s="13">
        <v>944.07952880859375</v>
      </c>
      <c r="AQ71" s="13">
        <v>653.8428955078125</v>
      </c>
      <c r="AR71" s="13">
        <v>532.4122314453125</v>
      </c>
      <c r="AS71" s="13">
        <v>762.6783447265625</v>
      </c>
      <c r="AT71" s="13">
        <v>699.7750244140625</v>
      </c>
      <c r="AU71" s="13">
        <v>687.66900634765625</v>
      </c>
      <c r="AV71" s="13">
        <v>715.83001708984375</v>
      </c>
      <c r="AW71" s="13">
        <v>409.92880249023438</v>
      </c>
      <c r="AX71" s="13">
        <v>344.77133178710938</v>
      </c>
      <c r="AY71" s="13">
        <v>1365.28466796875</v>
      </c>
      <c r="AZ71" s="13">
        <v>262.34762573242188</v>
      </c>
      <c r="BA71" s="13">
        <v>794.57586669921875</v>
      </c>
      <c r="BB71" s="13">
        <v>645.78399658203125</v>
      </c>
      <c r="BC71" s="13">
        <v>738.83270263671875</v>
      </c>
      <c r="BD71" s="13">
        <v>958.0506591796875</v>
      </c>
      <c r="BE71" s="13">
        <v>564.14288330078125</v>
      </c>
      <c r="BF71" s="13">
        <v>769.59649658203125</v>
      </c>
      <c r="BG71" s="13">
        <v>1461.9564208984375</v>
      </c>
      <c r="BH71" s="13">
        <v>920.83624267578125</v>
      </c>
      <c r="BI71" s="13">
        <v>661.1304931640625</v>
      </c>
      <c r="BJ71" s="13">
        <v>535.53564453125</v>
      </c>
      <c r="BK71" s="13">
        <v>308.14999389648438</v>
      </c>
      <c r="BL71" s="13">
        <v>726.2412109375</v>
      </c>
      <c r="BM71" s="13">
        <v>900.080078125</v>
      </c>
      <c r="BN71" s="13">
        <v>818.29193115234375</v>
      </c>
      <c r="BO71" s="13">
        <v>600.1407470703125</v>
      </c>
      <c r="BP71" s="13">
        <v>1258.7381591796875</v>
      </c>
      <c r="BQ71" s="13"/>
      <c r="BR71" s="13"/>
    </row>
    <row r="72" spans="2:70" x14ac:dyDescent="0.2">
      <c r="B72">
        <v>1867</v>
      </c>
      <c r="C72" s="13">
        <v>1182.236328125</v>
      </c>
      <c r="D72" s="13">
        <v>2251.997314453125</v>
      </c>
      <c r="E72" s="13">
        <v>3853.251220703125</v>
      </c>
      <c r="F72" s="13">
        <v>860.30413818359375</v>
      </c>
      <c r="G72" s="13">
        <v>942.4180908203125</v>
      </c>
      <c r="H72" s="13">
        <v>624.69610595703125</v>
      </c>
      <c r="I72" s="13">
        <v>527.0130615234375</v>
      </c>
      <c r="J72" s="13">
        <v>766.86865234375</v>
      </c>
      <c r="K72" s="13">
        <v>666.31109619140625</v>
      </c>
      <c r="L72" s="13">
        <v>2855.55322265625</v>
      </c>
      <c r="M72" s="13">
        <v>2455.676025390625</v>
      </c>
      <c r="N72" s="13">
        <v>2290.751220703125</v>
      </c>
      <c r="O72" s="13">
        <v>2589.739990234375</v>
      </c>
      <c r="P72" s="13">
        <v>5008.10986328125</v>
      </c>
      <c r="Q72" s="13">
        <v>2153.537841796875</v>
      </c>
      <c r="R72" s="13">
        <v>3242.8271484375</v>
      </c>
      <c r="S72" s="13">
        <v>2398.185791015625</v>
      </c>
      <c r="T72" s="13">
        <v>1505.4658203125</v>
      </c>
      <c r="U72" s="13">
        <v>2517.2763671875</v>
      </c>
      <c r="V72" s="13">
        <v>1006.2910766601562</v>
      </c>
      <c r="W72" s="13">
        <v>4346.421875</v>
      </c>
      <c r="X72" s="13">
        <v>1856.8841552734375</v>
      </c>
      <c r="Y72" s="13">
        <v>4810.95703125</v>
      </c>
      <c r="Z72" s="13">
        <v>4075.281005859375</v>
      </c>
      <c r="AA72" s="13">
        <v>791.865234375</v>
      </c>
      <c r="AB72" s="13">
        <v>1352.3531494140625</v>
      </c>
      <c r="AC72" s="13">
        <v>796.1728515625</v>
      </c>
      <c r="AD72" s="13">
        <v>1301.4031982421875</v>
      </c>
      <c r="AE72" s="13">
        <v>1324.661376953125</v>
      </c>
      <c r="AF72" s="13">
        <v>801.76214599609375</v>
      </c>
      <c r="AG72" s="13">
        <v>506.48974609375</v>
      </c>
      <c r="AH72" s="13">
        <v>514.31591796875</v>
      </c>
      <c r="AI72" s="13">
        <v>1412.4263916015625</v>
      </c>
      <c r="AJ72" s="13">
        <v>1089.553466796875</v>
      </c>
      <c r="AK72" s="13">
        <v>622.9281005859375</v>
      </c>
      <c r="AL72" s="13">
        <v>677.3885498046875</v>
      </c>
      <c r="AM72" s="13">
        <v>1422.992431640625</v>
      </c>
      <c r="AN72" s="13">
        <v>931.28436279296875</v>
      </c>
      <c r="AO72" s="13">
        <v>1491.252197265625</v>
      </c>
      <c r="AP72" s="13">
        <v>944.8646240234375</v>
      </c>
      <c r="AQ72" s="13">
        <v>654.3865966796875</v>
      </c>
      <c r="AR72" s="13">
        <v>532.85498046875</v>
      </c>
      <c r="AS72" s="13">
        <v>763.33905029296875</v>
      </c>
      <c r="AT72" s="13">
        <v>700.3570556640625</v>
      </c>
      <c r="AU72" s="13">
        <v>688.24090576171875</v>
      </c>
      <c r="AV72" s="13">
        <v>716.42535400390625</v>
      </c>
      <c r="AW72" s="13">
        <v>410.28396606445312</v>
      </c>
      <c r="AX72" s="13">
        <v>345.07003784179688</v>
      </c>
      <c r="AY72" s="13">
        <v>1615.857177734375</v>
      </c>
      <c r="AZ72" s="13">
        <v>268.978271484375</v>
      </c>
      <c r="BA72" s="13">
        <v>675.10174560546875</v>
      </c>
      <c r="BB72" s="13">
        <v>548.6824951171875</v>
      </c>
      <c r="BC72" s="13">
        <v>742.5205078125</v>
      </c>
      <c r="BD72" s="13">
        <v>962.91802978515625</v>
      </c>
      <c r="BE72" s="13">
        <v>564.26226806640625</v>
      </c>
      <c r="BF72" s="13">
        <v>769.85113525390625</v>
      </c>
      <c r="BG72" s="13">
        <v>1469.6512451171875</v>
      </c>
      <c r="BH72" s="13">
        <v>925.245361328125</v>
      </c>
      <c r="BI72" s="13">
        <v>657.60321044921875</v>
      </c>
      <c r="BJ72" s="13">
        <v>553.3984375</v>
      </c>
      <c r="BK72" s="13">
        <v>310.48916625976562</v>
      </c>
      <c r="BL72" s="13">
        <v>729.718505859375</v>
      </c>
      <c r="BM72" s="13">
        <v>901.82940673828125</v>
      </c>
      <c r="BN72" s="13">
        <v>819.66839599609375</v>
      </c>
      <c r="BO72" s="13">
        <v>599.809814453125</v>
      </c>
      <c r="BP72" s="13">
        <v>1257.366455078125</v>
      </c>
      <c r="BQ72" s="13"/>
      <c r="BR72" s="13"/>
    </row>
    <row r="73" spans="2:70" x14ac:dyDescent="0.2">
      <c r="B73">
        <v>1868</v>
      </c>
      <c r="C73" s="13">
        <v>1173.947021484375</v>
      </c>
      <c r="D73" s="13">
        <v>2264.441650390625</v>
      </c>
      <c r="E73" s="13">
        <v>3541.177001953125</v>
      </c>
      <c r="F73" s="13">
        <v>908.12725830078125</v>
      </c>
      <c r="G73" s="13">
        <v>948.5009765625</v>
      </c>
      <c r="H73" s="13">
        <v>626.5780029296875</v>
      </c>
      <c r="I73" s="13">
        <v>536.92803955078125</v>
      </c>
      <c r="J73" s="13">
        <v>770.5640869140625</v>
      </c>
      <c r="K73" s="13">
        <v>661.13616943359375</v>
      </c>
      <c r="L73" s="13">
        <v>3008.774169921875</v>
      </c>
      <c r="M73" s="13">
        <v>2473.2939453125</v>
      </c>
      <c r="N73" s="13">
        <v>1995.100830078125</v>
      </c>
      <c r="O73" s="13">
        <v>2747.98095703125</v>
      </c>
      <c r="P73" s="13">
        <v>4891.09130859375</v>
      </c>
      <c r="Q73" s="13">
        <v>2166.005859375</v>
      </c>
      <c r="R73" s="13">
        <v>3303.396728515625</v>
      </c>
      <c r="S73" s="13">
        <v>2379.468994140625</v>
      </c>
      <c r="T73" s="13">
        <v>1368.8994140625</v>
      </c>
      <c r="U73" s="13">
        <v>2528.333251953125</v>
      </c>
      <c r="V73" s="13">
        <v>1010.4805297851562</v>
      </c>
      <c r="W73" s="13">
        <v>3951.85302734375</v>
      </c>
      <c r="X73" s="13">
        <v>1885.70849609375</v>
      </c>
      <c r="Y73" s="13">
        <v>4880.88916015625</v>
      </c>
      <c r="Z73" s="13">
        <v>4215.19384765625</v>
      </c>
      <c r="AA73" s="13">
        <v>728.84088134765625</v>
      </c>
      <c r="AB73" s="13">
        <v>1361.6385498046875</v>
      </c>
      <c r="AC73" s="13">
        <v>924.57354736328125</v>
      </c>
      <c r="AD73" s="13">
        <v>1315.43603515625</v>
      </c>
      <c r="AE73" s="13">
        <v>1320.61572265625</v>
      </c>
      <c r="AF73" s="13">
        <v>811.916748046875</v>
      </c>
      <c r="AG73" s="13">
        <v>535.966552734375</v>
      </c>
      <c r="AH73" s="13">
        <v>514.68536376953125</v>
      </c>
      <c r="AI73" s="13">
        <v>1434.2535400390625</v>
      </c>
      <c r="AJ73" s="13">
        <v>1096.1195068359375</v>
      </c>
      <c r="AK73" s="13">
        <v>624.67144775390625</v>
      </c>
      <c r="AL73" s="13">
        <v>680.95635986328125</v>
      </c>
      <c r="AM73" s="13">
        <v>1425.47412109375</v>
      </c>
      <c r="AN73" s="13">
        <v>937.92584228515625</v>
      </c>
      <c r="AO73" s="13">
        <v>1502.531982421875</v>
      </c>
      <c r="AP73" s="13">
        <v>945.49176025390625</v>
      </c>
      <c r="AQ73" s="13">
        <v>654.82098388671875</v>
      </c>
      <c r="AR73" s="13">
        <v>533.20867919921875</v>
      </c>
      <c r="AS73" s="13">
        <v>763.87762451171875</v>
      </c>
      <c r="AT73" s="13">
        <v>700.82183837890625</v>
      </c>
      <c r="AU73" s="13">
        <v>688.69769287109375</v>
      </c>
      <c r="AV73" s="13">
        <v>716.90087890625</v>
      </c>
      <c r="AW73" s="13">
        <v>410.57342529296875</v>
      </c>
      <c r="AX73" s="13">
        <v>345.3134765625</v>
      </c>
      <c r="AY73" s="13">
        <v>1633.0614013671875</v>
      </c>
      <c r="AZ73" s="13">
        <v>269.75009155273438</v>
      </c>
      <c r="BA73" s="13">
        <v>688.6207275390625</v>
      </c>
      <c r="BB73" s="13">
        <v>559.669921875</v>
      </c>
      <c r="BC73" s="13">
        <v>746.03619384765625</v>
      </c>
      <c r="BD73" s="13">
        <v>967.627197265625</v>
      </c>
      <c r="BE73" s="13">
        <v>564.2860107421875</v>
      </c>
      <c r="BF73" s="13">
        <v>769.96038818359375</v>
      </c>
      <c r="BG73" s="13">
        <v>1476.494140625</v>
      </c>
      <c r="BH73" s="13">
        <v>922.3431396484375</v>
      </c>
      <c r="BI73" s="13">
        <v>653.53070068359375</v>
      </c>
      <c r="BJ73" s="13">
        <v>535.66729736328125</v>
      </c>
      <c r="BK73" s="13">
        <v>310.37860107421875</v>
      </c>
      <c r="BL73" s="13">
        <v>727.42962646484375</v>
      </c>
      <c r="BM73" s="13">
        <v>909.00372314453125</v>
      </c>
      <c r="BN73" s="13">
        <v>814.781494140625</v>
      </c>
      <c r="BO73" s="13">
        <v>599.1732177734375</v>
      </c>
      <c r="BP73" s="13">
        <v>1247.87158203125</v>
      </c>
      <c r="BQ73" s="13"/>
      <c r="BR73" s="13"/>
    </row>
    <row r="74" spans="2:70" x14ac:dyDescent="0.2">
      <c r="B74">
        <v>1869</v>
      </c>
      <c r="C74" s="13">
        <v>1187.728515625</v>
      </c>
      <c r="D74" s="13">
        <v>2275.313720703125</v>
      </c>
      <c r="E74" s="13">
        <v>3629.25927734375</v>
      </c>
      <c r="F74" s="13">
        <v>920.08251953125</v>
      </c>
      <c r="G74" s="13">
        <v>955.48712158203125</v>
      </c>
      <c r="H74" s="13">
        <v>626.12335205078125</v>
      </c>
      <c r="I74" s="13">
        <v>536.594970703125</v>
      </c>
      <c r="J74" s="13">
        <v>774.37615966796875</v>
      </c>
      <c r="K74" s="13">
        <v>655.48321533203125</v>
      </c>
      <c r="L74" s="13">
        <v>3008.2724609375</v>
      </c>
      <c r="M74" s="13">
        <v>2589.241455078125</v>
      </c>
      <c r="N74" s="13">
        <v>2066.564697265625</v>
      </c>
      <c r="O74" s="13">
        <v>2613.6533203125</v>
      </c>
      <c r="P74" s="13">
        <v>5007.623046875</v>
      </c>
      <c r="Q74" s="13">
        <v>2225.634765625</v>
      </c>
      <c r="R74" s="13">
        <v>3420.986572265625</v>
      </c>
      <c r="S74" s="13">
        <v>2507.071044921875</v>
      </c>
      <c r="T74" s="13">
        <v>1470.763427734375</v>
      </c>
      <c r="U74" s="13">
        <v>2538.71728515625</v>
      </c>
      <c r="V74" s="13">
        <v>1014.712646484375</v>
      </c>
      <c r="W74" s="13">
        <v>4052.9140625</v>
      </c>
      <c r="X74" s="13">
        <v>1915.55126953125</v>
      </c>
      <c r="Y74" s="13">
        <v>4787.98193359375</v>
      </c>
      <c r="Z74" s="13">
        <v>4360.8447265625</v>
      </c>
      <c r="AA74" s="13">
        <v>745.49932861328125</v>
      </c>
      <c r="AB74" s="13">
        <v>1374.359375</v>
      </c>
      <c r="AC74" s="13">
        <v>921.36883544921875</v>
      </c>
      <c r="AD74" s="13">
        <v>1415.8182373046875</v>
      </c>
      <c r="AE74" s="13">
        <v>1327.66015625</v>
      </c>
      <c r="AF74" s="13">
        <v>822.4451904296875</v>
      </c>
      <c r="AG74" s="13">
        <v>544.38690185546875</v>
      </c>
      <c r="AH74" s="13">
        <v>515.1304931640625</v>
      </c>
      <c r="AI74" s="13">
        <v>1456.7269287109375</v>
      </c>
      <c r="AJ74" s="13">
        <v>1106.4398193359375</v>
      </c>
      <c r="AK74" s="13">
        <v>626.60455322265625</v>
      </c>
      <c r="AL74" s="13">
        <v>684.74493408203125</v>
      </c>
      <c r="AM74" s="13">
        <v>1428.1693115234375</v>
      </c>
      <c r="AN74" s="13">
        <v>944.75311279296875</v>
      </c>
      <c r="AO74" s="13">
        <v>1515.3726806640625</v>
      </c>
      <c r="AP74" s="13">
        <v>946.2579345703125</v>
      </c>
      <c r="AQ74" s="13">
        <v>655.3515625</v>
      </c>
      <c r="AR74" s="13">
        <v>533.6407470703125</v>
      </c>
      <c r="AS74" s="13">
        <v>764.5267333984375</v>
      </c>
      <c r="AT74" s="13">
        <v>701.38970947265625</v>
      </c>
      <c r="AU74" s="13">
        <v>689.2557373046875</v>
      </c>
      <c r="AV74" s="13">
        <v>717.4818115234375</v>
      </c>
      <c r="AW74" s="13">
        <v>410.92230224609375</v>
      </c>
      <c r="AX74" s="13">
        <v>345.60693359375</v>
      </c>
      <c r="AY74" s="13">
        <v>1613.20556640625</v>
      </c>
      <c r="AZ74" s="13">
        <v>269.86126708984375</v>
      </c>
      <c r="BA74" s="13">
        <v>688.5350341796875</v>
      </c>
      <c r="BB74" s="13">
        <v>559.60028076171875</v>
      </c>
      <c r="BC74" s="13">
        <v>749.735595703125</v>
      </c>
      <c r="BD74" s="13">
        <v>972.535888671875</v>
      </c>
      <c r="BE74" s="13">
        <v>564.39324951171875</v>
      </c>
      <c r="BF74" s="13">
        <v>770.209228515625</v>
      </c>
      <c r="BG74" s="13">
        <v>1483.7962646484375</v>
      </c>
      <c r="BH74" s="13">
        <v>913.77740478515625</v>
      </c>
      <c r="BI74" s="13">
        <v>649.97271728515625</v>
      </c>
      <c r="BJ74" s="13">
        <v>512.404541015625</v>
      </c>
      <c r="BK74" s="13">
        <v>308.35385131835938</v>
      </c>
      <c r="BL74" s="13">
        <v>720.674072265625</v>
      </c>
      <c r="BM74" s="13">
        <v>910.57452392578125</v>
      </c>
      <c r="BN74" s="13">
        <v>816.1475830078125</v>
      </c>
      <c r="BO74" s="13">
        <v>598.8040771484375</v>
      </c>
      <c r="BP74" s="13">
        <v>1241.2398681640625</v>
      </c>
      <c r="BQ74" s="13"/>
      <c r="BR74" s="13"/>
    </row>
    <row r="75" spans="2:70" x14ac:dyDescent="0.2">
      <c r="B75">
        <v>1870</v>
      </c>
      <c r="C75" s="13">
        <v>1196.7608642578125</v>
      </c>
      <c r="D75" s="13">
        <v>2334.30859375</v>
      </c>
      <c r="E75" s="13">
        <v>3382.027099609375</v>
      </c>
      <c r="F75" s="13">
        <v>897.881591796875</v>
      </c>
      <c r="G75" s="13">
        <v>946.40472412109375</v>
      </c>
      <c r="H75" s="13">
        <v>633.0635986328125</v>
      </c>
      <c r="I75" s="13">
        <v>684.52960205078125</v>
      </c>
      <c r="J75" s="13">
        <v>779.40338134765625</v>
      </c>
      <c r="K75" s="13">
        <v>654.19415283203125</v>
      </c>
      <c r="L75" s="13">
        <v>2975.931884765625</v>
      </c>
      <c r="M75" s="13">
        <v>2675.434326171875</v>
      </c>
      <c r="N75" s="13">
        <v>2128.62109375</v>
      </c>
      <c r="O75" s="13">
        <v>2488.3984375</v>
      </c>
      <c r="P75" s="13">
        <v>5396.49609375</v>
      </c>
      <c r="Q75" s="13">
        <v>2342.261962890625</v>
      </c>
      <c r="R75" s="13">
        <v>3605.43212890625</v>
      </c>
      <c r="S75" s="13">
        <v>2628.7119140625</v>
      </c>
      <c r="T75" s="13">
        <v>1665.703125</v>
      </c>
      <c r="U75" s="13">
        <v>2595.279541015625</v>
      </c>
      <c r="V75" s="13">
        <v>1038.353271484375</v>
      </c>
      <c r="W75" s="13">
        <v>3731.1220703125</v>
      </c>
      <c r="X75" s="13">
        <v>1910.7333984375</v>
      </c>
      <c r="Y75" s="13">
        <v>5087.02978515625</v>
      </c>
      <c r="Z75" s="13">
        <v>4498.17138671875</v>
      </c>
      <c r="AA75" s="13">
        <v>683.029052734375</v>
      </c>
      <c r="AB75" s="13">
        <v>1397.4815673828125</v>
      </c>
      <c r="AC75" s="13">
        <v>868.44110107421875</v>
      </c>
      <c r="AD75" s="13">
        <v>1396.917724609375</v>
      </c>
      <c r="AE75" s="13">
        <v>1345.08642578125</v>
      </c>
      <c r="AF75" s="13">
        <v>833.8612060546875</v>
      </c>
      <c r="AG75" s="13">
        <v>502.92864990234375</v>
      </c>
      <c r="AH75" s="13">
        <v>515.804443359375</v>
      </c>
      <c r="AI75" s="13">
        <v>1480.483642578125</v>
      </c>
      <c r="AJ75" s="13">
        <v>1088.4818115234375</v>
      </c>
      <c r="AK75" s="13">
        <v>629.1043701171875</v>
      </c>
      <c r="AL75" s="13">
        <v>689.16888427734375</v>
      </c>
      <c r="AM75" s="13">
        <v>1431.5035400390625</v>
      </c>
      <c r="AN75" s="13">
        <v>940.23126220703125</v>
      </c>
      <c r="AO75" s="13">
        <v>1471.998046875</v>
      </c>
      <c r="AP75" s="13">
        <v>947.4442138671875</v>
      </c>
      <c r="AQ75" s="13">
        <v>656.17315673828125</v>
      </c>
      <c r="AR75" s="13">
        <v>534.30975341796875</v>
      </c>
      <c r="AS75" s="13">
        <v>762.73211669921875</v>
      </c>
      <c r="AT75" s="13">
        <v>702.26904296875</v>
      </c>
      <c r="AU75" s="13">
        <v>690.119873046875</v>
      </c>
      <c r="AV75" s="13">
        <v>718.38128662109375</v>
      </c>
      <c r="AW75" s="13">
        <v>409.95770263671875</v>
      </c>
      <c r="AX75" s="13">
        <v>344.795654296875</v>
      </c>
      <c r="AY75" s="13">
        <v>1714.006591796875</v>
      </c>
      <c r="AZ75" s="13">
        <v>273.671142578125</v>
      </c>
      <c r="BA75" s="13">
        <v>878.3590087890625</v>
      </c>
      <c r="BB75" s="13">
        <v>713.87786865234375</v>
      </c>
      <c r="BC75" s="13">
        <v>753.96112060546875</v>
      </c>
      <c r="BD75" s="13">
        <v>986.78326416015625</v>
      </c>
      <c r="BE75" s="13">
        <v>564.75335693359375</v>
      </c>
      <c r="BF75" s="13">
        <v>771.008056640625</v>
      </c>
      <c r="BG75" s="13">
        <v>1492.48681640625</v>
      </c>
      <c r="BH75" s="13">
        <v>914.17938232421875</v>
      </c>
      <c r="BI75" s="13">
        <v>643.78070068359375</v>
      </c>
      <c r="BJ75" s="13">
        <v>530.93560791015625</v>
      </c>
      <c r="BK75" s="13">
        <v>309.35003662109375</v>
      </c>
      <c r="BL75" s="13">
        <v>720.9910888671875</v>
      </c>
      <c r="BM75" s="13">
        <v>914.2237548828125</v>
      </c>
      <c r="BN75" s="13">
        <v>819.37640380859375</v>
      </c>
      <c r="BO75" s="13">
        <v>599.2412109375</v>
      </c>
      <c r="BP75" s="13">
        <v>1243.32421875</v>
      </c>
      <c r="BQ75" s="13"/>
      <c r="BR75" s="13"/>
    </row>
    <row r="76" spans="2:70" x14ac:dyDescent="0.2">
      <c r="B76">
        <v>1871</v>
      </c>
      <c r="C76" s="13">
        <v>1193.513671875</v>
      </c>
      <c r="D76" s="13">
        <v>2353.381591796875</v>
      </c>
      <c r="E76" s="13">
        <v>3277.201171875</v>
      </c>
      <c r="F76" s="13">
        <v>890.5782470703125</v>
      </c>
      <c r="G76" s="13">
        <v>957.2056884765625</v>
      </c>
      <c r="H76" s="13">
        <v>635.7039794921875</v>
      </c>
      <c r="I76" s="13">
        <v>567.2288818359375</v>
      </c>
      <c r="J76" s="13">
        <v>781.080810546875</v>
      </c>
      <c r="K76" s="13">
        <v>656.11273193359375</v>
      </c>
      <c r="L76" s="13">
        <v>3006.863037109375</v>
      </c>
      <c r="M76" s="13">
        <v>2516.090087890625</v>
      </c>
      <c r="N76" s="13">
        <v>2279.076904296875</v>
      </c>
      <c r="O76" s="13">
        <v>2344.339111328125</v>
      </c>
      <c r="P76" s="13">
        <v>5643.744140625</v>
      </c>
      <c r="Q76" s="13">
        <v>2267.42041015625</v>
      </c>
      <c r="R76" s="13">
        <v>3361.0107421875</v>
      </c>
      <c r="S76" s="13">
        <v>2683.629150390625</v>
      </c>
      <c r="T76" s="13">
        <v>1689.0341796875</v>
      </c>
      <c r="U76" s="13">
        <v>2616.590576171875</v>
      </c>
      <c r="V76" s="13">
        <v>1046.5184326171875</v>
      </c>
      <c r="W76" s="13">
        <v>3593.148193359375</v>
      </c>
      <c r="X76" s="13">
        <v>1965.6221923828125</v>
      </c>
      <c r="Y76" s="13">
        <v>5085.765625</v>
      </c>
      <c r="Z76" s="13">
        <v>4576.9384765625</v>
      </c>
      <c r="AA76" s="13">
        <v>661.751220703125</v>
      </c>
      <c r="AB76" s="13">
        <v>1362.2529296875</v>
      </c>
      <c r="AC76" s="13">
        <v>938.26263427734375</v>
      </c>
      <c r="AD76" s="13">
        <v>1369.898681640625</v>
      </c>
      <c r="AE76" s="13">
        <v>1293.23193359375</v>
      </c>
      <c r="AF76" s="13">
        <v>779.55487060546875</v>
      </c>
      <c r="AG76" s="13">
        <v>492.70849609375</v>
      </c>
      <c r="AH76" s="13">
        <v>517.57098388671875</v>
      </c>
      <c r="AI76" s="13">
        <v>1507.5679931640625</v>
      </c>
      <c r="AJ76" s="13">
        <v>1099.54541015625</v>
      </c>
      <c r="AK76" s="13">
        <v>636.68487548828125</v>
      </c>
      <c r="AL76" s="13">
        <v>692.98785400390625</v>
      </c>
      <c r="AM76" s="13">
        <v>1443.1031494140625</v>
      </c>
      <c r="AN76" s="13">
        <v>950.93927001953125</v>
      </c>
      <c r="AO76" s="13">
        <v>1489.2230224609375</v>
      </c>
      <c r="AP76" s="13">
        <v>949.8057861328125</v>
      </c>
      <c r="AQ76" s="13">
        <v>656.078369140625</v>
      </c>
      <c r="AR76" s="13">
        <v>535.64154052734375</v>
      </c>
      <c r="AS76" s="13">
        <v>764.63323974609375</v>
      </c>
      <c r="AT76" s="13">
        <v>704.01953125</v>
      </c>
      <c r="AU76" s="13">
        <v>691.84002685546875</v>
      </c>
      <c r="AV76" s="13">
        <v>722.56451416015625</v>
      </c>
      <c r="AW76" s="13">
        <v>410.97955322265625</v>
      </c>
      <c r="AX76" s="13">
        <v>345.65509033203125</v>
      </c>
      <c r="AY76" s="13">
        <v>1719.08935546875</v>
      </c>
      <c r="AZ76" s="13">
        <v>274.66976928710938</v>
      </c>
      <c r="BA76" s="13">
        <v>727.84490966796875</v>
      </c>
      <c r="BB76" s="13">
        <v>591.5489501953125</v>
      </c>
      <c r="BC76" s="13">
        <v>752.22088623046875</v>
      </c>
      <c r="BD76" s="13">
        <v>1015.04248046875</v>
      </c>
      <c r="BE76" s="13">
        <v>568.92425537109375</v>
      </c>
      <c r="BF76" s="13">
        <v>773.592041015625</v>
      </c>
      <c r="BG76" s="13">
        <v>1494.748779296875</v>
      </c>
      <c r="BH76" s="13">
        <v>919.49627685546875</v>
      </c>
      <c r="BI76" s="13">
        <v>644.69525146484375</v>
      </c>
      <c r="BJ76" s="13">
        <v>530.60150146484375</v>
      </c>
      <c r="BK76" s="13">
        <v>312.354248046875</v>
      </c>
      <c r="BL76" s="13">
        <v>725.184326171875</v>
      </c>
      <c r="BM76" s="13">
        <v>915.703369140625</v>
      </c>
      <c r="BN76" s="13">
        <v>829.26019287109375</v>
      </c>
      <c r="BO76" s="13">
        <v>604.4608154296875</v>
      </c>
      <c r="BP76" s="13">
        <v>1246.762451171875</v>
      </c>
      <c r="BQ76" s="13"/>
      <c r="BR76" s="13"/>
    </row>
    <row r="77" spans="2:70" x14ac:dyDescent="0.2">
      <c r="B77">
        <v>1872</v>
      </c>
      <c r="C77" s="13">
        <v>1238.5557861328125</v>
      </c>
      <c r="D77" s="13">
        <v>2434.083740234375</v>
      </c>
      <c r="E77" s="13">
        <v>3542.22900390625</v>
      </c>
      <c r="F77" s="13">
        <v>903.21826171875</v>
      </c>
      <c r="G77" s="13">
        <v>967.47784423828125</v>
      </c>
      <c r="H77" s="13">
        <v>687.57696533203125</v>
      </c>
      <c r="I77" s="13">
        <v>605.76605224609375</v>
      </c>
      <c r="J77" s="13">
        <v>777.14013671875</v>
      </c>
      <c r="K77" s="13">
        <v>659.34326171875</v>
      </c>
      <c r="L77" s="13">
        <v>3054.54052734375</v>
      </c>
      <c r="M77" s="13">
        <v>2520.57666015625</v>
      </c>
      <c r="N77" s="13">
        <v>2545.95458984375</v>
      </c>
      <c r="O77" s="13">
        <v>2666.813720703125</v>
      </c>
      <c r="P77" s="13">
        <v>5663.21728515625</v>
      </c>
      <c r="Q77" s="13">
        <v>2144.60302734375</v>
      </c>
      <c r="R77" s="13">
        <v>3393.762451171875</v>
      </c>
      <c r="S77" s="13">
        <v>2868.7216796875</v>
      </c>
      <c r="T77" s="13">
        <v>1810.4105224609375</v>
      </c>
      <c r="U77" s="13">
        <v>2708.742431640625</v>
      </c>
      <c r="V77" s="13">
        <v>1082.878662109375</v>
      </c>
      <c r="W77" s="13">
        <v>3890.88671875</v>
      </c>
      <c r="X77" s="13">
        <v>1913.773193359375</v>
      </c>
      <c r="Y77" s="13">
        <v>5606.533203125</v>
      </c>
      <c r="Z77" s="13">
        <v>5109.0859375</v>
      </c>
      <c r="AA77" s="13">
        <v>713.60333251953125</v>
      </c>
      <c r="AB77" s="13">
        <v>1440.306640625</v>
      </c>
      <c r="AC77" s="13">
        <v>929.650146484375</v>
      </c>
      <c r="AD77" s="13">
        <v>1414.44677734375</v>
      </c>
      <c r="AE77" s="13">
        <v>1334.7996826171875</v>
      </c>
      <c r="AF77" s="13">
        <v>785.114013671875</v>
      </c>
      <c r="AG77" s="13">
        <v>495.489990234375</v>
      </c>
      <c r="AH77" s="13">
        <v>519.3143310546875</v>
      </c>
      <c r="AI77" s="13">
        <v>1535.0277099609375</v>
      </c>
      <c r="AJ77" s="13">
        <v>1108.8548583984375</v>
      </c>
      <c r="AK77" s="13">
        <v>644.2838134765625</v>
      </c>
      <c r="AL77" s="13">
        <v>696.74932861328125</v>
      </c>
      <c r="AM77" s="13">
        <v>1454.7152099609375</v>
      </c>
      <c r="AN77" s="13">
        <v>961.60516357421875</v>
      </c>
      <c r="AO77" s="13">
        <v>1505.599609375</v>
      </c>
      <c r="AP77" s="13">
        <v>952.1197509765625</v>
      </c>
      <c r="AQ77" s="13">
        <v>655.9466552734375</v>
      </c>
      <c r="AR77" s="13">
        <v>536.946533203125</v>
      </c>
      <c r="AS77" s="13">
        <v>766.49609375</v>
      </c>
      <c r="AT77" s="13">
        <v>705.73468017578125</v>
      </c>
      <c r="AU77" s="13">
        <v>693.5255126953125</v>
      </c>
      <c r="AV77" s="13">
        <v>726.7313232421875</v>
      </c>
      <c r="AW77" s="13">
        <v>411.9808349609375</v>
      </c>
      <c r="AX77" s="13">
        <v>346.4971923828125</v>
      </c>
      <c r="AY77" s="13">
        <v>2534.148681640625</v>
      </c>
      <c r="AZ77" s="13">
        <v>295.77069091796875</v>
      </c>
      <c r="BA77" s="13">
        <v>777.2958984375</v>
      </c>
      <c r="BB77" s="13">
        <v>631.73980712890625</v>
      </c>
      <c r="BC77" s="13">
        <v>750.420654296875</v>
      </c>
      <c r="BD77" s="13">
        <v>997.88409423828125</v>
      </c>
      <c r="BE77" s="13">
        <v>573.09344482421875</v>
      </c>
      <c r="BF77" s="13">
        <v>776.12713623046875</v>
      </c>
      <c r="BG77" s="13">
        <v>1488.6337890625</v>
      </c>
      <c r="BH77" s="13">
        <v>924.52130126953125</v>
      </c>
      <c r="BI77" s="13">
        <v>645.38592529296875</v>
      </c>
      <c r="BJ77" s="13">
        <v>541.62640380859375</v>
      </c>
      <c r="BK77" s="13">
        <v>315.27761840820312</v>
      </c>
      <c r="BL77" s="13">
        <v>729.14752197265625</v>
      </c>
      <c r="BM77" s="13">
        <v>910.748046875</v>
      </c>
      <c r="BN77" s="13">
        <v>839.0208740234375</v>
      </c>
      <c r="BO77" s="13">
        <v>605.5723876953125</v>
      </c>
      <c r="BP77" s="13">
        <v>1252.135498046875</v>
      </c>
      <c r="BQ77" s="13"/>
      <c r="BR77" s="13"/>
    </row>
    <row r="78" spans="2:70" x14ac:dyDescent="0.2">
      <c r="B78">
        <v>1873</v>
      </c>
      <c r="C78" s="13">
        <v>1259.3468017578125</v>
      </c>
      <c r="D78" s="13">
        <v>2452.40966796875</v>
      </c>
      <c r="E78" s="13">
        <v>3717.014892578125</v>
      </c>
      <c r="F78" s="13">
        <v>897.5191650390625</v>
      </c>
      <c r="G78" s="13">
        <v>985.203369140625</v>
      </c>
      <c r="H78" s="13">
        <v>668.87078857421875</v>
      </c>
      <c r="I78" s="13">
        <v>613.0843505859375</v>
      </c>
      <c r="J78" s="13">
        <v>777.93817138671875</v>
      </c>
      <c r="K78" s="13">
        <v>660.3851318359375</v>
      </c>
      <c r="L78" s="13">
        <v>3105.286376953125</v>
      </c>
      <c r="M78" s="13">
        <v>2559.047119140625</v>
      </c>
      <c r="N78" s="13">
        <v>2529.5556640625</v>
      </c>
      <c r="O78" s="13">
        <v>2558.989013671875</v>
      </c>
      <c r="P78" s="13">
        <v>5709.56396484375</v>
      </c>
      <c r="Q78" s="13">
        <v>2252.56396484375</v>
      </c>
      <c r="R78" s="13">
        <v>3497.001220703125</v>
      </c>
      <c r="S78" s="13">
        <v>3119.2685546875</v>
      </c>
      <c r="T78" s="13">
        <v>1953.833984375</v>
      </c>
      <c r="U78" s="13">
        <v>2726.177734375</v>
      </c>
      <c r="V78" s="13">
        <v>1089.6585693359375</v>
      </c>
      <c r="W78" s="13">
        <v>4051.03564453125</v>
      </c>
      <c r="X78" s="13">
        <v>2063.7255859375</v>
      </c>
      <c r="Y78" s="13">
        <v>6402.60302734375</v>
      </c>
      <c r="Z78" s="13">
        <v>5555.05859375</v>
      </c>
      <c r="AA78" s="13">
        <v>749.2125244140625</v>
      </c>
      <c r="AB78" s="13">
        <v>1480.1641845703125</v>
      </c>
      <c r="AC78" s="13">
        <v>897.3826904296875</v>
      </c>
      <c r="AD78" s="13">
        <v>1510.0718994140625</v>
      </c>
      <c r="AE78" s="13">
        <v>1318.59375</v>
      </c>
      <c r="AF78" s="13">
        <v>765.98638916015625</v>
      </c>
      <c r="AG78" s="13">
        <v>490.51956176757812</v>
      </c>
      <c r="AH78" s="13">
        <v>521.13555908203125</v>
      </c>
      <c r="AI78" s="13">
        <v>1563.2960205078125</v>
      </c>
      <c r="AJ78" s="13">
        <v>1122.8106689453125</v>
      </c>
      <c r="AK78" s="13">
        <v>652.15472412109375</v>
      </c>
      <c r="AL78" s="13">
        <v>700.72576904296875</v>
      </c>
      <c r="AM78" s="13">
        <v>1466.622802734375</v>
      </c>
      <c r="AN78" s="13">
        <v>972.79852294921875</v>
      </c>
      <c r="AO78" s="13">
        <v>1527.36572265625</v>
      </c>
      <c r="AP78" s="13">
        <v>954.57122802734375</v>
      </c>
      <c r="AQ78" s="13">
        <v>655.90557861328125</v>
      </c>
      <c r="AR78" s="13">
        <v>538.3289794921875</v>
      </c>
      <c r="AS78" s="13">
        <v>768.4696044921875</v>
      </c>
      <c r="AT78" s="13">
        <v>707.55169677734375</v>
      </c>
      <c r="AU78" s="13">
        <v>695.3111572265625</v>
      </c>
      <c r="AV78" s="13">
        <v>731.0230712890625</v>
      </c>
      <c r="AW78" s="13">
        <v>413.04153442382812</v>
      </c>
      <c r="AX78" s="13">
        <v>347.3892822265625</v>
      </c>
      <c r="AY78" s="13">
        <v>2183.60107421875</v>
      </c>
      <c r="AZ78" s="13">
        <v>288.10781860351562</v>
      </c>
      <c r="BA78" s="13">
        <v>786.6895751953125</v>
      </c>
      <c r="BB78" s="13">
        <v>639.37445068359375</v>
      </c>
      <c r="BC78" s="13">
        <v>748.78192138671875</v>
      </c>
      <c r="BD78" s="13">
        <v>1016.8310546875</v>
      </c>
      <c r="BE78" s="13">
        <v>577.37371826171875</v>
      </c>
      <c r="BF78" s="13">
        <v>778.84356689453125</v>
      </c>
      <c r="BG78" s="13">
        <v>1489.3265380859375</v>
      </c>
      <c r="BH78" s="13">
        <v>930.3695068359375</v>
      </c>
      <c r="BI78" s="13">
        <v>646.6302490234375</v>
      </c>
      <c r="BJ78" s="13">
        <v>530.1029052734375</v>
      </c>
      <c r="BK78" s="13">
        <v>318.50070190429688</v>
      </c>
      <c r="BL78" s="13">
        <v>733.759765625</v>
      </c>
      <c r="BM78" s="13">
        <v>912.54364013671875</v>
      </c>
      <c r="BN78" s="13">
        <v>849.49786376953125</v>
      </c>
      <c r="BO78" s="13">
        <v>610.95916748046875</v>
      </c>
      <c r="BP78" s="13">
        <v>1253.7955322265625</v>
      </c>
      <c r="BQ78" s="13"/>
      <c r="BR78" s="13"/>
    </row>
    <row r="79" spans="2:70" x14ac:dyDescent="0.2">
      <c r="B79">
        <v>1874</v>
      </c>
      <c r="C79" s="13">
        <v>1266.1590576171875</v>
      </c>
      <c r="D79" s="13">
        <v>2468.544921875</v>
      </c>
      <c r="E79" s="13">
        <v>3609.9296875</v>
      </c>
      <c r="F79" s="13">
        <v>911.79986572265625</v>
      </c>
      <c r="G79" s="13">
        <v>997.91583251953125</v>
      </c>
      <c r="H79" s="13">
        <v>665.175048828125</v>
      </c>
      <c r="I79" s="13">
        <v>742.62591552734375</v>
      </c>
      <c r="J79" s="13">
        <v>775.8314208984375</v>
      </c>
      <c r="K79" s="13">
        <v>661.4267578125</v>
      </c>
      <c r="L79" s="13">
        <v>3137.637939453125</v>
      </c>
      <c r="M79" s="13">
        <v>2763.44580078125</v>
      </c>
      <c r="N79" s="13">
        <v>2525.636962890625</v>
      </c>
      <c r="O79" s="13">
        <v>2616.534423828125</v>
      </c>
      <c r="P79" s="13">
        <v>5717.04443359375</v>
      </c>
      <c r="Q79" s="13">
        <v>2238.75537109375</v>
      </c>
      <c r="R79" s="13">
        <v>3413.072021484375</v>
      </c>
      <c r="S79" s="13">
        <v>3191.09619140625</v>
      </c>
      <c r="T79" s="13">
        <v>1902.611083984375</v>
      </c>
      <c r="U79" s="13">
        <v>2743.107177734375</v>
      </c>
      <c r="V79" s="13">
        <v>1096.501953125</v>
      </c>
      <c r="W79" s="13">
        <v>3913.8828125</v>
      </c>
      <c r="X79" s="13">
        <v>2073.415283203125</v>
      </c>
      <c r="Y79" s="13">
        <v>6414.806640625</v>
      </c>
      <c r="Z79" s="13">
        <v>5572.99169921875</v>
      </c>
      <c r="AA79" s="13">
        <v>728.0235595703125</v>
      </c>
      <c r="AB79" s="13">
        <v>1438.5526123046875</v>
      </c>
      <c r="AC79" s="13">
        <v>933.4959716796875</v>
      </c>
      <c r="AD79" s="13">
        <v>1495.9776611328125</v>
      </c>
      <c r="AE79" s="13">
        <v>1351.9345703125</v>
      </c>
      <c r="AF79" s="13">
        <v>775.98175048828125</v>
      </c>
      <c r="AG79" s="13">
        <v>500.25335693359375</v>
      </c>
      <c r="AH79" s="13">
        <v>523.02593994140625</v>
      </c>
      <c r="AI79" s="13">
        <v>1592.3541259765625</v>
      </c>
      <c r="AJ79" s="13">
        <v>1141.0008544921875</v>
      </c>
      <c r="AK79" s="13">
        <v>660.28125</v>
      </c>
      <c r="AL79" s="13">
        <v>704.895263671875</v>
      </c>
      <c r="AM79" s="13">
        <v>1478.8056640625</v>
      </c>
      <c r="AN79" s="13">
        <v>984.4813232421875</v>
      </c>
      <c r="AO79" s="13">
        <v>1548.431396484375</v>
      </c>
      <c r="AP79" s="13">
        <v>957.143798828125</v>
      </c>
      <c r="AQ79" s="13">
        <v>655.94317626953125</v>
      </c>
      <c r="AR79" s="13">
        <v>539.77978515625</v>
      </c>
      <c r="AS79" s="13">
        <v>770.54058837890625</v>
      </c>
      <c r="AT79" s="13">
        <v>709.45855712890625</v>
      </c>
      <c r="AU79" s="13">
        <v>697.1849365234375</v>
      </c>
      <c r="AV79" s="13">
        <v>735.4283447265625</v>
      </c>
      <c r="AW79" s="13">
        <v>414.1546630859375</v>
      </c>
      <c r="AX79" s="13">
        <v>348.32553100585938</v>
      </c>
      <c r="AY79" s="13">
        <v>2081.13525390625</v>
      </c>
      <c r="AZ79" s="13">
        <v>286.81362915039062</v>
      </c>
      <c r="BA79" s="13">
        <v>952.91436767578125</v>
      </c>
      <c r="BB79" s="13">
        <v>774.47210693359375</v>
      </c>
      <c r="BC79" s="13">
        <v>747.28314208984375</v>
      </c>
      <c r="BD79" s="13">
        <v>1006.1314086914062</v>
      </c>
      <c r="BE79" s="13">
        <v>581.756591796875</v>
      </c>
      <c r="BF79" s="13">
        <v>781.712158203125</v>
      </c>
      <c r="BG79" s="13">
        <v>1485.1434326171875</v>
      </c>
      <c r="BH79" s="13">
        <v>930.59649658203125</v>
      </c>
      <c r="BI79" s="13">
        <v>648.35955810546875</v>
      </c>
      <c r="BJ79" s="13">
        <v>523.318603515625</v>
      </c>
      <c r="BK79" s="13">
        <v>319.812255859375</v>
      </c>
      <c r="BL79" s="13">
        <v>733.9388427734375</v>
      </c>
      <c r="BM79" s="13">
        <v>915.02392578125</v>
      </c>
      <c r="BN79" s="13">
        <v>854.83758544921875</v>
      </c>
      <c r="BO79" s="13">
        <v>616.69580078125</v>
      </c>
      <c r="BP79" s="13">
        <v>1248.6680908203125</v>
      </c>
      <c r="BQ79" s="13"/>
      <c r="BR79" s="13"/>
    </row>
    <row r="80" spans="2:70" x14ac:dyDescent="0.2">
      <c r="B80">
        <v>1875</v>
      </c>
      <c r="C80" s="13">
        <v>1276.047119140625</v>
      </c>
      <c r="D80" s="13">
        <v>2537.73291015625</v>
      </c>
      <c r="E80" s="13">
        <v>3537.52783203125</v>
      </c>
      <c r="F80" s="13">
        <v>920.539794921875</v>
      </c>
      <c r="G80" s="13">
        <v>1008.1981811523438</v>
      </c>
      <c r="H80" s="13">
        <v>682.13134765625</v>
      </c>
      <c r="I80" s="13">
        <v>559.51580810546875</v>
      </c>
      <c r="J80" s="13">
        <v>774.190673828125</v>
      </c>
      <c r="K80" s="13">
        <v>665.7471923828125</v>
      </c>
      <c r="L80" s="13">
        <v>3239.444580078125</v>
      </c>
      <c r="M80" s="13">
        <v>2991.590576171875</v>
      </c>
      <c r="N80" s="13">
        <v>2550.1552734375</v>
      </c>
      <c r="O80" s="13">
        <v>2892.61962890625</v>
      </c>
      <c r="P80" s="13">
        <v>5662.81982421875</v>
      </c>
      <c r="Q80" s="13">
        <v>2246.117919921875</v>
      </c>
      <c r="R80" s="13">
        <v>3725.957275390625</v>
      </c>
      <c r="S80" s="13">
        <v>3139.16845703125</v>
      </c>
      <c r="T80" s="13">
        <v>1840.0283203125</v>
      </c>
      <c r="U80" s="13">
        <v>2819.324462890625</v>
      </c>
      <c r="V80" s="13">
        <v>1126.354248046875</v>
      </c>
      <c r="W80" s="13">
        <v>3831.82861328125</v>
      </c>
      <c r="X80" s="13">
        <v>1987.71533203125</v>
      </c>
      <c r="Y80" s="13">
        <v>6343.88134765625</v>
      </c>
      <c r="Z80" s="13">
        <v>5345.60791015625</v>
      </c>
      <c r="AA80" s="13">
        <v>712.3231201171875</v>
      </c>
      <c r="AB80" s="13">
        <v>1484.672607421875</v>
      </c>
      <c r="AC80" s="13">
        <v>861.87713623046875</v>
      </c>
      <c r="AD80" s="13">
        <v>1551.6571044921875</v>
      </c>
      <c r="AE80" s="13">
        <v>1450.5213623046875</v>
      </c>
      <c r="AF80" s="13">
        <v>822.97784423828125</v>
      </c>
      <c r="AG80" s="13">
        <v>498.97421264648438</v>
      </c>
      <c r="AH80" s="13">
        <v>524.763671875</v>
      </c>
      <c r="AI80" s="13">
        <v>1621.2611083984375</v>
      </c>
      <c r="AJ80" s="13">
        <v>1149.0504150390625</v>
      </c>
      <c r="AK80" s="13">
        <v>668.100341796875</v>
      </c>
      <c r="AL80" s="13">
        <v>708.65594482421875</v>
      </c>
      <c r="AM80" s="13">
        <v>1490.6365966796875</v>
      </c>
      <c r="AN80" s="13">
        <v>995.3846435546875</v>
      </c>
      <c r="AO80" s="13">
        <v>1563.4642333984375</v>
      </c>
      <c r="AP80" s="13">
        <v>959.43170166015625</v>
      </c>
      <c r="AQ80" s="13">
        <v>655.78155517578125</v>
      </c>
      <c r="AR80" s="13">
        <v>541.070068359375</v>
      </c>
      <c r="AS80" s="13">
        <v>772.38250732421875</v>
      </c>
      <c r="AT80" s="13">
        <v>711.15447998046875</v>
      </c>
      <c r="AU80" s="13">
        <v>698.8515625</v>
      </c>
      <c r="AV80" s="13">
        <v>739.635498046875</v>
      </c>
      <c r="AW80" s="13">
        <v>415.14468383789062</v>
      </c>
      <c r="AX80" s="13">
        <v>349.15817260742188</v>
      </c>
      <c r="AY80" s="13">
        <v>2319.054931640625</v>
      </c>
      <c r="AZ80" s="13">
        <v>293.58901977539062</v>
      </c>
      <c r="BA80" s="13">
        <v>717.95281982421875</v>
      </c>
      <c r="BB80" s="13">
        <v>583.50927734375</v>
      </c>
      <c r="BC80" s="13">
        <v>745.44281005859375</v>
      </c>
      <c r="BD80" s="13">
        <v>1003.6809692382812</v>
      </c>
      <c r="BE80" s="13">
        <v>585.99273681640625</v>
      </c>
      <c r="BF80" s="13">
        <v>784.23602294921875</v>
      </c>
      <c r="BG80" s="13">
        <v>1481.6295166015625</v>
      </c>
      <c r="BH80" s="13">
        <v>935.16522216796875</v>
      </c>
      <c r="BI80" s="13">
        <v>648.86895751953125</v>
      </c>
      <c r="BJ80" s="13">
        <v>541.1640625</v>
      </c>
      <c r="BK80" s="13">
        <v>322.62701416015625</v>
      </c>
      <c r="BL80" s="13">
        <v>737.5421142578125</v>
      </c>
      <c r="BM80" s="13">
        <v>922.23760986328125</v>
      </c>
      <c r="BN80" s="13">
        <v>864.46728515625</v>
      </c>
      <c r="BO80" s="13">
        <v>621.7149658203125</v>
      </c>
      <c r="BP80" s="13">
        <v>1254.903076171875</v>
      </c>
      <c r="BQ80" s="13"/>
      <c r="BR80" s="13"/>
    </row>
    <row r="81" spans="2:70" x14ac:dyDescent="0.2">
      <c r="B81">
        <v>1876</v>
      </c>
      <c r="C81" s="13">
        <v>1279.979736328125</v>
      </c>
      <c r="D81" s="13">
        <v>2485.325439453125</v>
      </c>
      <c r="E81" s="13">
        <v>3637.904296875</v>
      </c>
      <c r="F81" s="13">
        <v>933.6463623046875</v>
      </c>
      <c r="G81" s="13">
        <v>1021.2285766601562</v>
      </c>
      <c r="H81" s="13">
        <v>702.0511474609375</v>
      </c>
      <c r="I81" s="13">
        <v>558.4132080078125</v>
      </c>
      <c r="J81" s="13">
        <v>790.1571044921875</v>
      </c>
      <c r="K81" s="13">
        <v>668.56915283203125</v>
      </c>
      <c r="L81" s="13">
        <v>3245.5087890625</v>
      </c>
      <c r="M81" s="13">
        <v>3208.400146484375</v>
      </c>
      <c r="N81" s="13">
        <v>2724.353271484375</v>
      </c>
      <c r="O81" s="13">
        <v>2751.30029296875</v>
      </c>
      <c r="P81" s="13">
        <v>5509.2265625</v>
      </c>
      <c r="Q81" s="13">
        <v>2069.980224609375</v>
      </c>
      <c r="R81" s="13">
        <v>3703.716064453125</v>
      </c>
      <c r="S81" s="13">
        <v>3293.906494140625</v>
      </c>
      <c r="T81" s="13">
        <v>1863.3333740234375</v>
      </c>
      <c r="U81" s="13">
        <v>2759.42333984375</v>
      </c>
      <c r="V81" s="13">
        <v>1102.494384765625</v>
      </c>
      <c r="W81" s="13">
        <v>3964.279296875</v>
      </c>
      <c r="X81" s="13">
        <v>1827.1414794921875</v>
      </c>
      <c r="Y81" s="13">
        <v>6292.19775390625</v>
      </c>
      <c r="Z81" s="13">
        <v>5251.6279296875</v>
      </c>
      <c r="AA81" s="13">
        <v>731.23101806640625</v>
      </c>
      <c r="AB81" s="13">
        <v>1480.239501953125</v>
      </c>
      <c r="AC81" s="13">
        <v>932.33349609375</v>
      </c>
      <c r="AD81" s="13">
        <v>1492.651611328125</v>
      </c>
      <c r="AE81" s="13">
        <v>1460.8125</v>
      </c>
      <c r="AF81" s="13">
        <v>819.5963134765625</v>
      </c>
      <c r="AG81" s="13">
        <v>500.8701171875</v>
      </c>
      <c r="AH81" s="13">
        <v>526.66583251953125</v>
      </c>
      <c r="AI81" s="13">
        <v>1651.39013671875</v>
      </c>
      <c r="AJ81" s="13">
        <v>1167.5858154296875</v>
      </c>
      <c r="AK81" s="13">
        <v>676.42205810546875</v>
      </c>
      <c r="AL81" s="13">
        <v>712.868896484375</v>
      </c>
      <c r="AM81" s="13">
        <v>1503.014892578125</v>
      </c>
      <c r="AN81" s="13">
        <v>1007.3307495117188</v>
      </c>
      <c r="AO81" s="13">
        <v>1584.957763671875</v>
      </c>
      <c r="AP81" s="13">
        <v>962.01483154296875</v>
      </c>
      <c r="AQ81" s="13">
        <v>655.81744384765625</v>
      </c>
      <c r="AR81" s="13">
        <v>542.52685546875</v>
      </c>
      <c r="AS81" s="13">
        <v>774.4620361328125</v>
      </c>
      <c r="AT81" s="13">
        <v>713.0692138671875</v>
      </c>
      <c r="AU81" s="13">
        <v>700.73309326171875</v>
      </c>
      <c r="AV81" s="13">
        <v>744.09075927734375</v>
      </c>
      <c r="AW81" s="13">
        <v>416.26239013671875</v>
      </c>
      <c r="AX81" s="13">
        <v>350.09820556640625</v>
      </c>
      <c r="AY81" s="13">
        <v>2592.26171875</v>
      </c>
      <c r="AZ81" s="13">
        <v>301.85891723632812</v>
      </c>
      <c r="BA81" s="13">
        <v>716.53839111328125</v>
      </c>
      <c r="BB81" s="13">
        <v>582.3597412109375</v>
      </c>
      <c r="BC81" s="13">
        <v>743.94775390625</v>
      </c>
      <c r="BD81" s="13">
        <v>1157.9437255859375</v>
      </c>
      <c r="BE81" s="13">
        <v>590.43939208984375</v>
      </c>
      <c r="BF81" s="13">
        <v>787.11456298828125</v>
      </c>
      <c r="BG81" s="13">
        <v>1506.1322021484375</v>
      </c>
      <c r="BH81" s="13">
        <v>941.82269287109375</v>
      </c>
      <c r="BI81" s="13">
        <v>650.593994140625</v>
      </c>
      <c r="BJ81" s="13">
        <v>538.29376220703125</v>
      </c>
      <c r="BK81" s="13">
        <v>326.18222045898438</v>
      </c>
      <c r="BL81" s="13">
        <v>742.79266357421875</v>
      </c>
      <c r="BM81" s="13">
        <v>924.67529296875</v>
      </c>
      <c r="BN81" s="13">
        <v>875.84136962890625</v>
      </c>
      <c r="BO81" s="13">
        <v>627.5460205078125</v>
      </c>
      <c r="BP81" s="13">
        <v>1259.2030029296875</v>
      </c>
      <c r="BQ81" s="13"/>
      <c r="BR81" s="13"/>
    </row>
    <row r="82" spans="2:70" x14ac:dyDescent="0.2">
      <c r="B82">
        <v>1877</v>
      </c>
      <c r="C82" s="13">
        <v>1294.2528076171875</v>
      </c>
      <c r="D82" s="13">
        <v>2500.61865234375</v>
      </c>
      <c r="E82" s="13">
        <v>3705.980224609375</v>
      </c>
      <c r="F82" s="13">
        <v>908.93109130859375</v>
      </c>
      <c r="G82" s="13">
        <v>1034.1304931640625</v>
      </c>
      <c r="H82" s="13">
        <v>695.3779296875</v>
      </c>
      <c r="I82" s="13">
        <v>683.314453125</v>
      </c>
      <c r="J82" s="13">
        <v>778.022705078125</v>
      </c>
      <c r="K82" s="13">
        <v>672.73345947265625</v>
      </c>
      <c r="L82" s="13">
        <v>3234.227294921875</v>
      </c>
      <c r="M82" s="13">
        <v>3133.9375</v>
      </c>
      <c r="N82" s="13">
        <v>2969.44189453125</v>
      </c>
      <c r="O82" s="13">
        <v>2707.3359375</v>
      </c>
      <c r="P82" s="13">
        <v>5443.9365234375</v>
      </c>
      <c r="Q82" s="13">
        <v>2234.818359375</v>
      </c>
      <c r="R82" s="13">
        <v>3579.46337890625</v>
      </c>
      <c r="S82" s="13">
        <v>3219.235107421875</v>
      </c>
      <c r="T82" s="13">
        <v>1835.3150634765625</v>
      </c>
      <c r="U82" s="13">
        <v>2782.43408203125</v>
      </c>
      <c r="V82" s="13">
        <v>1111.7767333984375</v>
      </c>
      <c r="W82" s="13">
        <v>4042.716552734375</v>
      </c>
      <c r="X82" s="13">
        <v>1930.0743408203125</v>
      </c>
      <c r="Y82" s="13">
        <v>5961.27880859375</v>
      </c>
      <c r="Z82" s="13">
        <v>5772.537109375</v>
      </c>
      <c r="AA82" s="13">
        <v>743.41864013671875</v>
      </c>
      <c r="AB82" s="13">
        <v>1593.9698486328125</v>
      </c>
      <c r="AC82" s="13">
        <v>838.77996826171875</v>
      </c>
      <c r="AD82" s="13">
        <v>1438.0140380859375</v>
      </c>
      <c r="AE82" s="13">
        <v>1470.975830078125</v>
      </c>
      <c r="AF82" s="13">
        <v>816.42694091796875</v>
      </c>
      <c r="AG82" s="13">
        <v>489.56549072265625</v>
      </c>
      <c r="AH82" s="13">
        <v>528.5811767578125</v>
      </c>
      <c r="AI82" s="13">
        <v>1682.097900390625</v>
      </c>
      <c r="AJ82" s="13">
        <v>1186.731689453125</v>
      </c>
      <c r="AK82" s="13">
        <v>684.859619140625</v>
      </c>
      <c r="AL82" s="13">
        <v>717.1197509765625</v>
      </c>
      <c r="AM82" s="13">
        <v>1515.51416015625</v>
      </c>
      <c r="AN82" s="13">
        <v>1019.44775390625</v>
      </c>
      <c r="AO82" s="13">
        <v>1606.8394775390625</v>
      </c>
      <c r="AP82" s="13">
        <v>964.61651611328125</v>
      </c>
      <c r="AQ82" s="13">
        <v>655.8612060546875</v>
      </c>
      <c r="AR82" s="13">
        <v>543.99407958984375</v>
      </c>
      <c r="AS82" s="13">
        <v>776.55657958984375</v>
      </c>
      <c r="AT82" s="13">
        <v>714.99761962890625</v>
      </c>
      <c r="AU82" s="13">
        <v>702.62823486328125</v>
      </c>
      <c r="AV82" s="13">
        <v>748.58184814453125</v>
      </c>
      <c r="AW82" s="13">
        <v>417.38812255859375</v>
      </c>
      <c r="AX82" s="13">
        <v>351.0450439453125</v>
      </c>
      <c r="AY82" s="13">
        <v>2444.56201171875</v>
      </c>
      <c r="AZ82" s="13">
        <v>299.4515380859375</v>
      </c>
      <c r="BA82" s="13">
        <v>876.8072509765625</v>
      </c>
      <c r="BB82" s="13">
        <v>712.61669921875</v>
      </c>
      <c r="BC82" s="13">
        <v>742.4656982421875</v>
      </c>
      <c r="BD82" s="13">
        <v>1058.019287109375</v>
      </c>
      <c r="BE82" s="13">
        <v>594.92706298828125</v>
      </c>
      <c r="BF82" s="13">
        <v>790.021240234375</v>
      </c>
      <c r="BG82" s="13">
        <v>1486.7269287109375</v>
      </c>
      <c r="BH82" s="13">
        <v>948.589111328125</v>
      </c>
      <c r="BI82" s="13">
        <v>652.3594970703125</v>
      </c>
      <c r="BJ82" s="13">
        <v>545.9036865234375</v>
      </c>
      <c r="BK82" s="13">
        <v>329.7979736328125</v>
      </c>
      <c r="BL82" s="13">
        <v>748.129150390625</v>
      </c>
      <c r="BM82" s="13">
        <v>927.1617431640625</v>
      </c>
      <c r="BN82" s="13">
        <v>887.4141845703125</v>
      </c>
      <c r="BO82" s="13">
        <v>633.45477294921875</v>
      </c>
      <c r="BP82" s="13">
        <v>1265.6602783203125</v>
      </c>
      <c r="BQ82" s="13"/>
      <c r="BR82" s="13"/>
    </row>
    <row r="83" spans="2:70" x14ac:dyDescent="0.2">
      <c r="B83">
        <v>1878</v>
      </c>
      <c r="C83" s="13">
        <v>1301.1866455078125</v>
      </c>
      <c r="D83" s="13">
        <v>2467.58740234375</v>
      </c>
      <c r="E83" s="13">
        <v>3795.48779296875</v>
      </c>
      <c r="F83" s="13">
        <v>920.84423828125</v>
      </c>
      <c r="G83" s="13">
        <v>1047.0352783203125</v>
      </c>
      <c r="H83" s="13">
        <v>694.370361328125</v>
      </c>
      <c r="I83" s="13">
        <v>714.26361083984375</v>
      </c>
      <c r="J83" s="13">
        <v>780.5662841796875</v>
      </c>
      <c r="K83" s="13">
        <v>677.26153564453125</v>
      </c>
      <c r="L83" s="13">
        <v>3339.587646484375</v>
      </c>
      <c r="M83" s="13">
        <v>3238.4765625</v>
      </c>
      <c r="N83" s="13">
        <v>2939.0751953125</v>
      </c>
      <c r="O83" s="13">
        <v>2541.7080078125</v>
      </c>
      <c r="P83" s="13">
        <v>5308.43017578125</v>
      </c>
      <c r="Q83" s="13">
        <v>2280.898681640625</v>
      </c>
      <c r="R83" s="13">
        <v>3502.18115234375</v>
      </c>
      <c r="S83" s="13">
        <v>2949.235595703125</v>
      </c>
      <c r="T83" s="13">
        <v>1796.4407958984375</v>
      </c>
      <c r="U83" s="13">
        <v>2744.456787109375</v>
      </c>
      <c r="V83" s="13">
        <v>1096.569580078125</v>
      </c>
      <c r="W83" s="13">
        <v>4145.6181640625</v>
      </c>
      <c r="X83" s="13">
        <v>1829.1376953125</v>
      </c>
      <c r="Y83" s="13">
        <v>6090.095703125</v>
      </c>
      <c r="Z83" s="13">
        <v>6191.93701171875</v>
      </c>
      <c r="AA83" s="13">
        <v>760.004150390625</v>
      </c>
      <c r="AB83" s="13">
        <v>1476.6767578125</v>
      </c>
      <c r="AC83" s="13">
        <v>838.775634765625</v>
      </c>
      <c r="AD83" s="13">
        <v>1439.0924072265625</v>
      </c>
      <c r="AE83" s="13">
        <v>1512.521240234375</v>
      </c>
      <c r="AF83" s="13">
        <v>873.4873046875</v>
      </c>
      <c r="AG83" s="13">
        <v>495.1475830078125</v>
      </c>
      <c r="AH83" s="13">
        <v>530.47869873046875</v>
      </c>
      <c r="AI83" s="13">
        <v>1713.24755859375</v>
      </c>
      <c r="AJ83" s="13">
        <v>1204.2607421875</v>
      </c>
      <c r="AK83" s="13">
        <v>693.3275146484375</v>
      </c>
      <c r="AL83" s="13">
        <v>721.31781005859375</v>
      </c>
      <c r="AM83" s="13">
        <v>1528.0458984375</v>
      </c>
      <c r="AN83" s="13">
        <v>1031.5419921875</v>
      </c>
      <c r="AO83" s="13">
        <v>1627.8907470703125</v>
      </c>
      <c r="AP83" s="13">
        <v>967.1800537109375</v>
      </c>
      <c r="AQ83" s="13">
        <v>655.87432861328125</v>
      </c>
      <c r="AR83" s="13">
        <v>545.43975830078125</v>
      </c>
      <c r="AS83" s="13">
        <v>778.6202392578125</v>
      </c>
      <c r="AT83" s="13">
        <v>716.89776611328125</v>
      </c>
      <c r="AU83" s="13">
        <v>704.4954833984375</v>
      </c>
      <c r="AV83" s="13">
        <v>753.06488037109375</v>
      </c>
      <c r="AW83" s="13">
        <v>418.49737548828125</v>
      </c>
      <c r="AX83" s="13">
        <v>351.97793579101562</v>
      </c>
      <c r="AY83" s="13">
        <v>2384.661376953125</v>
      </c>
      <c r="AZ83" s="13">
        <v>299.1708984375</v>
      </c>
      <c r="BA83" s="13">
        <v>916.523193359375</v>
      </c>
      <c r="BB83" s="13">
        <v>744.89544677734375</v>
      </c>
      <c r="BC83" s="13">
        <v>740.92608642578125</v>
      </c>
      <c r="BD83" s="13">
        <v>1081.5128173828125</v>
      </c>
      <c r="BE83" s="13">
        <v>599.4205322265625</v>
      </c>
      <c r="BF83" s="13">
        <v>792.88232421875</v>
      </c>
      <c r="BG83" s="13">
        <v>1489.2650146484375</v>
      </c>
      <c r="BH83" s="13">
        <v>948.38409423828125</v>
      </c>
      <c r="BI83" s="13">
        <v>653.91168212890625</v>
      </c>
      <c r="BJ83" s="13">
        <v>562.91314697265625</v>
      </c>
      <c r="BK83" s="13">
        <v>331.00372314453125</v>
      </c>
      <c r="BL83" s="13">
        <v>747.967529296875</v>
      </c>
      <c r="BM83" s="13">
        <v>923.0198974609375</v>
      </c>
      <c r="BN83" s="13">
        <v>898.8399658203125</v>
      </c>
      <c r="BO83" s="13">
        <v>643.63629150390625</v>
      </c>
      <c r="BP83" s="13">
        <v>1273.7406005859375</v>
      </c>
      <c r="BQ83" s="13"/>
      <c r="BR83" s="13"/>
    </row>
    <row r="84" spans="2:70" x14ac:dyDescent="0.2">
      <c r="B84">
        <v>1879</v>
      </c>
      <c r="C84" s="13">
        <v>1333.8355712890625</v>
      </c>
      <c r="D84" s="13">
        <v>2461.54736328125</v>
      </c>
      <c r="E84" s="13">
        <v>4239.228515625</v>
      </c>
      <c r="F84" s="13">
        <v>954.993408203125</v>
      </c>
      <c r="G84" s="13">
        <v>1060.0748291015625</v>
      </c>
      <c r="H84" s="13">
        <v>713.50518798828125</v>
      </c>
      <c r="I84" s="13">
        <v>602.15087890625</v>
      </c>
      <c r="J84" s="13">
        <v>773.97332763671875</v>
      </c>
      <c r="K84" s="13">
        <v>679.011962890625</v>
      </c>
      <c r="L84" s="13">
        <v>3371.025390625</v>
      </c>
      <c r="M84" s="13">
        <v>3179.987548828125</v>
      </c>
      <c r="N84" s="13">
        <v>2828.257080078125</v>
      </c>
      <c r="O84" s="13">
        <v>2550.590576171875</v>
      </c>
      <c r="P84" s="13">
        <v>5312.0439453125</v>
      </c>
      <c r="Q84" s="13">
        <v>2208.5498046875</v>
      </c>
      <c r="R84" s="13">
        <v>3534.787353515625</v>
      </c>
      <c r="S84" s="13">
        <v>2911.220703125</v>
      </c>
      <c r="T84" s="13">
        <v>1822.5113525390625</v>
      </c>
      <c r="U84" s="13">
        <v>2730.78173828125</v>
      </c>
      <c r="V84" s="13">
        <v>1090.978271484375</v>
      </c>
      <c r="W84" s="13">
        <v>4668.796875</v>
      </c>
      <c r="X84" s="13">
        <v>1974.1536865234375</v>
      </c>
      <c r="Y84" s="13">
        <v>6277.77978515625</v>
      </c>
      <c r="Z84" s="13">
        <v>5173.8369140625</v>
      </c>
      <c r="AA84" s="13">
        <v>846.7724609375</v>
      </c>
      <c r="AB84" s="13">
        <v>1502.1319580078125</v>
      </c>
      <c r="AC84" s="13">
        <v>831.1732177734375</v>
      </c>
      <c r="AD84" s="13">
        <v>1643.5899658203125</v>
      </c>
      <c r="AE84" s="13">
        <v>1567.251953125</v>
      </c>
      <c r="AF84" s="13">
        <v>918.69879150390625</v>
      </c>
      <c r="AG84" s="13">
        <v>512.18218994140625</v>
      </c>
      <c r="AH84" s="13">
        <v>532.3594970703125</v>
      </c>
      <c r="AI84" s="13">
        <v>1744.86767578125</v>
      </c>
      <c r="AJ84" s="13">
        <v>1220.4468994140625</v>
      </c>
      <c r="AK84" s="13">
        <v>701.83782958984375</v>
      </c>
      <c r="AL84" s="13">
        <v>725.4761962890625</v>
      </c>
      <c r="AM84" s="13">
        <v>1540.613037109375</v>
      </c>
      <c r="AN84" s="13">
        <v>1043.6400146484375</v>
      </c>
      <c r="AO84" s="13">
        <v>1648.2718505859375</v>
      </c>
      <c r="AP84" s="13">
        <v>969.7073974609375</v>
      </c>
      <c r="AQ84" s="13">
        <v>655.85845947265625</v>
      </c>
      <c r="AR84" s="13">
        <v>546.86505126953125</v>
      </c>
      <c r="AS84" s="13">
        <v>780.65484619140625</v>
      </c>
      <c r="AT84" s="13">
        <v>718.7711181640625</v>
      </c>
      <c r="AU84" s="13">
        <v>706.33636474609375</v>
      </c>
      <c r="AV84" s="13">
        <v>757.54119873046875</v>
      </c>
      <c r="AW84" s="13">
        <v>419.59097290039062</v>
      </c>
      <c r="AX84" s="13">
        <v>352.89773559570312</v>
      </c>
      <c r="AY84" s="13">
        <v>2644.378662109375</v>
      </c>
      <c r="AZ84" s="13">
        <v>307.07485961914062</v>
      </c>
      <c r="BA84" s="13">
        <v>772.66949462890625</v>
      </c>
      <c r="BB84" s="13">
        <v>627.979736328125</v>
      </c>
      <c r="BC84" s="13">
        <v>739.34014892578125</v>
      </c>
      <c r="BD84" s="13">
        <v>1022.4822387695312</v>
      </c>
      <c r="BE84" s="13">
        <v>603.9208984375</v>
      </c>
      <c r="BF84" s="13">
        <v>802.6759033203125</v>
      </c>
      <c r="BG84" s="13">
        <v>1477.1258544921875</v>
      </c>
      <c r="BH84" s="13">
        <v>954.48089599609375</v>
      </c>
      <c r="BI84" s="13">
        <v>655.28839111328125</v>
      </c>
      <c r="BJ84" s="13">
        <v>559.40814208984375</v>
      </c>
      <c r="BK84" s="13">
        <v>334.42181396484375</v>
      </c>
      <c r="BL84" s="13">
        <v>752.77587890625</v>
      </c>
      <c r="BM84" s="13">
        <v>918.5772705078125</v>
      </c>
      <c r="BN84" s="13">
        <v>903.8409423828125</v>
      </c>
      <c r="BO84" s="13">
        <v>649.4603271484375</v>
      </c>
      <c r="BP84" s="13">
        <v>1268.23828125</v>
      </c>
      <c r="BQ84" s="13"/>
      <c r="BR84" s="13"/>
    </row>
    <row r="85" spans="2:70" x14ac:dyDescent="0.2">
      <c r="B85">
        <v>1880</v>
      </c>
      <c r="C85" s="13">
        <v>1349.202880859375</v>
      </c>
      <c r="D85" s="13">
        <v>2470.24609375</v>
      </c>
      <c r="E85" s="13">
        <v>4382.529296875</v>
      </c>
      <c r="F85" s="13">
        <v>971.4886474609375</v>
      </c>
      <c r="G85" s="13">
        <v>1079.220703125</v>
      </c>
      <c r="H85" s="13">
        <v>741.483154296875</v>
      </c>
      <c r="I85" s="13">
        <v>554.6905517578125</v>
      </c>
      <c r="J85" s="13">
        <v>752.2806396484375</v>
      </c>
      <c r="K85" s="13">
        <v>697.54827880859375</v>
      </c>
      <c r="L85" s="13">
        <v>3263.255615234375</v>
      </c>
      <c r="M85" s="13">
        <v>3262.38427734375</v>
      </c>
      <c r="N85" s="13">
        <v>2944.873291015625</v>
      </c>
      <c r="O85" s="13">
        <v>2603.640380859375</v>
      </c>
      <c r="P85" s="13">
        <v>5275.66162109375</v>
      </c>
      <c r="Q85" s="13">
        <v>2259.820068359375</v>
      </c>
      <c r="R85" s="13">
        <v>3710.485107421875</v>
      </c>
      <c r="S85" s="13">
        <v>3025.056884765625</v>
      </c>
      <c r="T85" s="13">
        <v>1834.3292236328125</v>
      </c>
      <c r="U85" s="13">
        <v>2743.404541015625</v>
      </c>
      <c r="V85" s="13">
        <v>1096.1002197265625</v>
      </c>
      <c r="W85" s="13">
        <v>4811.70849609375</v>
      </c>
      <c r="X85" s="13">
        <v>2043.1129150390625</v>
      </c>
      <c r="Y85" s="13">
        <v>6662.8125</v>
      </c>
      <c r="Z85" s="13">
        <v>5212.2744140625</v>
      </c>
      <c r="AA85" s="13">
        <v>872.793701171875</v>
      </c>
      <c r="AB85" s="13">
        <v>1380.521728515625</v>
      </c>
      <c r="AC85" s="13">
        <v>913.240478515625</v>
      </c>
      <c r="AD85" s="13">
        <v>1779.4251708984375</v>
      </c>
      <c r="AE85" s="13">
        <v>1515.1304931640625</v>
      </c>
      <c r="AF85" s="13">
        <v>899.99908447265625</v>
      </c>
      <c r="AG85" s="13">
        <v>523.7374267578125</v>
      </c>
      <c r="AH85" s="13">
        <v>534.30120849609375</v>
      </c>
      <c r="AI85" s="13">
        <v>1734.226318359375</v>
      </c>
      <c r="AJ85" s="13">
        <v>1240.4544677734375</v>
      </c>
      <c r="AK85" s="13">
        <v>710.59234619140625</v>
      </c>
      <c r="AL85" s="13">
        <v>729.8021240234375</v>
      </c>
      <c r="AM85" s="13">
        <v>1553.44140625</v>
      </c>
      <c r="AN85" s="13">
        <v>1070.4696044921875</v>
      </c>
      <c r="AO85" s="13">
        <v>1682.816650390625</v>
      </c>
      <c r="AP85" s="13">
        <v>972.34014892578125</v>
      </c>
      <c r="AQ85" s="13">
        <v>655.90911865234375</v>
      </c>
      <c r="AR85" s="13">
        <v>548.34979248046875</v>
      </c>
      <c r="AS85" s="13">
        <v>777.540283203125</v>
      </c>
      <c r="AT85" s="13">
        <v>715.90350341796875</v>
      </c>
      <c r="AU85" s="13">
        <v>703.51837158203125</v>
      </c>
      <c r="AV85" s="13">
        <v>757.02557373046875</v>
      </c>
      <c r="AW85" s="13">
        <v>417.91693115234375</v>
      </c>
      <c r="AX85" s="13">
        <v>351.48977661132812</v>
      </c>
      <c r="AY85" s="13">
        <v>3056.2587890625</v>
      </c>
      <c r="AZ85" s="13">
        <v>319.20123291015625</v>
      </c>
      <c r="BA85" s="13">
        <v>711.77392578125</v>
      </c>
      <c r="BB85" s="13">
        <v>578.48748779296875</v>
      </c>
      <c r="BC85" s="13">
        <v>737.8671875</v>
      </c>
      <c r="BD85" s="13">
        <v>839.66156005859375</v>
      </c>
      <c r="BE85" s="13">
        <v>608.5174560546875</v>
      </c>
      <c r="BF85" s="13">
        <v>805.79705810546875</v>
      </c>
      <c r="BG85" s="13">
        <v>1443.9228515625</v>
      </c>
      <c r="BH85" s="13">
        <v>961.40484619140625</v>
      </c>
      <c r="BI85" s="13">
        <v>657.06640625</v>
      </c>
      <c r="BJ85" s="13">
        <v>678.49078369140625</v>
      </c>
      <c r="BK85" s="13">
        <v>338.15234375</v>
      </c>
      <c r="BL85" s="13">
        <v>758.23663330078125</v>
      </c>
      <c r="BM85" s="13">
        <v>914.7928466796875</v>
      </c>
      <c r="BN85" s="13">
        <v>915.846435546875</v>
      </c>
      <c r="BO85" s="13">
        <v>655.53179931640625</v>
      </c>
      <c r="BP85" s="13">
        <v>1298.6483154296875</v>
      </c>
      <c r="BQ85" s="13"/>
      <c r="BR85" s="13"/>
    </row>
    <row r="86" spans="2:70" x14ac:dyDescent="0.2">
      <c r="B86">
        <v>1881</v>
      </c>
      <c r="C86" s="13">
        <v>1417.0023193359375</v>
      </c>
      <c r="D86" s="13">
        <v>2565.096923828125</v>
      </c>
      <c r="E86" s="13">
        <v>4794.55908203125</v>
      </c>
      <c r="F86" s="13">
        <v>970.4149169921875</v>
      </c>
      <c r="G86" s="13">
        <v>1110.2724609375</v>
      </c>
      <c r="H86" s="13">
        <v>732.42681884765625</v>
      </c>
      <c r="I86" s="13">
        <v>709.07952880859375</v>
      </c>
      <c r="J86" s="13">
        <v>747.6778564453125</v>
      </c>
      <c r="K86" s="13">
        <v>703.85595703125</v>
      </c>
      <c r="L86" s="13">
        <v>3378.578369140625</v>
      </c>
      <c r="M86" s="13">
        <v>3174.37939453125</v>
      </c>
      <c r="N86" s="13">
        <v>3050.13525390625</v>
      </c>
      <c r="O86" s="13">
        <v>2775.6142578125</v>
      </c>
      <c r="P86" s="13">
        <v>5436.7783203125</v>
      </c>
      <c r="Q86" s="13">
        <v>2369.24951171875</v>
      </c>
      <c r="R86" s="13">
        <v>3680.47509765625</v>
      </c>
      <c r="S86" s="13">
        <v>3091.849609375</v>
      </c>
      <c r="T86" s="13">
        <v>1819.1923828125</v>
      </c>
      <c r="U86" s="13">
        <v>2849.843505859375</v>
      </c>
      <c r="V86" s="13">
        <v>1139.0013427734375</v>
      </c>
      <c r="W86" s="13">
        <v>5277.74951171875</v>
      </c>
      <c r="X86" s="13">
        <v>2267.8134765625</v>
      </c>
      <c r="Y86" s="13">
        <v>6905.626953125</v>
      </c>
      <c r="Z86" s="13">
        <v>5225.142578125</v>
      </c>
      <c r="AA86" s="13">
        <v>954.7138671875</v>
      </c>
      <c r="AB86" s="13">
        <v>1340.263427734375</v>
      </c>
      <c r="AC86" s="13">
        <v>833.28021240234375</v>
      </c>
      <c r="AD86" s="13">
        <v>1808.6153564453125</v>
      </c>
      <c r="AE86" s="13">
        <v>1507.5201416015625</v>
      </c>
      <c r="AF86" s="13">
        <v>919.8193359375</v>
      </c>
      <c r="AG86" s="13">
        <v>604.9061279296875</v>
      </c>
      <c r="AH86" s="13">
        <v>535.60784912109375</v>
      </c>
      <c r="AI86" s="13">
        <v>1763.612548828125</v>
      </c>
      <c r="AJ86" s="13">
        <v>1354.6121826171875</v>
      </c>
      <c r="AK86" s="13">
        <v>718.4886474609375</v>
      </c>
      <c r="AL86" s="13">
        <v>733.16650390625</v>
      </c>
      <c r="AM86" s="13">
        <v>1564.500732421875</v>
      </c>
      <c r="AN86" s="13">
        <v>1081.923095703125</v>
      </c>
      <c r="AO86" s="13">
        <v>1733.5172119140625</v>
      </c>
      <c r="AP86" s="13">
        <v>973.81256103515625</v>
      </c>
      <c r="AQ86" s="13">
        <v>655.17431640625</v>
      </c>
      <c r="AR86" s="13">
        <v>549.18011474609375</v>
      </c>
      <c r="AS86" s="13">
        <v>778.64239501953125</v>
      </c>
      <c r="AT86" s="13">
        <v>716.91815185546875</v>
      </c>
      <c r="AU86" s="13">
        <v>704.5155029296875</v>
      </c>
      <c r="AV86" s="13">
        <v>760.6171875</v>
      </c>
      <c r="AW86" s="13">
        <v>418.50927734375</v>
      </c>
      <c r="AX86" s="13">
        <v>351.98794555664062</v>
      </c>
      <c r="AY86" s="13">
        <v>2885.1552734375</v>
      </c>
      <c r="AZ86" s="13">
        <v>315.62115478515625</v>
      </c>
      <c r="BA86" s="13">
        <v>909.8880615234375</v>
      </c>
      <c r="BB86" s="13">
        <v>739.50286865234375</v>
      </c>
      <c r="BC86" s="13">
        <v>736.04058837890625</v>
      </c>
      <c r="BD86" s="13">
        <v>809.8165283203125</v>
      </c>
      <c r="BE86" s="13">
        <v>612.89434814453125</v>
      </c>
      <c r="BF86" s="13">
        <v>808.35052490234375</v>
      </c>
      <c r="BG86" s="13">
        <v>1435.754150390625</v>
      </c>
      <c r="BH86" s="13">
        <v>966.1475830078125</v>
      </c>
      <c r="BI86" s="13">
        <v>657.5474853515625</v>
      </c>
      <c r="BJ86" s="13">
        <v>713.43927001953125</v>
      </c>
      <c r="BK86" s="13">
        <v>341.1365966796875</v>
      </c>
      <c r="BL86" s="13">
        <v>761.97711181640625</v>
      </c>
      <c r="BM86" s="13">
        <v>915.32806396484375</v>
      </c>
      <c r="BN86" s="13">
        <v>926.02642822265625</v>
      </c>
      <c r="BO86" s="13">
        <v>660.66796875</v>
      </c>
      <c r="BP86" s="13">
        <v>1308.85498046875</v>
      </c>
      <c r="BQ86" s="13"/>
      <c r="BR86" s="13"/>
    </row>
    <row r="87" spans="2:70" x14ac:dyDescent="0.2">
      <c r="B87">
        <v>1882</v>
      </c>
      <c r="C87" s="13">
        <v>1433.57373046875</v>
      </c>
      <c r="D87" s="13">
        <v>2630.4970703125</v>
      </c>
      <c r="E87" s="13">
        <v>4790.748046875</v>
      </c>
      <c r="F87" s="13">
        <v>984.6072998046875</v>
      </c>
      <c r="G87" s="13">
        <v>1123.4420166015625</v>
      </c>
      <c r="H87" s="13">
        <v>724.3804931640625</v>
      </c>
      <c r="I87" s="13">
        <v>613.78399658203125</v>
      </c>
      <c r="J87" s="13">
        <v>745.83978271484375</v>
      </c>
      <c r="K87" s="13">
        <v>701.04010009765625</v>
      </c>
      <c r="L87" s="13">
        <v>3416.047119140625</v>
      </c>
      <c r="M87" s="13">
        <v>3202.49365234375</v>
      </c>
      <c r="N87" s="13">
        <v>3093.251220703125</v>
      </c>
      <c r="O87" s="13">
        <v>2936.447265625</v>
      </c>
      <c r="P87" s="13">
        <v>5488.8642578125</v>
      </c>
      <c r="Q87" s="13">
        <v>2486.72900390625</v>
      </c>
      <c r="R87" s="13">
        <v>3778.25927734375</v>
      </c>
      <c r="S87" s="13">
        <v>3177.236328125</v>
      </c>
      <c r="T87" s="13">
        <v>1924.34423828125</v>
      </c>
      <c r="U87" s="13">
        <v>2926.143310546875</v>
      </c>
      <c r="V87" s="13">
        <v>1170.0521240234375</v>
      </c>
      <c r="W87" s="13">
        <v>5264.30224609375</v>
      </c>
      <c r="X87" s="13">
        <v>2291.016357421875</v>
      </c>
      <c r="Y87" s="13">
        <v>6927.73876953125</v>
      </c>
      <c r="Z87" s="13">
        <v>5052.6572265625</v>
      </c>
      <c r="AA87" s="13">
        <v>953.6029052734375</v>
      </c>
      <c r="AB87" s="13">
        <v>1615.461181640625</v>
      </c>
      <c r="AC87" s="13">
        <v>757.979248046875</v>
      </c>
      <c r="AD87" s="13">
        <v>1914.421875</v>
      </c>
      <c r="AE87" s="13">
        <v>1489.3819580078125</v>
      </c>
      <c r="AF87" s="13">
        <v>931.19244384765625</v>
      </c>
      <c r="AG87" s="13">
        <v>614.49676513671875</v>
      </c>
      <c r="AH87" s="13">
        <v>536.9600830078125</v>
      </c>
      <c r="AI87" s="13">
        <v>1794.197509765625</v>
      </c>
      <c r="AJ87" s="13">
        <v>1372.5352783203125</v>
      </c>
      <c r="AK87" s="13">
        <v>726.58343505859375</v>
      </c>
      <c r="AL87" s="13">
        <v>736.65875244140625</v>
      </c>
      <c r="AM87" s="13">
        <v>1575.7633056640625</v>
      </c>
      <c r="AN87" s="13">
        <v>1093.5855712890625</v>
      </c>
      <c r="AO87" s="13">
        <v>1753.957275390625</v>
      </c>
      <c r="AP87" s="13">
        <v>975.3641357421875</v>
      </c>
      <c r="AQ87" s="13">
        <v>654.4920654296875</v>
      </c>
      <c r="AR87" s="13">
        <v>550.05511474609375</v>
      </c>
      <c r="AS87" s="13">
        <v>779.86492919921875</v>
      </c>
      <c r="AT87" s="13">
        <v>718.043701171875</v>
      </c>
      <c r="AU87" s="13">
        <v>705.62164306640625</v>
      </c>
      <c r="AV87" s="13">
        <v>764.34234619140625</v>
      </c>
      <c r="AW87" s="13">
        <v>419.16632080078125</v>
      </c>
      <c r="AX87" s="13">
        <v>352.54058837890625</v>
      </c>
      <c r="AY87" s="13">
        <v>2729.268798828125</v>
      </c>
      <c r="AZ87" s="13">
        <v>312.54031372070312</v>
      </c>
      <c r="BA87" s="13">
        <v>787.60791015625</v>
      </c>
      <c r="BB87" s="13">
        <v>640.120849609375</v>
      </c>
      <c r="BC87" s="13">
        <v>734.3035888671875</v>
      </c>
      <c r="BD87" s="13">
        <v>805.5494384765625</v>
      </c>
      <c r="BE87" s="13">
        <v>617.3525390625</v>
      </c>
      <c r="BF87" s="13">
        <v>811.11053466796875</v>
      </c>
      <c r="BG87" s="13">
        <v>1432.3798828125</v>
      </c>
      <c r="BH87" s="13">
        <v>971.5340576171875</v>
      </c>
      <c r="BI87" s="13">
        <v>658.3397216796875</v>
      </c>
      <c r="BJ87" s="13">
        <v>684.66259765625</v>
      </c>
      <c r="BK87" s="13">
        <v>344.3670654296875</v>
      </c>
      <c r="BL87" s="13">
        <v>766.22528076171875</v>
      </c>
      <c r="BM87" s="13">
        <v>916.44891357421875</v>
      </c>
      <c r="BN87" s="13">
        <v>936.83929443359375</v>
      </c>
      <c r="BO87" s="13">
        <v>665.998046875</v>
      </c>
      <c r="BP87" s="13">
        <v>1305.9283447265625</v>
      </c>
      <c r="BQ87" s="13"/>
      <c r="BR87" s="13"/>
    </row>
    <row r="88" spans="2:70" x14ac:dyDescent="0.2">
      <c r="B88">
        <v>1883</v>
      </c>
      <c r="C88" s="13">
        <v>1443.765380859375</v>
      </c>
      <c r="D88" s="13">
        <v>2621.6513671875</v>
      </c>
      <c r="E88" s="13">
        <v>4819.021484375</v>
      </c>
      <c r="F88" s="13">
        <v>1062.5977783203125</v>
      </c>
      <c r="G88" s="13">
        <v>1138.3541259765625</v>
      </c>
      <c r="H88" s="13">
        <v>685.62322998046875</v>
      </c>
      <c r="I88" s="13">
        <v>646.1495361328125</v>
      </c>
      <c r="J88" s="13">
        <v>752.82843017578125</v>
      </c>
      <c r="K88" s="13">
        <v>700.7451171875</v>
      </c>
      <c r="L88" s="13">
        <v>3524.05810546875</v>
      </c>
      <c r="M88" s="13">
        <v>3424.117431640625</v>
      </c>
      <c r="N88" s="13">
        <v>3246.61376953125</v>
      </c>
      <c r="O88" s="13">
        <v>2787.82861328125</v>
      </c>
      <c r="P88" s="13">
        <v>5433.20166015625</v>
      </c>
      <c r="Q88" s="13">
        <v>2453.377197265625</v>
      </c>
      <c r="R88" s="13">
        <v>3945.9013671875</v>
      </c>
      <c r="S88" s="13">
        <v>3113.396484375</v>
      </c>
      <c r="T88" s="13">
        <v>1943.8458251953125</v>
      </c>
      <c r="U88" s="13">
        <v>2919.0947265625</v>
      </c>
      <c r="V88" s="13">
        <v>1168.0589599609375</v>
      </c>
      <c r="W88" s="13">
        <v>5319.72607421875</v>
      </c>
      <c r="X88" s="13">
        <v>2219.24462890625</v>
      </c>
      <c r="Y88" s="13">
        <v>6429.529296875</v>
      </c>
      <c r="Z88" s="13">
        <v>4840.671875</v>
      </c>
      <c r="AA88" s="13">
        <v>959.65478515625</v>
      </c>
      <c r="AB88" s="13">
        <v>1738.4874267578125</v>
      </c>
      <c r="AC88" s="13">
        <v>921.4932861328125</v>
      </c>
      <c r="AD88" s="13">
        <v>1956.179443359375</v>
      </c>
      <c r="AE88" s="13">
        <v>1488.29931640625</v>
      </c>
      <c r="AF88" s="13">
        <v>944.4134521484375</v>
      </c>
      <c r="AG88" s="13">
        <v>662.7484130859375</v>
      </c>
      <c r="AH88" s="13">
        <v>538.3878173828125</v>
      </c>
      <c r="AI88" s="13">
        <v>1826.4786376953125</v>
      </c>
      <c r="AJ88" s="13">
        <v>1393.562744140625</v>
      </c>
      <c r="AK88" s="13">
        <v>734.95281982421875</v>
      </c>
      <c r="AL88" s="13">
        <v>740.3524169921875</v>
      </c>
      <c r="AM88" s="13">
        <v>1587.3194580078125</v>
      </c>
      <c r="AN88" s="13">
        <v>1105.5216064453125</v>
      </c>
      <c r="AO88" s="13">
        <v>1776.763671875</v>
      </c>
      <c r="AP88" s="13">
        <v>977.04901123046875</v>
      </c>
      <c r="AQ88" s="13">
        <v>653.89794921875</v>
      </c>
      <c r="AR88" s="13">
        <v>551.00531005859375</v>
      </c>
      <c r="AS88" s="13">
        <v>781.28424072265625</v>
      </c>
      <c r="AT88" s="13">
        <v>719.35064697265625</v>
      </c>
      <c r="AU88" s="13">
        <v>706.9058837890625</v>
      </c>
      <c r="AV88" s="13">
        <v>768.27740478515625</v>
      </c>
      <c r="AW88" s="13">
        <v>419.92926025390625</v>
      </c>
      <c r="AX88" s="13">
        <v>353.18228149414062</v>
      </c>
      <c r="AY88" s="13">
        <v>2095.897216796875</v>
      </c>
      <c r="AZ88" s="13">
        <v>296.99957275390625</v>
      </c>
      <c r="BA88" s="13">
        <v>829.14166259765625</v>
      </c>
      <c r="BB88" s="13">
        <v>673.876953125</v>
      </c>
      <c r="BC88" s="13">
        <v>732.7091064453125</v>
      </c>
      <c r="BD88" s="13">
        <v>873.87713623046875</v>
      </c>
      <c r="BE88" s="13">
        <v>621.927734375</v>
      </c>
      <c r="BF88" s="13">
        <v>814.22210693359375</v>
      </c>
      <c r="BG88" s="13">
        <v>1442.7420654296875</v>
      </c>
      <c r="BH88" s="13">
        <v>977.970947265625</v>
      </c>
      <c r="BI88" s="13">
        <v>659.64178466796875</v>
      </c>
      <c r="BJ88" s="13">
        <v>669.35858154296875</v>
      </c>
      <c r="BK88" s="13">
        <v>347.9912109375</v>
      </c>
      <c r="BL88" s="13">
        <v>771.30194091796875</v>
      </c>
      <c r="BM88" s="13">
        <v>918.5294189453125</v>
      </c>
      <c r="BN88" s="13">
        <v>948.63836669921875</v>
      </c>
      <c r="BO88" s="13">
        <v>671.6246337890625</v>
      </c>
      <c r="BP88" s="13">
        <v>1307.0079345703125</v>
      </c>
      <c r="BQ88" s="13"/>
      <c r="BR88" s="13"/>
    </row>
    <row r="89" spans="2:70" x14ac:dyDescent="0.2">
      <c r="B89">
        <v>1884</v>
      </c>
      <c r="C89" s="13">
        <v>1440.0418701171875</v>
      </c>
      <c r="D89" s="13">
        <v>2620.06103515625</v>
      </c>
      <c r="E89" s="13">
        <v>4709.40673828125</v>
      </c>
      <c r="F89" s="13">
        <v>1027.24072265625</v>
      </c>
      <c r="G89" s="13">
        <v>1150.6324462890625</v>
      </c>
      <c r="H89" s="13">
        <v>674.2003173828125</v>
      </c>
      <c r="I89" s="13">
        <v>639.44464111328125</v>
      </c>
      <c r="J89" s="13">
        <v>757.89154052734375</v>
      </c>
      <c r="K89" s="13">
        <v>707.82708740234375</v>
      </c>
      <c r="L89" s="13">
        <v>3704.2314453125</v>
      </c>
      <c r="M89" s="13">
        <v>3333.4521484375</v>
      </c>
      <c r="N89" s="13">
        <v>3407.057373046875</v>
      </c>
      <c r="O89" s="13">
        <v>2701.930908203125</v>
      </c>
      <c r="P89" s="13">
        <v>5324.8505859375</v>
      </c>
      <c r="Q89" s="13">
        <v>2401.65380859375</v>
      </c>
      <c r="R89" s="13">
        <v>4067.9912109375</v>
      </c>
      <c r="S89" s="13">
        <v>3098.2236328125</v>
      </c>
      <c r="T89" s="13">
        <v>2006.4112548828125</v>
      </c>
      <c r="U89" s="13">
        <v>2916.013916015625</v>
      </c>
      <c r="V89" s="13">
        <v>1167.0621337890625</v>
      </c>
      <c r="W89" s="13">
        <v>5168.00927734375</v>
      </c>
      <c r="X89" s="13">
        <v>2390.76953125</v>
      </c>
      <c r="Y89" s="13">
        <v>6371.9990234375</v>
      </c>
      <c r="Z89" s="13">
        <v>5114.75830078125</v>
      </c>
      <c r="AA89" s="13">
        <v>938.73388671875</v>
      </c>
      <c r="AB89" s="13">
        <v>1775.7711181640625</v>
      </c>
      <c r="AC89" s="13">
        <v>774.20770263671875</v>
      </c>
      <c r="AD89" s="13">
        <v>1871.73828125</v>
      </c>
      <c r="AE89" s="13">
        <v>1514.270751953125</v>
      </c>
      <c r="AF89" s="13">
        <v>974.41912841796875</v>
      </c>
      <c r="AG89" s="13">
        <v>640.85357666015625</v>
      </c>
      <c r="AH89" s="13">
        <v>539.66162109375</v>
      </c>
      <c r="AI89" s="13">
        <v>1856.759033203125</v>
      </c>
      <c r="AJ89" s="13">
        <v>1408.595458984375</v>
      </c>
      <c r="AK89" s="13">
        <v>743.01336669921875</v>
      </c>
      <c r="AL89" s="13">
        <v>743.65899658203125</v>
      </c>
      <c r="AM89" s="13">
        <v>1598.493408203125</v>
      </c>
      <c r="AN89" s="13">
        <v>1117.2615966796875</v>
      </c>
      <c r="AO89" s="13">
        <v>1795.2877197265625</v>
      </c>
      <c r="AP89" s="13">
        <v>978.450927734375</v>
      </c>
      <c r="AQ89" s="13">
        <v>653.11358642578125</v>
      </c>
      <c r="AR89" s="13">
        <v>551.7958984375</v>
      </c>
      <c r="AS89" s="13">
        <v>782.2796630859375</v>
      </c>
      <c r="AT89" s="13">
        <v>720.26702880859375</v>
      </c>
      <c r="AU89" s="13">
        <v>707.80645751953125</v>
      </c>
      <c r="AV89" s="13">
        <v>771.81195068359375</v>
      </c>
      <c r="AW89" s="13">
        <v>420.4642333984375</v>
      </c>
      <c r="AX89" s="13">
        <v>353.63223266601562</v>
      </c>
      <c r="AY89" s="13">
        <v>1897.0457763671875</v>
      </c>
      <c r="AZ89" s="13">
        <v>292.3612060546875</v>
      </c>
      <c r="BA89" s="13">
        <v>820.53924560546875</v>
      </c>
      <c r="BB89" s="13">
        <v>666.885498046875</v>
      </c>
      <c r="BC89" s="13">
        <v>730.818359375</v>
      </c>
      <c r="BD89" s="13">
        <v>925.880615234375</v>
      </c>
      <c r="BE89" s="13">
        <v>626.35302734375</v>
      </c>
      <c r="BF89" s="13">
        <v>824.021728515625</v>
      </c>
      <c r="BG89" s="13">
        <v>1449.5238037109375</v>
      </c>
      <c r="BH89" s="13">
        <v>982.21893310546875</v>
      </c>
      <c r="BI89" s="13">
        <v>659.83782958984375</v>
      </c>
      <c r="BJ89" s="13">
        <v>717.83721923828125</v>
      </c>
      <c r="BK89" s="13">
        <v>350.85638427734375</v>
      </c>
      <c r="BL89" s="13">
        <v>774.6522216796875</v>
      </c>
      <c r="BM89" s="13">
        <v>911.97784423828125</v>
      </c>
      <c r="BN89" s="13">
        <v>951.90557861328125</v>
      </c>
      <c r="BO89" s="13">
        <v>676.74169921875</v>
      </c>
      <c r="BP89" s="13">
        <v>1319.428955078125</v>
      </c>
      <c r="BQ89" s="13"/>
      <c r="BR89" s="13"/>
    </row>
    <row r="90" spans="2:70" x14ac:dyDescent="0.2">
      <c r="B90">
        <v>1885</v>
      </c>
      <c r="C90" s="13">
        <v>1446.529052734375</v>
      </c>
      <c r="D90" s="13">
        <v>2647.87255859375</v>
      </c>
      <c r="E90" s="13">
        <v>4620.12109375</v>
      </c>
      <c r="F90" s="13">
        <v>1102.410888671875</v>
      </c>
      <c r="G90" s="13">
        <v>1162.8729248046875</v>
      </c>
      <c r="H90" s="13">
        <v>651.5157470703125</v>
      </c>
      <c r="I90" s="13">
        <v>576.3634033203125</v>
      </c>
      <c r="J90" s="13">
        <v>767.489990234375</v>
      </c>
      <c r="K90" s="13">
        <v>719.614990234375</v>
      </c>
      <c r="L90" s="13">
        <v>3801.182373046875</v>
      </c>
      <c r="M90" s="13">
        <v>3319.32373046875</v>
      </c>
      <c r="N90" s="13">
        <v>3392.88427734375</v>
      </c>
      <c r="O90" s="13">
        <v>2714.7265625</v>
      </c>
      <c r="P90" s="13">
        <v>5337.65087890625</v>
      </c>
      <c r="Q90" s="13">
        <v>2494.935302734375</v>
      </c>
      <c r="R90" s="13">
        <v>4140.86474609375</v>
      </c>
      <c r="S90" s="13">
        <v>3021.10302734375</v>
      </c>
      <c r="T90" s="13">
        <v>2024.7681884765625</v>
      </c>
      <c r="U90" s="13">
        <v>2950.598388671875</v>
      </c>
      <c r="V90" s="13">
        <v>1181.0985107421875</v>
      </c>
      <c r="W90" s="13">
        <v>5069.51953125</v>
      </c>
      <c r="X90" s="13">
        <v>2236.87841796875</v>
      </c>
      <c r="Y90" s="13">
        <v>6322.19580078125</v>
      </c>
      <c r="Z90" s="13">
        <v>4939.654296875</v>
      </c>
      <c r="AA90" s="13">
        <v>920.5494384765625</v>
      </c>
      <c r="AB90" s="13">
        <v>2175.54541015625</v>
      </c>
      <c r="AC90" s="13">
        <v>834.81866455078125</v>
      </c>
      <c r="AD90" s="13">
        <v>1778.099365234375</v>
      </c>
      <c r="AE90" s="13">
        <v>1545.695556640625</v>
      </c>
      <c r="AF90" s="13">
        <v>1006.7910766601562</v>
      </c>
      <c r="AG90" s="13">
        <v>683.256591796875</v>
      </c>
      <c r="AH90" s="13">
        <v>540.9241943359375</v>
      </c>
      <c r="AI90" s="13">
        <v>1887.33447265625</v>
      </c>
      <c r="AJ90" s="13">
        <v>1423.2833251953125</v>
      </c>
      <c r="AK90" s="13">
        <v>751.1297607421875</v>
      </c>
      <c r="AL90" s="13">
        <v>746.94793701171875</v>
      </c>
      <c r="AM90" s="13">
        <v>1609.7032470703125</v>
      </c>
      <c r="AN90" s="13">
        <v>1129.0963134765625</v>
      </c>
      <c r="AO90" s="13">
        <v>1813.676513671875</v>
      </c>
      <c r="AP90" s="13">
        <v>979.82891845703125</v>
      </c>
      <c r="AQ90" s="13">
        <v>652.31292724609375</v>
      </c>
      <c r="AR90" s="13">
        <v>552.572998046875</v>
      </c>
      <c r="AS90" s="13">
        <v>783.24224853515625</v>
      </c>
      <c r="AT90" s="13">
        <v>721.1533203125</v>
      </c>
      <c r="AU90" s="13">
        <v>708.67742919921875</v>
      </c>
      <c r="AV90" s="13">
        <v>750.48583984375</v>
      </c>
      <c r="AW90" s="13">
        <v>420.98162841796875</v>
      </c>
      <c r="AX90" s="13">
        <v>354.06741333007812</v>
      </c>
      <c r="AY90" s="13">
        <v>1600.5748291015625</v>
      </c>
      <c r="AZ90" s="13">
        <v>282.41326904296875</v>
      </c>
      <c r="BA90" s="13">
        <v>739.594482421875</v>
      </c>
      <c r="BB90" s="13">
        <v>601.09832763671875</v>
      </c>
      <c r="BC90" s="13">
        <v>728.909423828125</v>
      </c>
      <c r="BD90" s="13">
        <v>1016.2420654296875</v>
      </c>
      <c r="BE90" s="13">
        <v>630.7938232421875</v>
      </c>
      <c r="BF90" s="13">
        <v>826.259033203125</v>
      </c>
      <c r="BG90" s="13">
        <v>1463.40869140625</v>
      </c>
      <c r="BH90" s="13">
        <v>986.30865478515625</v>
      </c>
      <c r="BI90" s="13">
        <v>677.91827392578125</v>
      </c>
      <c r="BJ90" s="13">
        <v>715.43475341796875</v>
      </c>
      <c r="BK90" s="13">
        <v>353.6817626953125</v>
      </c>
      <c r="BL90" s="13">
        <v>777.877685546875</v>
      </c>
      <c r="BM90" s="13">
        <v>911.631591796875</v>
      </c>
      <c r="BN90" s="13">
        <v>961.6573486328125</v>
      </c>
      <c r="BO90" s="13">
        <v>677.0330810546875</v>
      </c>
      <c r="BP90" s="13">
        <v>1352.1214599609375</v>
      </c>
      <c r="BQ90" s="13"/>
      <c r="BR90" s="13"/>
    </row>
    <row r="91" spans="2:70" x14ac:dyDescent="0.2">
      <c r="B91">
        <v>1886</v>
      </c>
      <c r="C91" s="13">
        <v>1473.109375</v>
      </c>
      <c r="D91" s="13">
        <v>2688.177734375</v>
      </c>
      <c r="E91" s="13">
        <v>4733.00341796875</v>
      </c>
      <c r="F91" s="13">
        <v>1136.4678955078125</v>
      </c>
      <c r="G91" s="13">
        <v>1176.5450439453125</v>
      </c>
      <c r="H91" s="13">
        <v>672.45452880859375</v>
      </c>
      <c r="I91" s="13">
        <v>576.681396484375</v>
      </c>
      <c r="J91" s="13">
        <v>780.17828369140625</v>
      </c>
      <c r="K91" s="13">
        <v>704.61846923828125</v>
      </c>
      <c r="L91" s="13">
        <v>3840.1337890625</v>
      </c>
      <c r="M91" s="13">
        <v>3462.73974609375</v>
      </c>
      <c r="N91" s="13">
        <v>3481.62646484375</v>
      </c>
      <c r="O91" s="13">
        <v>2695.537841796875</v>
      </c>
      <c r="P91" s="13">
        <v>5420.69970703125</v>
      </c>
      <c r="Q91" s="13">
        <v>2625.50732421875</v>
      </c>
      <c r="R91" s="13">
        <v>4219.13525390625</v>
      </c>
      <c r="S91" s="13">
        <v>3071.98779296875</v>
      </c>
      <c r="T91" s="13">
        <v>1978.474853515625</v>
      </c>
      <c r="U91" s="13">
        <v>2998.7509765625</v>
      </c>
      <c r="V91" s="13">
        <v>1200.9713134765625</v>
      </c>
      <c r="W91" s="13">
        <v>5200.43603515625</v>
      </c>
      <c r="X91" s="13">
        <v>2255.82666015625</v>
      </c>
      <c r="Y91" s="13">
        <v>6270.75048828125</v>
      </c>
      <c r="Z91" s="13">
        <v>4953.044921875</v>
      </c>
      <c r="AA91" s="13">
        <v>943.42291259765625</v>
      </c>
      <c r="AB91" s="13">
        <v>2113.583984375</v>
      </c>
      <c r="AC91" s="13">
        <v>912.79486083984375</v>
      </c>
      <c r="AD91" s="13">
        <v>1862.3660888671875</v>
      </c>
      <c r="AE91" s="13">
        <v>1537.0523681640625</v>
      </c>
      <c r="AF91" s="13">
        <v>1023.6195068359375</v>
      </c>
      <c r="AG91" s="13">
        <v>705.20672607421875</v>
      </c>
      <c r="AH91" s="13">
        <v>542.29437255859375</v>
      </c>
      <c r="AI91" s="13">
        <v>1920.16650390625</v>
      </c>
      <c r="AJ91" s="13">
        <v>1442.37451171875</v>
      </c>
      <c r="AK91" s="13">
        <v>759.60601806640625</v>
      </c>
      <c r="AL91" s="13">
        <v>750.5194091796875</v>
      </c>
      <c r="AM91" s="13">
        <v>1621.3046875</v>
      </c>
      <c r="AN91" s="13">
        <v>1141.2767333984375</v>
      </c>
      <c r="AO91" s="13">
        <v>1835.3944091796875</v>
      </c>
      <c r="AP91" s="13">
        <v>981.398193359375</v>
      </c>
      <c r="AQ91" s="13">
        <v>651.6390380859375</v>
      </c>
      <c r="AR91" s="13">
        <v>553.45806884765625</v>
      </c>
      <c r="AS91" s="13">
        <v>784.486083984375</v>
      </c>
      <c r="AT91" s="13">
        <v>722.298583984375</v>
      </c>
      <c r="AU91" s="13">
        <v>709.8028564453125</v>
      </c>
      <c r="AV91" s="13">
        <v>755.603515625</v>
      </c>
      <c r="AW91" s="13">
        <v>421.65017700195312</v>
      </c>
      <c r="AX91" s="13">
        <v>354.629638671875</v>
      </c>
      <c r="AY91" s="13">
        <v>1888.7918701171875</v>
      </c>
      <c r="AZ91" s="13">
        <v>291.16314697265625</v>
      </c>
      <c r="BA91" s="13">
        <v>740.00396728515625</v>
      </c>
      <c r="BB91" s="13">
        <v>601.43121337890625</v>
      </c>
      <c r="BC91" s="13">
        <v>727.20159912109375</v>
      </c>
      <c r="BD91" s="13">
        <v>1134.44580078125</v>
      </c>
      <c r="BE91" s="13">
        <v>635.3902587890625</v>
      </c>
      <c r="BF91" s="13">
        <v>829.18780517578125</v>
      </c>
      <c r="BG91" s="13">
        <v>1482.8399658203125</v>
      </c>
      <c r="BH91" s="13">
        <v>999.1646728515625</v>
      </c>
      <c r="BI91" s="13">
        <v>654.73565673828125</v>
      </c>
      <c r="BJ91" s="13">
        <v>702.432373046875</v>
      </c>
      <c r="BK91" s="13">
        <v>359.679443359375</v>
      </c>
      <c r="BL91" s="13">
        <v>788.01690673828125</v>
      </c>
      <c r="BM91" s="13">
        <v>912.8294677734375</v>
      </c>
      <c r="BN91" s="13">
        <v>972.96124267578125</v>
      </c>
      <c r="BO91" s="13">
        <v>677.6563720703125</v>
      </c>
      <c r="BP91" s="13">
        <v>1323.575439453125</v>
      </c>
      <c r="BQ91" s="13"/>
      <c r="BR91" s="13"/>
    </row>
    <row r="92" spans="2:70" x14ac:dyDescent="0.2">
      <c r="B92">
        <v>1887</v>
      </c>
      <c r="C92" s="13">
        <v>1507.6094970703125</v>
      </c>
      <c r="D92" s="13">
        <v>2715.768798828125</v>
      </c>
      <c r="E92" s="13">
        <v>4988.5048828125</v>
      </c>
      <c r="F92" s="13">
        <v>1068.4395751953125</v>
      </c>
      <c r="G92" s="13">
        <v>1190.550048828125</v>
      </c>
      <c r="H92" s="13">
        <v>682.21112060546875</v>
      </c>
      <c r="I92" s="13">
        <v>697.22186279296875</v>
      </c>
      <c r="J92" s="13">
        <v>770.17034912109375</v>
      </c>
      <c r="K92" s="13">
        <v>722.90716552734375</v>
      </c>
      <c r="L92" s="13">
        <v>3908.78662109375</v>
      </c>
      <c r="M92" s="13">
        <v>3435.71435546875</v>
      </c>
      <c r="N92" s="13">
        <v>3292.149658203125</v>
      </c>
      <c r="O92" s="13">
        <v>2755.109619140625</v>
      </c>
      <c r="P92" s="13">
        <v>5626.80419921875</v>
      </c>
      <c r="Q92" s="13">
        <v>2518.97509765625</v>
      </c>
      <c r="R92" s="13">
        <v>4224.64990234375</v>
      </c>
      <c r="S92" s="13">
        <v>3088.70361328125</v>
      </c>
      <c r="T92" s="13">
        <v>1936.468017578125</v>
      </c>
      <c r="U92" s="13">
        <v>3018.732666015625</v>
      </c>
      <c r="V92" s="13">
        <v>1209.640380859375</v>
      </c>
      <c r="W92" s="13">
        <v>5488.771484375</v>
      </c>
      <c r="X92" s="13">
        <v>2293.390380859375</v>
      </c>
      <c r="Y92" s="13">
        <v>6515.91796875</v>
      </c>
      <c r="Z92" s="13">
        <v>4949.5556640625</v>
      </c>
      <c r="AA92" s="13">
        <v>994.468017578125</v>
      </c>
      <c r="AB92" s="13">
        <v>1747.1595458984375</v>
      </c>
      <c r="AC92" s="13">
        <v>792.45751953125</v>
      </c>
      <c r="AD92" s="13">
        <v>1950.27978515625</v>
      </c>
      <c r="AE92" s="13">
        <v>1534.833251953125</v>
      </c>
      <c r="AF92" s="13">
        <v>1044.600830078125</v>
      </c>
      <c r="AG92" s="13">
        <v>665.227783203125</v>
      </c>
      <c r="AH92" s="13">
        <v>543.68621826171875</v>
      </c>
      <c r="AI92" s="13">
        <v>1953.8695068359375</v>
      </c>
      <c r="AJ92" s="13">
        <v>1462.450927734375</v>
      </c>
      <c r="AK92" s="13">
        <v>768.22357177734375</v>
      </c>
      <c r="AL92" s="13">
        <v>754.1527099609375</v>
      </c>
      <c r="AM92" s="13">
        <v>1633.0445556640625</v>
      </c>
      <c r="AN92" s="13">
        <v>1153.6273193359375</v>
      </c>
      <c r="AO92" s="13">
        <v>1857.8892822265625</v>
      </c>
      <c r="AP92" s="13">
        <v>983.00311279296875</v>
      </c>
      <c r="AQ92" s="13">
        <v>650.9876708984375</v>
      </c>
      <c r="AR92" s="13">
        <v>554.3631591796875</v>
      </c>
      <c r="AS92" s="13">
        <v>785.77862548828125</v>
      </c>
      <c r="AT92" s="13">
        <v>723.48870849609375</v>
      </c>
      <c r="AU92" s="13">
        <v>710.972412109375</v>
      </c>
      <c r="AV92" s="13">
        <v>707.67889404296875</v>
      </c>
      <c r="AW92" s="13">
        <v>422.34490966796875</v>
      </c>
      <c r="AX92" s="13">
        <v>355.2139892578125</v>
      </c>
      <c r="AY92" s="13">
        <v>2151.361572265625</v>
      </c>
      <c r="AZ92" s="13">
        <v>293.75540161132812</v>
      </c>
      <c r="BA92" s="13">
        <v>894.68463134765625</v>
      </c>
      <c r="BB92" s="13">
        <v>727.1463623046875</v>
      </c>
      <c r="BC92" s="13">
        <v>725.53070068359375</v>
      </c>
      <c r="BD92" s="13">
        <v>1061.64599609375</v>
      </c>
      <c r="BE92" s="13">
        <v>640.04248046875</v>
      </c>
      <c r="BF92" s="13">
        <v>832.24774169921875</v>
      </c>
      <c r="BG92" s="13">
        <v>1466.723876953125</v>
      </c>
      <c r="BH92" s="13">
        <v>1005.044189453125</v>
      </c>
      <c r="BI92" s="13">
        <v>682.61492919921875</v>
      </c>
      <c r="BJ92" s="13">
        <v>702.6171875</v>
      </c>
      <c r="BK92" s="13">
        <v>363.1971435546875</v>
      </c>
      <c r="BL92" s="13">
        <v>792.65386962890625</v>
      </c>
      <c r="BM92" s="13">
        <v>907.57177734375</v>
      </c>
      <c r="BN92" s="13">
        <v>984.64599609375</v>
      </c>
      <c r="BO92" s="13">
        <v>683.24896240234375</v>
      </c>
      <c r="BP92" s="13">
        <v>1359.8880615234375</v>
      </c>
      <c r="BQ92" s="13"/>
      <c r="BR92" s="13"/>
    </row>
    <row r="93" spans="2:70" x14ac:dyDescent="0.2">
      <c r="B93">
        <v>1888</v>
      </c>
      <c r="C93" s="13">
        <v>1545.5281982421875</v>
      </c>
      <c r="D93" s="13">
        <v>2812.662841796875</v>
      </c>
      <c r="E93" s="13">
        <v>5071.810546875</v>
      </c>
      <c r="F93" s="13">
        <v>1067.6163330078125</v>
      </c>
      <c r="G93" s="13">
        <v>1202.4815673828125</v>
      </c>
      <c r="H93" s="13">
        <v>700.79669189453125</v>
      </c>
      <c r="I93" s="13">
        <v>676.6365966796875</v>
      </c>
      <c r="J93" s="13">
        <v>779.42486572265625</v>
      </c>
      <c r="K93" s="13">
        <v>724.02130126953125</v>
      </c>
      <c r="L93" s="13">
        <v>4075.614013671875</v>
      </c>
      <c r="M93" s="13">
        <v>3543.657470703125</v>
      </c>
      <c r="N93" s="13">
        <v>3375.54541015625</v>
      </c>
      <c r="O93" s="13">
        <v>2978.797119140625</v>
      </c>
      <c r="P93" s="13">
        <v>5815.02392578125</v>
      </c>
      <c r="Q93" s="13">
        <v>2454.5771484375</v>
      </c>
      <c r="R93" s="13">
        <v>4294.17822265625</v>
      </c>
      <c r="S93" s="13">
        <v>3287.625244140625</v>
      </c>
      <c r="T93" s="13">
        <v>2004.6865234375</v>
      </c>
      <c r="U93" s="13">
        <v>3122.128173828125</v>
      </c>
      <c r="V93" s="13">
        <v>1251.080810546875</v>
      </c>
      <c r="W93" s="13">
        <v>5550.51123046875</v>
      </c>
      <c r="X93" s="13">
        <v>2438.801513671875</v>
      </c>
      <c r="Y93" s="13">
        <v>6999.708984375</v>
      </c>
      <c r="Z93" s="13">
        <v>4862.265625</v>
      </c>
      <c r="AA93" s="13">
        <v>1011.5145263671875</v>
      </c>
      <c r="AB93" s="13">
        <v>1808.4317626953125</v>
      </c>
      <c r="AC93" s="13">
        <v>780.15069580078125</v>
      </c>
      <c r="AD93" s="13">
        <v>1820.552734375</v>
      </c>
      <c r="AE93" s="13">
        <v>1526.2540283203125</v>
      </c>
      <c r="AF93" s="13">
        <v>1060.061767578125</v>
      </c>
      <c r="AG93" s="13">
        <v>659.9473876953125</v>
      </c>
      <c r="AH93" s="13">
        <v>544.89874267578125</v>
      </c>
      <c r="AI93" s="13">
        <v>1985.120361328125</v>
      </c>
      <c r="AJ93" s="13">
        <v>1475.4783935546875</v>
      </c>
      <c r="AK93" s="13">
        <v>776.47247314453125</v>
      </c>
      <c r="AL93" s="13">
        <v>757.3487548828125</v>
      </c>
      <c r="AM93" s="13">
        <v>1644.3175048828125</v>
      </c>
      <c r="AN93" s="13">
        <v>1165.7200927734375</v>
      </c>
      <c r="AO93" s="13">
        <v>1875.2696533203125</v>
      </c>
      <c r="AP93" s="13">
        <v>984.28021240234375</v>
      </c>
      <c r="AQ93" s="13">
        <v>650.2882080078125</v>
      </c>
      <c r="AR93" s="13">
        <v>555.08331298828125</v>
      </c>
      <c r="AS93" s="13">
        <v>786.60089111328125</v>
      </c>
      <c r="AT93" s="13">
        <v>724.2457275390625</v>
      </c>
      <c r="AU93" s="13">
        <v>711.71630859375</v>
      </c>
      <c r="AV93" s="13">
        <v>706.55584716796875</v>
      </c>
      <c r="AW93" s="13">
        <v>422.78680419921875</v>
      </c>
      <c r="AX93" s="13">
        <v>355.58563232421875</v>
      </c>
      <c r="AY93" s="13">
        <v>2424.47900390625</v>
      </c>
      <c r="AZ93" s="13">
        <v>301.15957641601562</v>
      </c>
      <c r="BA93" s="13">
        <v>868.26910400390625</v>
      </c>
      <c r="BB93" s="13">
        <v>705.677490234375</v>
      </c>
      <c r="BC93" s="13">
        <v>738.5787353515625</v>
      </c>
      <c r="BD93" s="13">
        <v>1043.9537353515625</v>
      </c>
      <c r="BE93" s="13">
        <v>644.5120849609375</v>
      </c>
      <c r="BF93" s="13">
        <v>834.19549560546875</v>
      </c>
      <c r="BG93" s="13">
        <v>1485.7445068359375</v>
      </c>
      <c r="BH93" s="13">
        <v>1008.760498046875</v>
      </c>
      <c r="BI93" s="13">
        <v>685.2447509765625</v>
      </c>
      <c r="BJ93" s="13">
        <v>693.66796875</v>
      </c>
      <c r="BK93" s="13">
        <v>365.95196533203125</v>
      </c>
      <c r="BL93" s="13">
        <v>795.58489990234375</v>
      </c>
      <c r="BM93" s="13">
        <v>906.16998291015625</v>
      </c>
      <c r="BN93" s="13">
        <v>993.9774169921875</v>
      </c>
      <c r="BO93" s="13">
        <v>687.83294677734375</v>
      </c>
      <c r="BP93" s="13">
        <v>1362.72314453125</v>
      </c>
      <c r="BQ93" s="13"/>
      <c r="BR93" s="13"/>
    </row>
    <row r="94" spans="2:70" x14ac:dyDescent="0.2">
      <c r="B94">
        <v>1889</v>
      </c>
      <c r="C94" s="13">
        <v>1545.921875</v>
      </c>
      <c r="D94" s="13">
        <v>2846.864501953125</v>
      </c>
      <c r="E94" s="13">
        <v>4953.0791015625</v>
      </c>
      <c r="F94" s="13">
        <v>1133.5458984375</v>
      </c>
      <c r="G94" s="13">
        <v>1212.3145751953125</v>
      </c>
      <c r="H94" s="13">
        <v>704.93023681640625</v>
      </c>
      <c r="I94" s="13">
        <v>538.700927734375</v>
      </c>
      <c r="J94" s="13">
        <v>791.82354736328125</v>
      </c>
      <c r="K94" s="13">
        <v>709.206298828125</v>
      </c>
      <c r="L94" s="13">
        <v>4171.84912109375</v>
      </c>
      <c r="M94" s="13">
        <v>3615.20361328125</v>
      </c>
      <c r="N94" s="13">
        <v>3059.140869140625</v>
      </c>
      <c r="O94" s="13">
        <v>2976.846923828125</v>
      </c>
      <c r="P94" s="13">
        <v>6012.42138671875</v>
      </c>
      <c r="Q94" s="13">
        <v>2509.519287109375</v>
      </c>
      <c r="R94" s="13">
        <v>4270.203125</v>
      </c>
      <c r="S94" s="13">
        <v>3492.903564453125</v>
      </c>
      <c r="T94" s="13">
        <v>2009.81201171875</v>
      </c>
      <c r="U94" s="13">
        <v>3151.0615234375</v>
      </c>
      <c r="V94" s="13">
        <v>1261.9598388671875</v>
      </c>
      <c r="W94" s="13">
        <v>5389.142578125</v>
      </c>
      <c r="X94" s="13">
        <v>2445.84619140625</v>
      </c>
      <c r="Y94" s="13">
        <v>7241.67333984375</v>
      </c>
      <c r="Z94" s="13">
        <v>5030.955078125</v>
      </c>
      <c r="AA94" s="13">
        <v>988.29412841796875</v>
      </c>
      <c r="AB94" s="13">
        <v>2372.896240234375</v>
      </c>
      <c r="AC94" s="13">
        <v>757.2357177734375</v>
      </c>
      <c r="AD94" s="13">
        <v>1863.1124267578125</v>
      </c>
      <c r="AE94" s="13">
        <v>1495.980224609375</v>
      </c>
      <c r="AF94" s="13">
        <v>1057.0927734375</v>
      </c>
      <c r="AG94" s="13">
        <v>689.39111328125</v>
      </c>
      <c r="AH94" s="13">
        <v>545.9267578125</v>
      </c>
      <c r="AI94" s="13">
        <v>2013.7259521484375</v>
      </c>
      <c r="AJ94" s="13">
        <v>1481.0604248046875</v>
      </c>
      <c r="AK94" s="13">
        <v>784.33135986328125</v>
      </c>
      <c r="AL94" s="13">
        <v>760.09454345703125</v>
      </c>
      <c r="AM94" s="13">
        <v>1655.1005859375</v>
      </c>
      <c r="AN94" s="13">
        <v>1177.535888671875</v>
      </c>
      <c r="AO94" s="13">
        <v>1887.1973876953125</v>
      </c>
      <c r="AP94" s="13">
        <v>985.22100830078125</v>
      </c>
      <c r="AQ94" s="13">
        <v>649.36676025390625</v>
      </c>
      <c r="AR94" s="13">
        <v>555.6138916015625</v>
      </c>
      <c r="AS94" s="13">
        <v>786.94378662109375</v>
      </c>
      <c r="AT94" s="13">
        <v>724.5614013671875</v>
      </c>
      <c r="AU94" s="13">
        <v>712.02655029296875</v>
      </c>
      <c r="AV94" s="13">
        <v>738.785888671875</v>
      </c>
      <c r="AW94" s="13">
        <v>422.97109985351562</v>
      </c>
      <c r="AX94" s="13">
        <v>355.7406005859375</v>
      </c>
      <c r="AY94" s="13">
        <v>2395.36474609375</v>
      </c>
      <c r="AZ94" s="13">
        <v>303.4068603515625</v>
      </c>
      <c r="BA94" s="13">
        <v>691.26678466796875</v>
      </c>
      <c r="BB94" s="13">
        <v>561.820556640625</v>
      </c>
      <c r="BC94" s="13">
        <v>751.51873779296875</v>
      </c>
      <c r="BD94" s="13">
        <v>1050.8226318359375</v>
      </c>
      <c r="BE94" s="13">
        <v>648.79052734375</v>
      </c>
      <c r="BF94" s="13">
        <v>835.3438720703125</v>
      </c>
      <c r="BG94" s="13">
        <v>1509.0435791015625</v>
      </c>
      <c r="BH94" s="13">
        <v>1018.4927368164062</v>
      </c>
      <c r="BI94" s="13">
        <v>662.03814697265625</v>
      </c>
      <c r="BJ94" s="13">
        <v>680.8001708984375</v>
      </c>
      <c r="BK94" s="13">
        <v>370.91354370117188</v>
      </c>
      <c r="BL94" s="13">
        <v>803.260498046875</v>
      </c>
      <c r="BM94" s="13">
        <v>909.38037109375</v>
      </c>
      <c r="BN94" s="13">
        <v>1000.8336181640625</v>
      </c>
      <c r="BO94" s="13">
        <v>685.8143310546875</v>
      </c>
      <c r="BP94" s="13">
        <v>1343.400390625</v>
      </c>
      <c r="BQ94" s="13"/>
      <c r="BR94" s="13"/>
    </row>
    <row r="95" spans="2:70" x14ac:dyDescent="0.2">
      <c r="B95">
        <v>1890</v>
      </c>
      <c r="C95" s="13">
        <v>1608.2252197265625</v>
      </c>
      <c r="D95" s="13">
        <v>2867.90576171875</v>
      </c>
      <c r="E95" s="13">
        <v>5375.1025390625</v>
      </c>
      <c r="F95" s="13">
        <v>1224.3924560546875</v>
      </c>
      <c r="G95" s="13">
        <v>1227.96435546875</v>
      </c>
      <c r="H95" s="13">
        <v>696.33416748046875</v>
      </c>
      <c r="I95" s="13">
        <v>623.76470947265625</v>
      </c>
      <c r="J95" s="13">
        <v>826.5157470703125</v>
      </c>
      <c r="K95" s="13">
        <v>725.86553955078125</v>
      </c>
      <c r="L95" s="13">
        <v>4154.67431640625</v>
      </c>
      <c r="M95" s="13">
        <v>3825.060791015625</v>
      </c>
      <c r="N95" s="13">
        <v>2955.022216796875</v>
      </c>
      <c r="O95" s="13">
        <v>3062.813720703125</v>
      </c>
      <c r="P95" s="13">
        <v>6074.8349609375</v>
      </c>
      <c r="Q95" s="13">
        <v>2524.81982421875</v>
      </c>
      <c r="R95" s="13">
        <v>4194.23876953125</v>
      </c>
      <c r="S95" s="13">
        <v>3483.014892578125</v>
      </c>
      <c r="T95" s="13">
        <v>2060.171630859375</v>
      </c>
      <c r="U95" s="13">
        <v>3174.98779296875</v>
      </c>
      <c r="V95" s="13">
        <v>1272.6099853515625</v>
      </c>
      <c r="W95" s="13">
        <v>5879.16552734375</v>
      </c>
      <c r="X95" s="13">
        <v>2586.728271484375</v>
      </c>
      <c r="Y95" s="13">
        <v>7266.7607421875</v>
      </c>
      <c r="Z95" s="13">
        <v>5104.37353515625</v>
      </c>
      <c r="AA95" s="13">
        <v>1072.709228515625</v>
      </c>
      <c r="AB95" s="13">
        <v>2654.22802734375</v>
      </c>
      <c r="AC95" s="13">
        <v>891.750732421875</v>
      </c>
      <c r="AD95" s="13">
        <v>2037.8848876953125</v>
      </c>
      <c r="AE95" s="13">
        <v>1318.7784423828125</v>
      </c>
      <c r="AF95" s="13">
        <v>1048.1390380859375</v>
      </c>
      <c r="AG95" s="13">
        <v>752.55743408203125</v>
      </c>
      <c r="AH95" s="13">
        <v>547.412841796875</v>
      </c>
      <c r="AI95" s="13">
        <v>2050.60400390625</v>
      </c>
      <c r="AJ95" s="13">
        <v>1505.3564453125</v>
      </c>
      <c r="AK95" s="13">
        <v>793.45947265625</v>
      </c>
      <c r="AL95" s="13">
        <v>763.9957275390625</v>
      </c>
      <c r="AM95" s="13">
        <v>1667.3436279296875</v>
      </c>
      <c r="AN95" s="13">
        <v>1190.4632568359375</v>
      </c>
      <c r="AO95" s="13">
        <v>1913.09912109375</v>
      </c>
      <c r="AP95" s="13">
        <v>986.985107421875</v>
      </c>
      <c r="AQ95" s="13">
        <v>648.98736572265625</v>
      </c>
      <c r="AR95" s="13">
        <v>552.33892822265625</v>
      </c>
      <c r="AS95" s="13">
        <v>788.46893310546875</v>
      </c>
      <c r="AT95" s="13">
        <v>725.96575927734375</v>
      </c>
      <c r="AU95" s="13">
        <v>713.40655517578125</v>
      </c>
      <c r="AV95" s="13">
        <v>704.5126953125</v>
      </c>
      <c r="AW95" s="13">
        <v>423.7908935546875</v>
      </c>
      <c r="AX95" s="13">
        <v>356.43017578125</v>
      </c>
      <c r="AY95" s="13">
        <v>2410.46484375</v>
      </c>
      <c r="AZ95" s="13">
        <v>296.30084228515625</v>
      </c>
      <c r="BA95" s="13">
        <v>800.4197998046875</v>
      </c>
      <c r="BB95" s="13">
        <v>650.5335693359375</v>
      </c>
      <c r="BC95" s="13">
        <v>765.547119140625</v>
      </c>
      <c r="BD95" s="13">
        <v>1238.4307861328125</v>
      </c>
      <c r="BE95" s="13">
        <v>653.64483642578125</v>
      </c>
      <c r="BF95" s="13">
        <v>838.78369140625</v>
      </c>
      <c r="BG95" s="13">
        <v>1563.01904296875</v>
      </c>
      <c r="BH95" s="13">
        <v>1025.3800048828125</v>
      </c>
      <c r="BI95" s="13">
        <v>691.79034423828125</v>
      </c>
      <c r="BJ95" s="13">
        <v>656.171142578125</v>
      </c>
      <c r="BK95" s="13">
        <v>374.86795043945312</v>
      </c>
      <c r="BL95" s="13">
        <v>808.6922607421875</v>
      </c>
      <c r="BM95" s="13">
        <v>919.49224853515625</v>
      </c>
      <c r="BN95" s="13">
        <v>1014.0978393554688</v>
      </c>
      <c r="BO95" s="13">
        <v>692.12298583984375</v>
      </c>
      <c r="BP95" s="13">
        <v>1376.8953857421875</v>
      </c>
      <c r="BQ95" s="13"/>
      <c r="BR95" s="13"/>
    </row>
    <row r="96" spans="2:70" x14ac:dyDescent="0.2">
      <c r="B96">
        <v>1891</v>
      </c>
      <c r="C96" s="13">
        <v>1606.088623046875</v>
      </c>
      <c r="D96" s="13">
        <v>2851.047607421875</v>
      </c>
      <c r="E96" s="13">
        <v>5363.7421875</v>
      </c>
      <c r="F96" s="13">
        <v>1448.1978759765625</v>
      </c>
      <c r="G96" s="13">
        <v>1240.273681640625</v>
      </c>
      <c r="H96" s="13">
        <v>721.5555419921875</v>
      </c>
      <c r="I96" s="13">
        <v>546.5380859375</v>
      </c>
      <c r="J96" s="13">
        <v>818.36688232421875</v>
      </c>
      <c r="K96" s="13">
        <v>687.678466796875</v>
      </c>
      <c r="L96" s="13">
        <v>4134.638671875</v>
      </c>
      <c r="M96" s="13">
        <v>3622.1044921875</v>
      </c>
      <c r="N96" s="13">
        <v>3233.47607421875</v>
      </c>
      <c r="O96" s="13">
        <v>3115.940673828125</v>
      </c>
      <c r="P96" s="13">
        <v>5833.806640625</v>
      </c>
      <c r="Q96" s="13">
        <v>2520.07958984375</v>
      </c>
      <c r="R96" s="13">
        <v>4138.56787109375</v>
      </c>
      <c r="S96" s="13">
        <v>3384.352294921875</v>
      </c>
      <c r="T96" s="13">
        <v>2109.094970703125</v>
      </c>
      <c r="U96" s="13">
        <v>3167.515869140625</v>
      </c>
      <c r="V96" s="13">
        <v>1269.8177490234375</v>
      </c>
      <c r="W96" s="13">
        <v>5871.275390625</v>
      </c>
      <c r="X96" s="13">
        <v>2620.8193359375</v>
      </c>
      <c r="Y96" s="13">
        <v>7006.34033203125</v>
      </c>
      <c r="Z96" s="13">
        <v>5056.32421875</v>
      </c>
      <c r="AA96" s="13">
        <v>1070.92138671875</v>
      </c>
      <c r="AB96" s="13">
        <v>3433.59619140625</v>
      </c>
      <c r="AC96" s="13">
        <v>1236.98876953125</v>
      </c>
      <c r="AD96" s="13">
        <v>2164.12548828125</v>
      </c>
      <c r="AE96" s="13">
        <v>1221.548828125</v>
      </c>
      <c r="AF96" s="13">
        <v>1042.2642822265625</v>
      </c>
      <c r="AG96" s="13">
        <v>882.58990478515625</v>
      </c>
      <c r="AH96" s="13">
        <v>548.67877197265625</v>
      </c>
      <c r="AI96" s="13">
        <v>2084.269287109375</v>
      </c>
      <c r="AJ96" s="13">
        <v>1520.7901611328125</v>
      </c>
      <c r="AK96" s="13">
        <v>802.1090087890625</v>
      </c>
      <c r="AL96" s="13">
        <v>767.35748291015625</v>
      </c>
      <c r="AM96" s="13">
        <v>1678.990966796875</v>
      </c>
      <c r="AN96" s="13">
        <v>1203.041015625</v>
      </c>
      <c r="AO96" s="13">
        <v>1931.8497314453125</v>
      </c>
      <c r="AP96" s="13">
        <v>988.3485107421875</v>
      </c>
      <c r="AQ96" s="13">
        <v>648.34326171875</v>
      </c>
      <c r="AR96" s="13">
        <v>553.00628662109375</v>
      </c>
      <c r="AS96" s="13">
        <v>789.42156982421875</v>
      </c>
      <c r="AT96" s="13">
        <v>726.84283447265625</v>
      </c>
      <c r="AU96" s="13">
        <v>714.26849365234375</v>
      </c>
      <c r="AV96" s="13">
        <v>800.24078369140625</v>
      </c>
      <c r="AW96" s="13">
        <v>424.30294799804688</v>
      </c>
      <c r="AX96" s="13">
        <v>356.8607177734375</v>
      </c>
      <c r="AY96" s="13">
        <v>2507.42626953125</v>
      </c>
      <c r="AZ96" s="13">
        <v>309.0921630859375</v>
      </c>
      <c r="BA96" s="13">
        <v>701.3204345703125</v>
      </c>
      <c r="BB96" s="13">
        <v>569.991455078125</v>
      </c>
      <c r="BC96" s="13">
        <v>765.77081298828125</v>
      </c>
      <c r="BD96" s="13">
        <v>1168.2750244140625</v>
      </c>
      <c r="BE96" s="13">
        <v>658.26641845703125</v>
      </c>
      <c r="BF96" s="13">
        <v>841.17462158203125</v>
      </c>
      <c r="BG96" s="13">
        <v>1550.974853515625</v>
      </c>
      <c r="BH96" s="13">
        <v>1029.989501953125</v>
      </c>
      <c r="BI96" s="13">
        <v>625.0186767578125</v>
      </c>
      <c r="BJ96" s="13">
        <v>665.9525146484375</v>
      </c>
      <c r="BK96" s="13">
        <v>378.01150512695312</v>
      </c>
      <c r="BL96" s="13">
        <v>812.32763671875</v>
      </c>
      <c r="BM96" s="13">
        <v>926.82843017578125</v>
      </c>
      <c r="BN96" s="13">
        <v>1015.0048828125</v>
      </c>
      <c r="BO96" s="13">
        <v>696.91693115234375</v>
      </c>
      <c r="BP96" s="13">
        <v>1299.31005859375</v>
      </c>
      <c r="BQ96" s="13"/>
      <c r="BR96" s="13"/>
    </row>
    <row r="97" spans="2:70" x14ac:dyDescent="0.2">
      <c r="B97">
        <v>1892</v>
      </c>
      <c r="C97" s="13">
        <v>1630.7401123046875</v>
      </c>
      <c r="D97" s="13">
        <v>2809.76904296875</v>
      </c>
      <c r="E97" s="13">
        <v>5568.22705078125</v>
      </c>
      <c r="F97" s="13">
        <v>1340.0970458984375</v>
      </c>
      <c r="G97" s="13">
        <v>1254.07373046875</v>
      </c>
      <c r="H97" s="13">
        <v>712.4766845703125</v>
      </c>
      <c r="I97" s="13">
        <v>637.9447021484375</v>
      </c>
      <c r="J97" s="13">
        <v>835.4923095703125</v>
      </c>
      <c r="K97" s="13">
        <v>722.68621826171875</v>
      </c>
      <c r="L97" s="13">
        <v>4135.2587890625</v>
      </c>
      <c r="M97" s="13">
        <v>3787.3623046875</v>
      </c>
      <c r="N97" s="13">
        <v>3104.912353515625</v>
      </c>
      <c r="O97" s="13">
        <v>3216.134033203125</v>
      </c>
      <c r="P97" s="13">
        <v>5590.7490234375</v>
      </c>
      <c r="Q97" s="13">
        <v>2372.301513671875</v>
      </c>
      <c r="R97" s="13">
        <v>4312.11767578125</v>
      </c>
      <c r="S97" s="13">
        <v>3387.483642578125</v>
      </c>
      <c r="T97" s="13">
        <v>2117.644287109375</v>
      </c>
      <c r="U97" s="13">
        <v>3122.703125</v>
      </c>
      <c r="V97" s="13">
        <v>1252.4427490234375</v>
      </c>
      <c r="W97" s="13">
        <v>6141.00390625</v>
      </c>
      <c r="X97" s="13">
        <v>2579.24169921875</v>
      </c>
      <c r="Y97" s="13">
        <v>6396.37646484375</v>
      </c>
      <c r="Z97" s="13">
        <v>5142.9775390625</v>
      </c>
      <c r="AA97" s="13">
        <v>1111.287109375</v>
      </c>
      <c r="AB97" s="13">
        <v>2789.85205078125</v>
      </c>
      <c r="AC97" s="13">
        <v>1151.373779296875</v>
      </c>
      <c r="AD97" s="13">
        <v>2122.98876953125</v>
      </c>
      <c r="AE97" s="13">
        <v>1314.6240234375</v>
      </c>
      <c r="AF97" s="13">
        <v>1053.933837890625</v>
      </c>
      <c r="AG97" s="13">
        <v>818.6356201171875</v>
      </c>
      <c r="AH97" s="13">
        <v>550.0504150390625</v>
      </c>
      <c r="AI97" s="13">
        <v>2120.2998046875</v>
      </c>
      <c r="AJ97" s="13">
        <v>1540.6734619140625</v>
      </c>
      <c r="AK97" s="13">
        <v>811.123291015625</v>
      </c>
      <c r="AL97" s="13">
        <v>770.99102783203125</v>
      </c>
      <c r="AM97" s="13">
        <v>1691.0361328125</v>
      </c>
      <c r="AN97" s="13">
        <v>1215.97900390625</v>
      </c>
      <c r="AO97" s="13">
        <v>1954.0902099609375</v>
      </c>
      <c r="AP97" s="13">
        <v>989.8988037109375</v>
      </c>
      <c r="AQ97" s="13">
        <v>647.8209228515625</v>
      </c>
      <c r="AR97" s="13">
        <v>553.85906982421875</v>
      </c>
      <c r="AS97" s="13">
        <v>790.638916015625</v>
      </c>
      <c r="AT97" s="13">
        <v>727.9637451171875</v>
      </c>
      <c r="AU97" s="13">
        <v>715.3699951171875</v>
      </c>
      <c r="AV97" s="13">
        <v>765.693603515625</v>
      </c>
      <c r="AW97" s="13">
        <v>424.95724487304688</v>
      </c>
      <c r="AX97" s="13">
        <v>357.41104125976562</v>
      </c>
      <c r="AY97" s="13">
        <v>2444.302734375</v>
      </c>
      <c r="AZ97" s="13">
        <v>304.32785034179688</v>
      </c>
      <c r="BA97" s="13">
        <v>818.61181640625</v>
      </c>
      <c r="BB97" s="13">
        <v>665.31903076171875</v>
      </c>
      <c r="BC97" s="13">
        <v>766.18658447265625</v>
      </c>
      <c r="BD97" s="13">
        <v>1309.510498046875</v>
      </c>
      <c r="BE97" s="13">
        <v>663.04571533203125</v>
      </c>
      <c r="BF97" s="13">
        <v>844.0654296875</v>
      </c>
      <c r="BG97" s="13">
        <v>1578.119873046875</v>
      </c>
      <c r="BH97" s="13">
        <v>1035.690673828125</v>
      </c>
      <c r="BI97" s="13">
        <v>673.9019775390625</v>
      </c>
      <c r="BJ97" s="13">
        <v>685.37115478515625</v>
      </c>
      <c r="BK97" s="13">
        <v>381.57598876953125</v>
      </c>
      <c r="BL97" s="13">
        <v>816.8240966796875</v>
      </c>
      <c r="BM97" s="13">
        <v>927.90679931640625</v>
      </c>
      <c r="BN97" s="13">
        <v>1017.3384399414062</v>
      </c>
      <c r="BO97" s="13">
        <v>702.47064208984375</v>
      </c>
      <c r="BP97" s="13">
        <v>1365.5533447265625</v>
      </c>
      <c r="BQ97" s="13"/>
      <c r="BR97" s="13"/>
    </row>
    <row r="98" spans="2:70" x14ac:dyDescent="0.2">
      <c r="B98">
        <v>1893</v>
      </c>
      <c r="C98" s="13">
        <v>1617.8194580078125</v>
      </c>
      <c r="D98" s="13">
        <v>2863.4404296875</v>
      </c>
      <c r="E98" s="13">
        <v>5087.68212890625</v>
      </c>
      <c r="F98" s="13">
        <v>1324.10107421875</v>
      </c>
      <c r="G98" s="13">
        <v>1270.1497802734375</v>
      </c>
      <c r="H98" s="13">
        <v>717.1788330078125</v>
      </c>
      <c r="I98" s="13">
        <v>794.05291748046875</v>
      </c>
      <c r="J98" s="13">
        <v>834.0885009765625</v>
      </c>
      <c r="K98" s="13">
        <v>737.9354248046875</v>
      </c>
      <c r="L98" s="13">
        <v>4394.10400390625</v>
      </c>
      <c r="M98" s="13">
        <v>3970.378662109375</v>
      </c>
      <c r="N98" s="13">
        <v>3095.389892578125</v>
      </c>
      <c r="O98" s="13">
        <v>3245.971435546875</v>
      </c>
      <c r="P98" s="13">
        <v>5605.7548828125</v>
      </c>
      <c r="Q98" s="13">
        <v>2395.828369140625</v>
      </c>
      <c r="R98" s="13">
        <v>4234.51708984375</v>
      </c>
      <c r="S98" s="13">
        <v>3590.27587890625</v>
      </c>
      <c r="T98" s="13">
        <v>2179.7197265625</v>
      </c>
      <c r="U98" s="13">
        <v>3178.574951171875</v>
      </c>
      <c r="V98" s="13">
        <v>1276.09375</v>
      </c>
      <c r="W98" s="13">
        <v>5599.34326171875</v>
      </c>
      <c r="X98" s="13">
        <v>2508.39599609375</v>
      </c>
      <c r="Y98" s="13">
        <v>5647.0517578125</v>
      </c>
      <c r="Z98" s="13">
        <v>5128.70849609375</v>
      </c>
      <c r="AA98" s="13">
        <v>1020.0106811523438</v>
      </c>
      <c r="AB98" s="13">
        <v>2593.9951171875</v>
      </c>
      <c r="AC98" s="13">
        <v>1136.6248779296875</v>
      </c>
      <c r="AD98" s="13">
        <v>2221.63037109375</v>
      </c>
      <c r="AE98" s="13">
        <v>1354.7904052734375</v>
      </c>
      <c r="AF98" s="13">
        <v>1068.1419677734375</v>
      </c>
      <c r="AG98" s="13">
        <v>811.45745849609375</v>
      </c>
      <c r="AH98" s="13">
        <v>551.60125732421875</v>
      </c>
      <c r="AI98" s="13">
        <v>2160.008544921875</v>
      </c>
      <c r="AJ98" s="13">
        <v>1568.0367431640625</v>
      </c>
      <c r="AK98" s="13">
        <v>820.6920166015625</v>
      </c>
      <c r="AL98" s="13">
        <v>775.06988525390625</v>
      </c>
      <c r="AM98" s="13">
        <v>1703.7105712890625</v>
      </c>
      <c r="AN98" s="13">
        <v>1229.4478759765625</v>
      </c>
      <c r="AO98" s="13">
        <v>1982.0107421875</v>
      </c>
      <c r="AP98" s="13">
        <v>991.7677001953125</v>
      </c>
      <c r="AQ98" s="13">
        <v>647.50531005859375</v>
      </c>
      <c r="AR98" s="13">
        <v>555.01971435546875</v>
      </c>
      <c r="AS98" s="13">
        <v>792.29571533203125</v>
      </c>
      <c r="AT98" s="13">
        <v>729.4891357421875</v>
      </c>
      <c r="AU98" s="13">
        <v>716.8690185546875</v>
      </c>
      <c r="AV98" s="13">
        <v>788.69171142578125</v>
      </c>
      <c r="AW98" s="13">
        <v>425.84771728515625</v>
      </c>
      <c r="AX98" s="13">
        <v>358.15997314453125</v>
      </c>
      <c r="AY98" s="13">
        <v>2420.151611328125</v>
      </c>
      <c r="AZ98" s="13">
        <v>307.29229736328125</v>
      </c>
      <c r="BA98" s="13">
        <v>1018.9277954101562</v>
      </c>
      <c r="BB98" s="13">
        <v>828.12384033203125</v>
      </c>
      <c r="BC98" s="13">
        <v>766.919677734375</v>
      </c>
      <c r="BD98" s="13">
        <v>1293.5421142578125</v>
      </c>
      <c r="BE98" s="13">
        <v>668.07330322265625</v>
      </c>
      <c r="BF98" s="13">
        <v>840.3792724609375</v>
      </c>
      <c r="BG98" s="13">
        <v>1589.16552734375</v>
      </c>
      <c r="BH98" s="13">
        <v>1051.3985595703125</v>
      </c>
      <c r="BI98" s="13">
        <v>689.8245849609375</v>
      </c>
      <c r="BJ98" s="13">
        <v>700.924072265625</v>
      </c>
      <c r="BK98" s="13">
        <v>388.86343383789062</v>
      </c>
      <c r="BL98" s="13">
        <v>829.2125244140625</v>
      </c>
      <c r="BM98" s="13">
        <v>938.225341796875</v>
      </c>
      <c r="BN98" s="13">
        <v>1013.8946533203125</v>
      </c>
      <c r="BO98" s="13">
        <v>714.85052490234375</v>
      </c>
      <c r="BP98" s="13">
        <v>1391.0413818359375</v>
      </c>
      <c r="BQ98" s="13"/>
      <c r="BR98" s="13"/>
    </row>
    <row r="99" spans="2:70" x14ac:dyDescent="0.2">
      <c r="B99">
        <v>1894</v>
      </c>
      <c r="C99" s="13">
        <v>1624.3585205078125</v>
      </c>
      <c r="D99" s="13">
        <v>2927.550537109375</v>
      </c>
      <c r="E99" s="13">
        <v>4838.30029296875</v>
      </c>
      <c r="F99" s="13">
        <v>1309.4813232421875</v>
      </c>
      <c r="G99" s="13">
        <v>1280.42431640625</v>
      </c>
      <c r="H99" s="13">
        <v>728.0091552734375</v>
      </c>
      <c r="I99" s="13">
        <v>784.208251953125</v>
      </c>
      <c r="J99" s="13">
        <v>855.44195556640625</v>
      </c>
      <c r="K99" s="13">
        <v>743.83331298828125</v>
      </c>
      <c r="L99" s="13">
        <v>4529.822265625</v>
      </c>
      <c r="M99" s="13">
        <v>3971.68896484375</v>
      </c>
      <c r="N99" s="13">
        <v>3129.921875</v>
      </c>
      <c r="O99" s="13">
        <v>3170.48779296875</v>
      </c>
      <c r="P99" s="13">
        <v>5921.00439453125</v>
      </c>
      <c r="Q99" s="13">
        <v>2348.076416015625</v>
      </c>
      <c r="R99" s="13">
        <v>4321.09814453125</v>
      </c>
      <c r="S99" s="13">
        <v>3689.315673828125</v>
      </c>
      <c r="T99" s="13">
        <v>2239.017822265625</v>
      </c>
      <c r="U99" s="13">
        <v>3244.904541015625</v>
      </c>
      <c r="V99" s="13">
        <v>1302.25048828125</v>
      </c>
      <c r="W99" s="13">
        <v>5303.40087890625</v>
      </c>
      <c r="X99" s="13">
        <v>2576.127685546875</v>
      </c>
      <c r="Y99" s="13">
        <v>5492.24169921875</v>
      </c>
      <c r="Z99" s="13">
        <v>4818.8779296875</v>
      </c>
      <c r="AA99" s="13">
        <v>966.0972900390625</v>
      </c>
      <c r="AB99" s="13">
        <v>2540.766357421875</v>
      </c>
      <c r="AC99" s="13">
        <v>1155.382080078125</v>
      </c>
      <c r="AD99" s="13">
        <v>2099.521484375</v>
      </c>
      <c r="AE99" s="13">
        <v>1211.260009765625</v>
      </c>
      <c r="AF99" s="13">
        <v>1077.1539306640625</v>
      </c>
      <c r="AG99" s="13">
        <v>796.1165771484375</v>
      </c>
      <c r="AH99" s="13">
        <v>552.68719482421875</v>
      </c>
      <c r="AI99" s="13">
        <v>2192.1943359375</v>
      </c>
      <c r="AJ99" s="13">
        <v>1576.42236328125</v>
      </c>
      <c r="AK99" s="13">
        <v>829.1531982421875</v>
      </c>
      <c r="AL99" s="13">
        <v>778.0250244140625</v>
      </c>
      <c r="AM99" s="13">
        <v>1715.0234375</v>
      </c>
      <c r="AN99" s="13">
        <v>1242.01123046875</v>
      </c>
      <c r="AO99" s="13">
        <v>1995.7723388671875</v>
      </c>
      <c r="AP99" s="13">
        <v>992.7969970703125</v>
      </c>
      <c r="AQ99" s="13">
        <v>646.64080810546875</v>
      </c>
      <c r="AR99" s="13">
        <v>555.365234375</v>
      </c>
      <c r="AS99" s="13">
        <v>792.78900146484375</v>
      </c>
      <c r="AT99" s="13">
        <v>729.94329833984375</v>
      </c>
      <c r="AU99" s="13">
        <v>717.3153076171875</v>
      </c>
      <c r="AV99" s="13">
        <v>870.3443603515625</v>
      </c>
      <c r="AW99" s="13">
        <v>426.11285400390625</v>
      </c>
      <c r="AX99" s="13">
        <v>358.383056640625</v>
      </c>
      <c r="AY99" s="13">
        <v>2346.803955078125</v>
      </c>
      <c r="AZ99" s="13">
        <v>313.37652587890625</v>
      </c>
      <c r="BA99" s="13">
        <v>1006.2926635742188</v>
      </c>
      <c r="BB99" s="13">
        <v>817.854736328125</v>
      </c>
      <c r="BC99" s="13">
        <v>766.81097412109375</v>
      </c>
      <c r="BD99" s="13">
        <v>1462.750244140625</v>
      </c>
      <c r="BE99" s="13">
        <v>672.56866455078125</v>
      </c>
      <c r="BF99" s="13">
        <v>842.294677734375</v>
      </c>
      <c r="BG99" s="13">
        <v>1621.6268310546875</v>
      </c>
      <c r="BH99" s="13">
        <v>1054.7606201171875</v>
      </c>
      <c r="BI99" s="13">
        <v>696.6544189453125</v>
      </c>
      <c r="BJ99" s="13">
        <v>697.73553466796875</v>
      </c>
      <c r="BK99" s="13">
        <v>391.61773681640625</v>
      </c>
      <c r="BL99" s="13">
        <v>831.86407470703125</v>
      </c>
      <c r="BM99" s="13">
        <v>944.51055908203125</v>
      </c>
      <c r="BN99" s="13">
        <v>1020.4613037109375</v>
      </c>
      <c r="BO99" s="13">
        <v>724.8375244140625</v>
      </c>
      <c r="BP99" s="13">
        <v>1411.9290771484375</v>
      </c>
      <c r="BQ99" s="13"/>
      <c r="BR99" s="13"/>
    </row>
    <row r="100" spans="2:70" x14ac:dyDescent="0.2">
      <c r="B100">
        <v>1895</v>
      </c>
      <c r="C100" s="13">
        <v>1688.2877197265625</v>
      </c>
      <c r="D100" s="13">
        <v>2977.588623046875</v>
      </c>
      <c r="E100" s="13">
        <v>5284.34521484375</v>
      </c>
      <c r="F100" s="13">
        <v>1452.917724609375</v>
      </c>
      <c r="G100" s="13">
        <v>1296.172607421875</v>
      </c>
      <c r="H100" s="13">
        <v>760.3387451171875</v>
      </c>
      <c r="I100" s="13">
        <v>766.6842041015625</v>
      </c>
      <c r="J100" s="13">
        <v>856.11370849609375</v>
      </c>
      <c r="K100" s="13">
        <v>734.147216796875</v>
      </c>
      <c r="L100" s="13">
        <v>4537.61328125</v>
      </c>
      <c r="M100" s="13">
        <v>4199.8779296875</v>
      </c>
      <c r="N100" s="13">
        <v>2993.353759765625</v>
      </c>
      <c r="O100" s="13">
        <v>3208.431396484375</v>
      </c>
      <c r="P100" s="13">
        <v>6062.07421875</v>
      </c>
      <c r="Q100" s="13">
        <v>2503.1103515625</v>
      </c>
      <c r="R100" s="13">
        <v>4446.0263671875</v>
      </c>
      <c r="S100" s="13">
        <v>3709.140625</v>
      </c>
      <c r="T100" s="13">
        <v>2325.0205078125</v>
      </c>
      <c r="U100" s="13">
        <v>3303.67919921875</v>
      </c>
      <c r="V100" s="13">
        <v>1326.9110107421875</v>
      </c>
      <c r="W100" s="13">
        <v>5825.173828125</v>
      </c>
      <c r="X100" s="13">
        <v>2609.390869140625</v>
      </c>
      <c r="Y100" s="13">
        <v>5558.81005859375</v>
      </c>
      <c r="Z100" s="13">
        <v>4902.87451171875</v>
      </c>
      <c r="AA100" s="13">
        <v>1055.3150634765625</v>
      </c>
      <c r="AB100" s="13">
        <v>2882.582275390625</v>
      </c>
      <c r="AC100" s="13">
        <v>1402.6129150390625</v>
      </c>
      <c r="AD100" s="13">
        <v>2290.456787109375</v>
      </c>
      <c r="AE100" s="13">
        <v>1145.29150390625</v>
      </c>
      <c r="AF100" s="13">
        <v>1099.5302734375</v>
      </c>
      <c r="AG100" s="13">
        <v>888.43963623046875</v>
      </c>
      <c r="AH100" s="13">
        <v>554.185791015625</v>
      </c>
      <c r="AI100" s="13">
        <v>2232.1904296875</v>
      </c>
      <c r="AJ100" s="13">
        <v>1601.9649658203125</v>
      </c>
      <c r="AK100" s="13">
        <v>838.77783203125</v>
      </c>
      <c r="AL100" s="13">
        <v>781.994873046875</v>
      </c>
      <c r="AM100" s="13">
        <v>1727.6915283203125</v>
      </c>
      <c r="AN100" s="13">
        <v>1255.63330078125</v>
      </c>
      <c r="AO100" s="13">
        <v>2022.46044921875</v>
      </c>
      <c r="AP100" s="13">
        <v>994.56402587890625</v>
      </c>
      <c r="AQ100" s="13">
        <v>646.25616455078125</v>
      </c>
      <c r="AR100" s="13">
        <v>556.42498779296875</v>
      </c>
      <c r="AS100" s="13">
        <v>794.3017578125</v>
      </c>
      <c r="AT100" s="13">
        <v>731.336181640625</v>
      </c>
      <c r="AU100" s="13">
        <v>718.68408203125</v>
      </c>
      <c r="AV100" s="13">
        <v>900.35546875</v>
      </c>
      <c r="AW100" s="13">
        <v>426.92596435546875</v>
      </c>
      <c r="AX100" s="13">
        <v>359.06683349609375</v>
      </c>
      <c r="AY100" s="13">
        <v>2699.791259765625</v>
      </c>
      <c r="AZ100" s="13">
        <v>327.50341796875</v>
      </c>
      <c r="BA100" s="13">
        <v>983.80340576171875</v>
      </c>
      <c r="BB100" s="13">
        <v>799.576904296875</v>
      </c>
      <c r="BC100" s="13">
        <v>770.52801513671875</v>
      </c>
      <c r="BD100" s="13">
        <v>1439.45166015625</v>
      </c>
      <c r="BE100" s="13">
        <v>677.5968017578125</v>
      </c>
      <c r="BF100" s="13">
        <v>838.23419189453125</v>
      </c>
      <c r="BG100" s="13">
        <v>1618.9656982421875</v>
      </c>
      <c r="BH100" s="13">
        <v>1061.619873046875</v>
      </c>
      <c r="BI100" s="13">
        <v>678.91912841796875</v>
      </c>
      <c r="BJ100" s="13">
        <v>692.8157958984375</v>
      </c>
      <c r="BK100" s="13">
        <v>395.69107055664062</v>
      </c>
      <c r="BL100" s="13">
        <v>837.27386474609375</v>
      </c>
      <c r="BM100" s="13">
        <v>946.539794921875</v>
      </c>
      <c r="BN100" s="13">
        <v>1024.3900146484375</v>
      </c>
      <c r="BO100" s="13">
        <v>737.08050537109375</v>
      </c>
      <c r="BP100" s="13">
        <v>1391.2940673828125</v>
      </c>
      <c r="BQ100" s="13"/>
      <c r="BR100" s="13"/>
    </row>
    <row r="101" spans="2:70" x14ac:dyDescent="0.2">
      <c r="B101">
        <v>1896</v>
      </c>
      <c r="C101" s="13">
        <v>1704.4642333984375</v>
      </c>
      <c r="D101" s="13">
        <v>3094.974609375</v>
      </c>
      <c r="E101" s="13">
        <v>5143.0185546875</v>
      </c>
      <c r="F101" s="13">
        <v>1388.2091064453125</v>
      </c>
      <c r="G101" s="13">
        <v>1307.90087890625</v>
      </c>
      <c r="H101" s="13">
        <v>769.706787109375</v>
      </c>
      <c r="I101" s="13">
        <v>810.78668212890625</v>
      </c>
      <c r="J101" s="13">
        <v>844.4971923828125</v>
      </c>
      <c r="K101" s="13">
        <v>702.197265625</v>
      </c>
      <c r="L101" s="13">
        <v>4653.81884765625</v>
      </c>
      <c r="M101" s="13">
        <v>4339.03125</v>
      </c>
      <c r="N101" s="13">
        <v>2975.92626953125</v>
      </c>
      <c r="O101" s="13">
        <v>3580.77490234375</v>
      </c>
      <c r="P101" s="13">
        <v>6199.595703125</v>
      </c>
      <c r="Q101" s="13">
        <v>2552.67333984375</v>
      </c>
      <c r="R101" s="13">
        <v>4546.02294921875</v>
      </c>
      <c r="S101" s="13">
        <v>3761.028076171875</v>
      </c>
      <c r="T101" s="13">
        <v>2455.49755859375</v>
      </c>
      <c r="U101" s="13">
        <v>3436.776611328125</v>
      </c>
      <c r="V101" s="13">
        <v>1380.75439453125</v>
      </c>
      <c r="W101" s="13">
        <v>5652.10205078125</v>
      </c>
      <c r="X101" s="13">
        <v>2482.068603515625</v>
      </c>
      <c r="Y101" s="13">
        <v>5672.0283203125</v>
      </c>
      <c r="Z101" s="13">
        <v>5355.19970703125</v>
      </c>
      <c r="AA101" s="13">
        <v>1027.6312255859375</v>
      </c>
      <c r="AB101" s="13">
        <v>2489.759521484375</v>
      </c>
      <c r="AC101" s="13">
        <v>1339.036865234375</v>
      </c>
      <c r="AD101" s="13">
        <v>2365.804443359375</v>
      </c>
      <c r="AE101" s="13">
        <v>1162.337158203125</v>
      </c>
      <c r="AF101" s="13">
        <v>1112.430419921875</v>
      </c>
      <c r="AG101" s="13">
        <v>850.348388671875</v>
      </c>
      <c r="AH101" s="13">
        <v>555.49993896484375</v>
      </c>
      <c r="AI101" s="13">
        <v>2269.52392578125</v>
      </c>
      <c r="AJ101" s="13">
        <v>1619.997802734375</v>
      </c>
      <c r="AK101" s="13">
        <v>848.0189208984375</v>
      </c>
      <c r="AL101" s="13">
        <v>785.52618408203125</v>
      </c>
      <c r="AM101" s="13">
        <v>1739.862548828125</v>
      </c>
      <c r="AN101" s="13">
        <v>1268.9739990234375</v>
      </c>
      <c r="AO101" s="13">
        <v>2044.6409912109375</v>
      </c>
      <c r="AP101" s="13">
        <v>995.99627685546875</v>
      </c>
      <c r="AQ101" s="13">
        <v>645.65264892578125</v>
      </c>
      <c r="AR101" s="13">
        <v>557.16131591796875</v>
      </c>
      <c r="AS101" s="13">
        <v>795.3529052734375</v>
      </c>
      <c r="AT101" s="13">
        <v>732.30401611328125</v>
      </c>
      <c r="AU101" s="13">
        <v>719.63519287109375</v>
      </c>
      <c r="AV101" s="13">
        <v>899.1754150390625</v>
      </c>
      <c r="AW101" s="13">
        <v>427.49093627929688</v>
      </c>
      <c r="AX101" s="13">
        <v>359.54208374023438</v>
      </c>
      <c r="AY101" s="13">
        <v>2816.937744140625</v>
      </c>
      <c r="AZ101" s="13">
        <v>331.10977172851562</v>
      </c>
      <c r="BA101" s="13">
        <v>1040.392822265625</v>
      </c>
      <c r="BB101" s="13">
        <v>845.5693359375</v>
      </c>
      <c r="BC101" s="13">
        <v>770.86138916015625</v>
      </c>
      <c r="BD101" s="13">
        <v>1333.007568359375</v>
      </c>
      <c r="BE101" s="13">
        <v>682.43194580078125</v>
      </c>
      <c r="BF101" s="13">
        <v>833.94775390625</v>
      </c>
      <c r="BG101" s="13">
        <v>1600.41259765625</v>
      </c>
      <c r="BH101" s="13">
        <v>1066.9288330078125</v>
      </c>
      <c r="BI101" s="13">
        <v>626.10791015625</v>
      </c>
      <c r="BJ101" s="13">
        <v>687.79364013671875</v>
      </c>
      <c r="BK101" s="13">
        <v>399.2099609375</v>
      </c>
      <c r="BL101" s="13">
        <v>841.46087646484375</v>
      </c>
      <c r="BM101" s="13">
        <v>954.97833251953125</v>
      </c>
      <c r="BN101" s="13">
        <v>1017.13232421875</v>
      </c>
      <c r="BO101" s="13">
        <v>742.75628662109375</v>
      </c>
      <c r="BP101" s="13">
        <v>1327.83642578125</v>
      </c>
      <c r="BQ101" s="13"/>
      <c r="BR101" s="13"/>
    </row>
    <row r="102" spans="2:70" x14ac:dyDescent="0.2">
      <c r="B102">
        <v>1897</v>
      </c>
      <c r="C102" s="13">
        <v>1740.3475341796875</v>
      </c>
      <c r="D102" s="13">
        <v>3097.635009765625</v>
      </c>
      <c r="E102" s="13">
        <v>5330.87109375</v>
      </c>
      <c r="F102" s="13">
        <v>1524.9244384765625</v>
      </c>
      <c r="G102" s="13">
        <v>1324.0673828125</v>
      </c>
      <c r="H102" s="13">
        <v>745.82958984375</v>
      </c>
      <c r="I102" s="13">
        <v>729.1834716796875</v>
      </c>
      <c r="J102" s="13">
        <v>855.43829345703125</v>
      </c>
      <c r="K102" s="13">
        <v>774.52081298828125</v>
      </c>
      <c r="L102" s="13">
        <v>4741.794921875</v>
      </c>
      <c r="M102" s="13">
        <v>4387.43408203125</v>
      </c>
      <c r="N102" s="13">
        <v>2949.42236328125</v>
      </c>
      <c r="O102" s="13">
        <v>3524.48486328125</v>
      </c>
      <c r="P102" s="13">
        <v>6161.75537109375</v>
      </c>
      <c r="Q102" s="13">
        <v>2559.196533203125</v>
      </c>
      <c r="R102" s="13">
        <v>4564.466796875</v>
      </c>
      <c r="S102" s="13">
        <v>3954.51708984375</v>
      </c>
      <c r="T102" s="13">
        <v>2534.960205078125</v>
      </c>
      <c r="U102" s="13">
        <v>3435.89697265625</v>
      </c>
      <c r="V102" s="13">
        <v>1380.9124755859375</v>
      </c>
      <c r="W102" s="13">
        <v>5851.6923828125</v>
      </c>
      <c r="X102" s="13">
        <v>2724.899169921875</v>
      </c>
      <c r="Y102" s="13">
        <v>5801.51318359375</v>
      </c>
      <c r="Z102" s="13">
        <v>5292.36279296875</v>
      </c>
      <c r="AA102" s="13">
        <v>1065.91015625</v>
      </c>
      <c r="AB102" s="13">
        <v>2553.7138671875</v>
      </c>
      <c r="AC102" s="13">
        <v>1358.1373291015625</v>
      </c>
      <c r="AD102" s="13">
        <v>2223.04541015625</v>
      </c>
      <c r="AE102" s="13">
        <v>1382.49853515625</v>
      </c>
      <c r="AF102" s="13">
        <v>1456.5054931640625</v>
      </c>
      <c r="AG102" s="13">
        <v>928.96356201171875</v>
      </c>
      <c r="AH102" s="13">
        <v>556.84918212890625</v>
      </c>
      <c r="AI102" s="13">
        <v>2308.076904296875</v>
      </c>
      <c r="AJ102" s="13">
        <v>1639.616943359375</v>
      </c>
      <c r="AK102" s="13">
        <v>857.4476318359375</v>
      </c>
      <c r="AL102" s="13">
        <v>789.15240478515625</v>
      </c>
      <c r="AM102" s="13">
        <v>1752.2200927734375</v>
      </c>
      <c r="AN102" s="13">
        <v>1282.530029296875</v>
      </c>
      <c r="AO102" s="13">
        <v>2067.07421875</v>
      </c>
      <c r="AP102" s="13">
        <v>997.4879150390625</v>
      </c>
      <c r="AQ102" s="13">
        <v>645.086669921875</v>
      </c>
      <c r="AR102" s="13">
        <v>557.95452880859375</v>
      </c>
      <c r="AS102" s="13">
        <v>796.4852294921875</v>
      </c>
      <c r="AT102" s="13">
        <v>733.3465576171875</v>
      </c>
      <c r="AU102" s="13">
        <v>720.65966796875</v>
      </c>
      <c r="AV102" s="13">
        <v>832.58612060546875</v>
      </c>
      <c r="AW102" s="13">
        <v>428.09951782226562</v>
      </c>
      <c r="AX102" s="13">
        <v>360.05392456054688</v>
      </c>
      <c r="AY102" s="13">
        <v>2633.38427734375</v>
      </c>
      <c r="AZ102" s="13">
        <v>319.32403564453125</v>
      </c>
      <c r="BA102" s="13">
        <v>935.679443359375</v>
      </c>
      <c r="BB102" s="13">
        <v>760.464599609375</v>
      </c>
      <c r="BC102" s="13">
        <v>771.23992919921875</v>
      </c>
      <c r="BD102" s="13">
        <v>1411.4569091796875</v>
      </c>
      <c r="BE102" s="13">
        <v>687.341796875</v>
      </c>
      <c r="BF102" s="13">
        <v>829.62445068359375</v>
      </c>
      <c r="BG102" s="13">
        <v>1616.6221923828125</v>
      </c>
      <c r="BH102" s="13">
        <v>1072.541015625</v>
      </c>
      <c r="BI102" s="13">
        <v>738.4134521484375</v>
      </c>
      <c r="BJ102" s="13">
        <v>686.3856201171875</v>
      </c>
      <c r="BK102" s="13">
        <v>402.86410522460938</v>
      </c>
      <c r="BL102" s="13">
        <v>845.8870849609375</v>
      </c>
      <c r="BM102" s="13">
        <v>963.82940673828125</v>
      </c>
      <c r="BN102" s="13">
        <v>1018.894287109375</v>
      </c>
      <c r="BO102" s="13">
        <v>754.7288818359375</v>
      </c>
      <c r="BP102" s="13">
        <v>1467.0404052734375</v>
      </c>
      <c r="BQ102" s="13"/>
      <c r="BR102" s="13"/>
    </row>
    <row r="103" spans="2:70" x14ac:dyDescent="0.2">
      <c r="B103">
        <v>1898</v>
      </c>
      <c r="C103" s="13">
        <v>1824.9302978515625</v>
      </c>
      <c r="D103" s="13">
        <v>3198.801025390625</v>
      </c>
      <c r="E103" s="13">
        <v>5763.47216796875</v>
      </c>
      <c r="F103" s="13">
        <v>1488.1043701171875</v>
      </c>
      <c r="G103" s="13">
        <v>1340.430908203125</v>
      </c>
      <c r="H103" s="13">
        <v>791.82574462890625</v>
      </c>
      <c r="I103" s="13">
        <v>841.17974853515625</v>
      </c>
      <c r="J103" s="13">
        <v>883.89190673828125</v>
      </c>
      <c r="K103" s="13">
        <v>775.6531982421875</v>
      </c>
      <c r="L103" s="13">
        <v>4960.169921875</v>
      </c>
      <c r="M103" s="13">
        <v>4288.28466796875</v>
      </c>
      <c r="N103" s="13">
        <v>2852.876708984375</v>
      </c>
      <c r="O103" s="13">
        <v>3683.325439453125</v>
      </c>
      <c r="P103" s="13">
        <v>6392.59033203125</v>
      </c>
      <c r="Q103" s="13">
        <v>2589.225830078125</v>
      </c>
      <c r="R103" s="13">
        <v>4687.11865234375</v>
      </c>
      <c r="S103" s="13">
        <v>4108.68798828125</v>
      </c>
      <c r="T103" s="13">
        <v>2578.330322265625</v>
      </c>
      <c r="U103" s="13">
        <v>3536.202392578125</v>
      </c>
      <c r="V103" s="13">
        <v>1422.2498779296875</v>
      </c>
      <c r="W103" s="13">
        <v>6342.58837890625</v>
      </c>
      <c r="X103" s="13">
        <v>2779.7587890625</v>
      </c>
      <c r="Y103" s="13">
        <v>6159.02099609375</v>
      </c>
      <c r="Z103" s="13">
        <v>5336.8505859375</v>
      </c>
      <c r="AA103" s="13">
        <v>1152.298828125</v>
      </c>
      <c r="AB103" s="13">
        <v>2858.5634765625</v>
      </c>
      <c r="AC103" s="13">
        <v>1126.8551025390625</v>
      </c>
      <c r="AD103" s="13">
        <v>2478.295166015625</v>
      </c>
      <c r="AE103" s="13">
        <v>1207.673583984375</v>
      </c>
      <c r="AF103" s="13">
        <v>1394.4163818359375</v>
      </c>
      <c r="AG103" s="13">
        <v>933.19146728515625</v>
      </c>
      <c r="AH103" s="13">
        <v>558.33111572265625</v>
      </c>
      <c r="AI103" s="13">
        <v>2349.640625</v>
      </c>
      <c r="AJ103" s="13">
        <v>1664.9320068359375</v>
      </c>
      <c r="AK103" s="13">
        <v>867.3201904296875</v>
      </c>
      <c r="AL103" s="13">
        <v>793.1053466796875</v>
      </c>
      <c r="AM103" s="13">
        <v>1765.0745849609375</v>
      </c>
      <c r="AN103" s="13">
        <v>1296.5316162109375</v>
      </c>
      <c r="AO103" s="13">
        <v>2094.185791015625</v>
      </c>
      <c r="AP103" s="13">
        <v>967.34197998046875</v>
      </c>
      <c r="AQ103" s="13">
        <v>644.6707763671875</v>
      </c>
      <c r="AR103" s="13">
        <v>558.96722412109375</v>
      </c>
      <c r="AS103" s="13">
        <v>797.93084716796875</v>
      </c>
      <c r="AT103" s="13">
        <v>734.6776123046875</v>
      </c>
      <c r="AU103" s="13">
        <v>721.96771240234375</v>
      </c>
      <c r="AV103" s="13">
        <v>879.8975830078125</v>
      </c>
      <c r="AW103" s="13">
        <v>428.87655639648438</v>
      </c>
      <c r="AX103" s="13">
        <v>360.70736694335938</v>
      </c>
      <c r="AY103" s="13">
        <v>3157.20068359375</v>
      </c>
      <c r="AZ103" s="13">
        <v>340.46450805664062</v>
      </c>
      <c r="BA103" s="13">
        <v>1079.3922119140625</v>
      </c>
      <c r="BB103" s="13">
        <v>877.2657470703125</v>
      </c>
      <c r="BC103" s="13">
        <v>771.79791259765625</v>
      </c>
      <c r="BD103" s="13">
        <v>1622.9012451171875</v>
      </c>
      <c r="BE103" s="13">
        <v>698.32513427734375</v>
      </c>
      <c r="BF103" s="13">
        <v>832.4488525390625</v>
      </c>
      <c r="BG103" s="13">
        <v>1658.6346435546875</v>
      </c>
      <c r="BH103" s="13">
        <v>1079.2647705078125</v>
      </c>
      <c r="BI103" s="13">
        <v>738.18035888671875</v>
      </c>
      <c r="BJ103" s="13">
        <v>681.70355224609375</v>
      </c>
      <c r="BK103" s="13">
        <v>406.959716796875</v>
      </c>
      <c r="BL103" s="13">
        <v>851.18988037109375</v>
      </c>
      <c r="BM103" s="13">
        <v>965.43170166015625</v>
      </c>
      <c r="BN103" s="13">
        <v>1022.5682373046875</v>
      </c>
      <c r="BO103" s="13">
        <v>761.012451171875</v>
      </c>
      <c r="BP103" s="13">
        <v>1467.8140869140625</v>
      </c>
      <c r="BQ103" s="13"/>
      <c r="BR103" s="13"/>
    </row>
    <row r="104" spans="2:70" x14ac:dyDescent="0.2">
      <c r="B104">
        <v>1899</v>
      </c>
      <c r="C104" s="13">
        <v>1859.2784423828125</v>
      </c>
      <c r="D104" s="13">
        <v>3250.587890625</v>
      </c>
      <c r="E104" s="13">
        <v>6002.02099609375</v>
      </c>
      <c r="F104" s="13">
        <v>1453.4769287109375</v>
      </c>
      <c r="G104" s="13">
        <v>1356.2987060546875</v>
      </c>
      <c r="H104" s="13">
        <v>772.57342529296875</v>
      </c>
      <c r="I104" s="13">
        <v>856.1712646484375</v>
      </c>
      <c r="J104" s="13">
        <v>871.544921875</v>
      </c>
      <c r="K104" s="13">
        <v>744.7742919921875</v>
      </c>
      <c r="L104" s="13">
        <v>4837.15087890625</v>
      </c>
      <c r="M104" s="13">
        <v>4308.8486328125</v>
      </c>
      <c r="N104" s="13">
        <v>2841.78466796875</v>
      </c>
      <c r="O104" s="13">
        <v>3817.392333984375</v>
      </c>
      <c r="P104" s="13">
        <v>6573.42333984375</v>
      </c>
      <c r="Q104" s="13">
        <v>2717.364013671875</v>
      </c>
      <c r="R104" s="13">
        <v>4750.38916015625</v>
      </c>
      <c r="S104" s="13">
        <v>4087.25244140625</v>
      </c>
      <c r="T104" s="13">
        <v>2653.3037109375</v>
      </c>
      <c r="U104" s="13">
        <v>3603.678955078125</v>
      </c>
      <c r="V104" s="13">
        <v>1450.3580322265625</v>
      </c>
      <c r="W104" s="13">
        <v>6603.00634765625</v>
      </c>
      <c r="X104" s="13">
        <v>3043.784912109375</v>
      </c>
      <c r="Y104" s="13">
        <v>6226.57421875</v>
      </c>
      <c r="Z104" s="13">
        <v>5407.7939453125</v>
      </c>
      <c r="AA104" s="13">
        <v>1199.8988037109375</v>
      </c>
      <c r="AB104" s="13">
        <v>2896.75244140625</v>
      </c>
      <c r="AC104" s="13">
        <v>1062.6805419921875</v>
      </c>
      <c r="AD104" s="13">
        <v>2437.952392578125</v>
      </c>
      <c r="AE104" s="13">
        <v>1122.7939453125</v>
      </c>
      <c r="AF104" s="13">
        <v>1356.5792236328125</v>
      </c>
      <c r="AG104" s="13">
        <v>911.1129150390625</v>
      </c>
      <c r="AH104" s="13">
        <v>559.8011474609375</v>
      </c>
      <c r="AI104" s="13">
        <v>2391.632080078125</v>
      </c>
      <c r="AJ104" s="13">
        <v>1689.8974609375</v>
      </c>
      <c r="AK104" s="13">
        <v>877.25982666015625</v>
      </c>
      <c r="AL104" s="13">
        <v>797.03582763671875</v>
      </c>
      <c r="AM104" s="13">
        <v>1777.9730224609375</v>
      </c>
      <c r="AN104" s="13">
        <v>1310.6488037109375</v>
      </c>
      <c r="AO104" s="13">
        <v>2120.6845703125</v>
      </c>
      <c r="AP104" s="13">
        <v>969.33184814453125</v>
      </c>
      <c r="AQ104" s="13">
        <v>644.23681640625</v>
      </c>
      <c r="AR104" s="13">
        <v>559.9521484375</v>
      </c>
      <c r="AS104" s="13">
        <v>799.3367919921875</v>
      </c>
      <c r="AT104" s="13">
        <v>735.9720458984375</v>
      </c>
      <c r="AU104" s="13">
        <v>723.23980712890625</v>
      </c>
      <c r="AV104" s="13">
        <v>914.00384521484375</v>
      </c>
      <c r="AW104" s="13">
        <v>429.63223266601562</v>
      </c>
      <c r="AX104" s="13">
        <v>361.34295654296875</v>
      </c>
      <c r="AY104" s="13">
        <v>2769.42919921875</v>
      </c>
      <c r="AZ104" s="13">
        <v>333.9532470703125</v>
      </c>
      <c r="BA104" s="13">
        <v>1098.630126953125</v>
      </c>
      <c r="BB104" s="13">
        <v>892.90106201171875</v>
      </c>
      <c r="BC104" s="13">
        <v>772.33514404296875</v>
      </c>
      <c r="BD104" s="13">
        <v>1519.64892578125</v>
      </c>
      <c r="BE104" s="13">
        <v>703.53240966796875</v>
      </c>
      <c r="BF104" s="13">
        <v>828.6142578125</v>
      </c>
      <c r="BG104" s="13">
        <v>1640.519287109375</v>
      </c>
      <c r="BH104" s="13">
        <v>1085.885009765625</v>
      </c>
      <c r="BI104" s="13">
        <v>679.7716064453125</v>
      </c>
      <c r="BJ104" s="13">
        <v>708.86383056640625</v>
      </c>
      <c r="BK104" s="13">
        <v>411.04180908203125</v>
      </c>
      <c r="BL104" s="13">
        <v>856.41119384765625</v>
      </c>
      <c r="BM104" s="13">
        <v>966.959716796875</v>
      </c>
      <c r="BN104" s="13">
        <v>1017.4006958007812</v>
      </c>
      <c r="BO104" s="13">
        <v>767.3077392578125</v>
      </c>
      <c r="BP104" s="13">
        <v>1405.3931884765625</v>
      </c>
      <c r="BQ104" s="13"/>
      <c r="BR104" s="13"/>
    </row>
    <row r="105" spans="2:70" x14ac:dyDescent="0.2">
      <c r="B105">
        <v>1900</v>
      </c>
      <c r="C105" s="13">
        <v>1869.234375</v>
      </c>
      <c r="D105" s="13">
        <v>3236.4375</v>
      </c>
      <c r="E105" s="13">
        <v>6079.74462890625</v>
      </c>
      <c r="F105" s="13">
        <v>1485.5596923828125</v>
      </c>
      <c r="G105" s="13">
        <v>1383.03076171875</v>
      </c>
      <c r="H105" s="13">
        <v>716.3223876953125</v>
      </c>
      <c r="I105" s="13">
        <v>852.30889892578125</v>
      </c>
      <c r="J105" s="13">
        <v>869.81494140625</v>
      </c>
      <c r="K105" s="13">
        <v>763.05157470703125</v>
      </c>
      <c r="L105" s="13">
        <v>4825.783203125</v>
      </c>
      <c r="M105" s="13">
        <v>4492.99755859375</v>
      </c>
      <c r="N105" s="13">
        <v>2837.005859375</v>
      </c>
      <c r="O105" s="13">
        <v>3875.9365234375</v>
      </c>
      <c r="P105" s="13">
        <v>6397.431640625</v>
      </c>
      <c r="Q105" s="13">
        <v>2768.0224609375</v>
      </c>
      <c r="R105" s="13">
        <v>4665.69775390625</v>
      </c>
      <c r="S105" s="13">
        <v>4048.09423828125</v>
      </c>
      <c r="T105" s="13">
        <v>2672.556884765625</v>
      </c>
      <c r="U105" s="13">
        <v>3592.67529296875</v>
      </c>
      <c r="V105" s="13">
        <v>1447.0191650390625</v>
      </c>
      <c r="W105" s="13">
        <v>6684.25439453125</v>
      </c>
      <c r="X105" s="13">
        <v>3198.304931640625</v>
      </c>
      <c r="Y105" s="13">
        <v>6175.29345703125</v>
      </c>
      <c r="Z105" s="13">
        <v>5416.02490234375</v>
      </c>
      <c r="AA105" s="13">
        <v>1216.57666015625</v>
      </c>
      <c r="AB105" s="13">
        <v>2869.48876953125</v>
      </c>
      <c r="AC105" s="13">
        <v>1110.8834228515625</v>
      </c>
      <c r="AD105" s="13">
        <v>2305.03857421875</v>
      </c>
      <c r="AE105" s="13">
        <v>1110.246826171875</v>
      </c>
      <c r="AF105" s="13">
        <v>1434.3046875</v>
      </c>
      <c r="AG105" s="13">
        <v>932.06866455078125</v>
      </c>
      <c r="AH105" s="13">
        <v>561.3133544921875</v>
      </c>
      <c r="AI105" s="13">
        <v>2435.0380859375</v>
      </c>
      <c r="AJ105" s="13">
        <v>1716.7646484375</v>
      </c>
      <c r="AK105" s="13">
        <v>887.40740966796875</v>
      </c>
      <c r="AL105" s="13">
        <v>801.07061767578125</v>
      </c>
      <c r="AM105" s="13">
        <v>1791.0877685546875</v>
      </c>
      <c r="AN105" s="13">
        <v>1325.0101318359375</v>
      </c>
      <c r="AO105" s="13">
        <v>2219.8916015625</v>
      </c>
      <c r="AP105" s="13">
        <v>971.59075927734375</v>
      </c>
      <c r="AQ105" s="13">
        <v>643.84710693359375</v>
      </c>
      <c r="AR105" s="13">
        <v>560.9981689453125</v>
      </c>
      <c r="AS105" s="13">
        <v>800.830078125</v>
      </c>
      <c r="AT105" s="13">
        <v>737.34698486328125</v>
      </c>
      <c r="AU105" s="13">
        <v>724.5909423828125</v>
      </c>
      <c r="AV105" s="13">
        <v>933.63037109375</v>
      </c>
      <c r="AW105" s="13">
        <v>430.434814453125</v>
      </c>
      <c r="AX105" s="13">
        <v>362.01797485351562</v>
      </c>
      <c r="AY105" s="13">
        <v>1886.8341064453125</v>
      </c>
      <c r="AZ105" s="13">
        <v>313.0948486328125</v>
      </c>
      <c r="BA105" s="13">
        <v>1093.6749267578125</v>
      </c>
      <c r="BB105" s="13">
        <v>888.8739013671875</v>
      </c>
      <c r="BC105" s="13">
        <v>772.92584228515625</v>
      </c>
      <c r="BD105" s="13">
        <v>1492.89306640625</v>
      </c>
      <c r="BE105" s="13">
        <v>708.8385009765625</v>
      </c>
      <c r="BF105" s="13">
        <v>825.13238525390625</v>
      </c>
      <c r="BG105" s="13">
        <v>1639.35888671875</v>
      </c>
      <c r="BH105" s="13">
        <v>1092.843994140625</v>
      </c>
      <c r="BI105" s="13">
        <v>701.71466064453125</v>
      </c>
      <c r="BJ105" s="13">
        <v>724.5833740234375</v>
      </c>
      <c r="BK105" s="13">
        <v>415.27810668945312</v>
      </c>
      <c r="BL105" s="13">
        <v>861.8995361328125</v>
      </c>
      <c r="BM105" s="13">
        <v>968.645751953125</v>
      </c>
      <c r="BN105" s="13">
        <v>1021.5065307617188</v>
      </c>
      <c r="BO105" s="13">
        <v>773.73699951171875</v>
      </c>
      <c r="BP105" s="13">
        <v>1438.18359375</v>
      </c>
      <c r="BQ105" s="13"/>
      <c r="BR105" s="13"/>
    </row>
    <row r="106" spans="2:70" x14ac:dyDescent="0.2">
      <c r="B106">
        <v>1901</v>
      </c>
      <c r="C106" s="13">
        <v>1894.785888671875</v>
      </c>
      <c r="D106" s="13">
        <v>3178.048828125</v>
      </c>
      <c r="E106" s="13">
        <v>6386.77587890625</v>
      </c>
      <c r="F106" s="13">
        <v>1574.1219482421875</v>
      </c>
      <c r="G106" s="13">
        <v>1414.23779296875</v>
      </c>
      <c r="H106" s="13">
        <v>728.75408935546875</v>
      </c>
      <c r="I106" s="13">
        <v>802.9708251953125</v>
      </c>
      <c r="J106" s="13">
        <v>867.16552734375</v>
      </c>
      <c r="K106" s="13">
        <v>770.80352783203125</v>
      </c>
      <c r="L106" s="13">
        <v>4799.22607421875</v>
      </c>
      <c r="M106" s="13">
        <v>4445.5224609375</v>
      </c>
      <c r="N106" s="13">
        <v>2988.59716796875</v>
      </c>
      <c r="O106" s="13">
        <v>3617.42236328125</v>
      </c>
      <c r="P106" s="13">
        <v>6229.916015625</v>
      </c>
      <c r="Q106" s="13">
        <v>2813.0810546875</v>
      </c>
      <c r="R106" s="13">
        <v>4686.2880859375</v>
      </c>
      <c r="S106" s="13">
        <v>4008.153564453125</v>
      </c>
      <c r="T106" s="13">
        <v>2627.166748046875</v>
      </c>
      <c r="U106" s="13">
        <v>3531.710205078125</v>
      </c>
      <c r="V106" s="13">
        <v>1422.127197265625</v>
      </c>
      <c r="W106" s="13">
        <v>7033.4189453125</v>
      </c>
      <c r="X106" s="13">
        <v>3417.8662109375</v>
      </c>
      <c r="Y106" s="13">
        <v>6153.509765625</v>
      </c>
      <c r="Z106" s="13">
        <v>5309.02978515625</v>
      </c>
      <c r="AA106" s="13">
        <v>1276.8341064453125</v>
      </c>
      <c r="AB106" s="13">
        <v>2973.588134765625</v>
      </c>
      <c r="AC106" s="13">
        <v>909.21856689453125</v>
      </c>
      <c r="AD106" s="13">
        <v>2331.424560546875</v>
      </c>
      <c r="AE106" s="13">
        <v>1045.222900390625</v>
      </c>
      <c r="AF106" s="13">
        <v>1879.0423583984375</v>
      </c>
      <c r="AG106" s="13">
        <v>947.5289306640625</v>
      </c>
      <c r="AH106" s="13">
        <v>563.23028564453125</v>
      </c>
      <c r="AI106" s="13">
        <v>2476.46484375</v>
      </c>
      <c r="AJ106" s="13">
        <v>1814.244873046875</v>
      </c>
      <c r="AK106" s="13">
        <v>898.12139892578125</v>
      </c>
      <c r="AL106" s="13">
        <v>805.528564453125</v>
      </c>
      <c r="AM106" s="13">
        <v>1804.2933349609375</v>
      </c>
      <c r="AN106" s="13">
        <v>1340.4822998046875</v>
      </c>
      <c r="AO106" s="13">
        <v>2274.71240234375</v>
      </c>
      <c r="AP106" s="13">
        <v>973.4862060546875</v>
      </c>
      <c r="AQ106" s="13">
        <v>643.91558837890625</v>
      </c>
      <c r="AR106" s="13">
        <v>562.32733154296875</v>
      </c>
      <c r="AS106" s="13">
        <v>802.72747802734375</v>
      </c>
      <c r="AT106" s="13">
        <v>739.09393310546875</v>
      </c>
      <c r="AU106" s="13">
        <v>726.30767822265625</v>
      </c>
      <c r="AV106" s="13">
        <v>933.380615234375</v>
      </c>
      <c r="AW106" s="13">
        <v>431.45468139648438</v>
      </c>
      <c r="AX106" s="13">
        <v>362.87579345703125</v>
      </c>
      <c r="AY106" s="13">
        <v>2027.921142578125</v>
      </c>
      <c r="AZ106" s="13">
        <v>318.03900146484375</v>
      </c>
      <c r="BA106" s="13">
        <v>1030.3634033203125</v>
      </c>
      <c r="BB106" s="13">
        <v>837.4180908203125</v>
      </c>
      <c r="BC106" s="13">
        <v>767.30743408203125</v>
      </c>
      <c r="BD106" s="13">
        <v>1499.610107421875</v>
      </c>
      <c r="BE106" s="13">
        <v>720.13262939453125</v>
      </c>
      <c r="BF106" s="13">
        <v>814.57958984375</v>
      </c>
      <c r="BG106" s="13">
        <v>1634.3167724609375</v>
      </c>
      <c r="BH106" s="13">
        <v>1099.4312744140625</v>
      </c>
      <c r="BI106" s="13">
        <v>720.02728271484375</v>
      </c>
      <c r="BJ106" s="13">
        <v>706.8702392578125</v>
      </c>
      <c r="BK106" s="13">
        <v>419.3992919921875</v>
      </c>
      <c r="BL106" s="13">
        <v>867.0947265625</v>
      </c>
      <c r="BM106" s="13">
        <v>970.540283203125</v>
      </c>
      <c r="BN106" s="13">
        <v>1015.0048828125</v>
      </c>
      <c r="BO106" s="13">
        <v>780.6104736328125</v>
      </c>
      <c r="BP106" s="13">
        <v>1448.510986328125</v>
      </c>
      <c r="BQ106" s="13"/>
      <c r="BR106" s="13"/>
    </row>
    <row r="107" spans="2:70" x14ac:dyDescent="0.2">
      <c r="B107">
        <v>1902</v>
      </c>
      <c r="C107" s="13">
        <v>1923.676513671875</v>
      </c>
      <c r="D107" s="13">
        <v>3168.841796875</v>
      </c>
      <c r="E107" s="13">
        <v>6650.4921875</v>
      </c>
      <c r="F107" s="13">
        <v>1519.1036376953125</v>
      </c>
      <c r="G107" s="13">
        <v>1432.387939453125</v>
      </c>
      <c r="H107" s="13">
        <v>745.92437744140625</v>
      </c>
      <c r="I107" s="13">
        <v>903.9373779296875</v>
      </c>
      <c r="J107" s="13">
        <v>847.01123046875</v>
      </c>
      <c r="K107" s="13">
        <v>764.202392578125</v>
      </c>
      <c r="L107" s="13">
        <v>4795.0419921875</v>
      </c>
      <c r="M107" s="13">
        <v>4468.478515625</v>
      </c>
      <c r="N107" s="13">
        <v>2919.578125</v>
      </c>
      <c r="O107" s="13">
        <v>3564.52490234375</v>
      </c>
      <c r="P107" s="13">
        <v>6243.927734375</v>
      </c>
      <c r="Q107" s="13">
        <v>2832.408203125</v>
      </c>
      <c r="R107" s="13">
        <v>4717.7294921875</v>
      </c>
      <c r="S107" s="13">
        <v>3887.29443359375</v>
      </c>
      <c r="T107" s="13">
        <v>2567.7421875</v>
      </c>
      <c r="U107" s="13">
        <v>3521.46484375</v>
      </c>
      <c r="V107" s="13">
        <v>1418.15771484375</v>
      </c>
      <c r="W107" s="13">
        <v>7327.421875</v>
      </c>
      <c r="X107" s="13">
        <v>3721.9140625</v>
      </c>
      <c r="Y107" s="13">
        <v>6062.36376953125</v>
      </c>
      <c r="Z107" s="13">
        <v>5586.44384765625</v>
      </c>
      <c r="AA107" s="13">
        <v>1328.5498046875</v>
      </c>
      <c r="AB107" s="13">
        <v>2855.26953125</v>
      </c>
      <c r="AC107" s="13">
        <v>921.783447265625</v>
      </c>
      <c r="AD107" s="13">
        <v>2432.280517578125</v>
      </c>
      <c r="AE107" s="13">
        <v>1018.778076171875</v>
      </c>
      <c r="AF107" s="13">
        <v>1730.393310546875</v>
      </c>
      <c r="AG107" s="13">
        <v>919.570556640625</v>
      </c>
      <c r="AH107" s="13">
        <v>565.2978515625</v>
      </c>
      <c r="AI107" s="13">
        <v>2521.25341796875</v>
      </c>
      <c r="AJ107" s="13">
        <v>1841.917724609375</v>
      </c>
      <c r="AK107" s="13">
        <v>909.33917236328125</v>
      </c>
      <c r="AL107" s="13">
        <v>810.3450927734375</v>
      </c>
      <c r="AM107" s="13">
        <v>1818.05908203125</v>
      </c>
      <c r="AN107" s="13">
        <v>1356.4810791015625</v>
      </c>
      <c r="AO107" s="13">
        <v>2305.099609375</v>
      </c>
      <c r="AP107" s="13">
        <v>976.41448974609375</v>
      </c>
      <c r="AQ107" s="13">
        <v>644.14837646484375</v>
      </c>
      <c r="AR107" s="13">
        <v>563.891845703125</v>
      </c>
      <c r="AS107" s="13">
        <v>804.96075439453125</v>
      </c>
      <c r="AT107" s="13">
        <v>741.1502685546875</v>
      </c>
      <c r="AU107" s="13">
        <v>728.328369140625</v>
      </c>
      <c r="AV107" s="13">
        <v>855.11749267578125</v>
      </c>
      <c r="AW107" s="13">
        <v>432.65505981445312</v>
      </c>
      <c r="AX107" s="13">
        <v>363.88528442382812</v>
      </c>
      <c r="AY107" s="13">
        <v>2419.2451171875</v>
      </c>
      <c r="AZ107" s="13">
        <v>322.67156982421875</v>
      </c>
      <c r="BA107" s="13">
        <v>1159.92138671875</v>
      </c>
      <c r="BB107" s="13">
        <v>942.715087890625</v>
      </c>
      <c r="BC107" s="13">
        <v>761.92315673828125</v>
      </c>
      <c r="BD107" s="13">
        <v>1366.692626953125</v>
      </c>
      <c r="BE107" s="13">
        <v>725.6478271484375</v>
      </c>
      <c r="BF107" s="13">
        <v>808.38165283203125</v>
      </c>
      <c r="BG107" s="13">
        <v>1602.2198486328125</v>
      </c>
      <c r="BH107" s="13">
        <v>1107.22509765625</v>
      </c>
      <c r="BI107" s="13">
        <v>708.8824462890625</v>
      </c>
      <c r="BJ107" s="13">
        <v>690.1064453125</v>
      </c>
      <c r="BK107" s="13">
        <v>402.2095947265625</v>
      </c>
      <c r="BL107" s="13">
        <v>873.2415771484375</v>
      </c>
      <c r="BM107" s="13">
        <v>973.04425048828125</v>
      </c>
      <c r="BN107" s="13">
        <v>1019.4479370117188</v>
      </c>
      <c r="BO107" s="13">
        <v>781.70111083984375</v>
      </c>
      <c r="BP107" s="13">
        <v>1440.693359375</v>
      </c>
      <c r="BQ107" s="13"/>
      <c r="BR107" s="13"/>
    </row>
    <row r="108" spans="2:70" x14ac:dyDescent="0.2">
      <c r="B108">
        <v>1903</v>
      </c>
      <c r="C108" s="13">
        <v>1972.041015625</v>
      </c>
      <c r="D108" s="13">
        <v>3179.684814453125</v>
      </c>
      <c r="E108" s="13">
        <v>6817.8740234375</v>
      </c>
      <c r="F108" s="13">
        <v>1579.8531494140625</v>
      </c>
      <c r="G108" s="13">
        <v>1450.227783203125</v>
      </c>
      <c r="H108" s="13">
        <v>813.70147705078125</v>
      </c>
      <c r="I108" s="13">
        <v>890.75189208984375</v>
      </c>
      <c r="J108" s="13">
        <v>855.00079345703125</v>
      </c>
      <c r="K108" s="13">
        <v>882.50042724609375</v>
      </c>
      <c r="L108" s="13">
        <v>4826.31640625</v>
      </c>
      <c r="M108" s="13">
        <v>4795.390625</v>
      </c>
      <c r="N108" s="13">
        <v>2999.87890625</v>
      </c>
      <c r="O108" s="13">
        <v>3759.911376953125</v>
      </c>
      <c r="P108" s="13">
        <v>6015.80712890625</v>
      </c>
      <c r="Q108" s="13">
        <v>2856.92724609375</v>
      </c>
      <c r="R108" s="13">
        <v>4645.80126953125</v>
      </c>
      <c r="S108" s="13">
        <v>3749.543701171875</v>
      </c>
      <c r="T108" s="13">
        <v>2737.961669921875</v>
      </c>
      <c r="U108" s="13">
        <v>3547.0361328125</v>
      </c>
      <c r="V108" s="13">
        <v>1428.484375</v>
      </c>
      <c r="W108" s="13">
        <v>7533.2841796875</v>
      </c>
      <c r="X108" s="13">
        <v>3782.0283203125</v>
      </c>
      <c r="Y108" s="13">
        <v>5723.244140625</v>
      </c>
      <c r="Z108" s="13">
        <v>5952.42578125</v>
      </c>
      <c r="AA108" s="13">
        <v>1360.3126220703125</v>
      </c>
      <c r="AB108" s="13">
        <v>3049.567626953125</v>
      </c>
      <c r="AC108" s="13">
        <v>910.87164306640625</v>
      </c>
      <c r="AD108" s="13">
        <v>2259.14990234375</v>
      </c>
      <c r="AE108" s="13">
        <v>1079.6922607421875</v>
      </c>
      <c r="AF108" s="13">
        <v>1861.2203369140625</v>
      </c>
      <c r="AG108" s="13">
        <v>955.29339599609375</v>
      </c>
      <c r="AH108" s="13">
        <v>567.33587646484375</v>
      </c>
      <c r="AI108" s="13">
        <v>2566.151123046875</v>
      </c>
      <c r="AJ108" s="13">
        <v>1868.951171875</v>
      </c>
      <c r="AK108" s="13">
        <v>920.59912109375</v>
      </c>
      <c r="AL108" s="13">
        <v>815.10357666015625</v>
      </c>
      <c r="AM108" s="13">
        <v>1831.80908203125</v>
      </c>
      <c r="AN108" s="13">
        <v>1372.5809326171875</v>
      </c>
      <c r="AO108" s="13">
        <v>2336.44580078125</v>
      </c>
      <c r="AP108" s="13">
        <v>979.084716796875</v>
      </c>
      <c r="AQ108" s="13">
        <v>644.33905029296875</v>
      </c>
      <c r="AR108" s="13">
        <v>565.4005126953125</v>
      </c>
      <c r="AS108" s="13">
        <v>807.11444091796875</v>
      </c>
      <c r="AT108" s="13">
        <v>743.1331787109375</v>
      </c>
      <c r="AU108" s="13">
        <v>730.27703857421875</v>
      </c>
      <c r="AV108" s="13">
        <v>863.861083984375</v>
      </c>
      <c r="AW108" s="13">
        <v>433.81259155273438</v>
      </c>
      <c r="AX108" s="13">
        <v>364.85885620117188</v>
      </c>
      <c r="AY108" s="13">
        <v>3239.12890625</v>
      </c>
      <c r="AZ108" s="13">
        <v>350.49893188476562</v>
      </c>
      <c r="BA108" s="13">
        <v>1143.0009765625</v>
      </c>
      <c r="BB108" s="13">
        <v>928.96319580078125</v>
      </c>
      <c r="BC108" s="13">
        <v>756.52740478515625</v>
      </c>
      <c r="BD108" s="13">
        <v>1446.3197021484375</v>
      </c>
      <c r="BE108" s="13">
        <v>731.14459228515625</v>
      </c>
      <c r="BF108" s="13">
        <v>949.90631103515625</v>
      </c>
      <c r="BG108" s="13">
        <v>1614.1033935546875</v>
      </c>
      <c r="BH108" s="13">
        <v>1114.7703857421875</v>
      </c>
      <c r="BI108" s="13">
        <v>887.0224609375</v>
      </c>
      <c r="BJ108" s="13">
        <v>721.32318115234375</v>
      </c>
      <c r="BK108" s="13">
        <v>385.619384765625</v>
      </c>
      <c r="BL108" s="13">
        <v>879.19232177734375</v>
      </c>
      <c r="BM108" s="13">
        <v>1153.4898681640625</v>
      </c>
      <c r="BN108" s="13">
        <v>1023.2655029296875</v>
      </c>
      <c r="BO108" s="13">
        <v>788.9014892578125</v>
      </c>
      <c r="BP108" s="13">
        <v>1644.1541748046875</v>
      </c>
      <c r="BQ108" s="13"/>
      <c r="BR108" s="13"/>
    </row>
    <row r="109" spans="2:70" x14ac:dyDescent="0.2">
      <c r="B109">
        <v>1904</v>
      </c>
      <c r="C109" s="13">
        <v>1959.5418701171875</v>
      </c>
      <c r="D109" s="13">
        <v>3194.496826171875</v>
      </c>
      <c r="E109" s="13">
        <v>6583.85498046875</v>
      </c>
      <c r="F109" s="13">
        <v>1608.7464599609375</v>
      </c>
      <c r="G109" s="13">
        <v>1468.052734375</v>
      </c>
      <c r="H109" s="13">
        <v>819.71771240234375</v>
      </c>
      <c r="I109" s="13">
        <v>926.59423828125</v>
      </c>
      <c r="J109" s="13">
        <v>850.5589599609375</v>
      </c>
      <c r="K109" s="13">
        <v>858.13653564453125</v>
      </c>
      <c r="L109" s="13">
        <v>4912.89404296875</v>
      </c>
      <c r="M109" s="13">
        <v>4784.2451171875</v>
      </c>
      <c r="N109" s="13">
        <v>3088.373291015625</v>
      </c>
      <c r="O109" s="13">
        <v>3868.19580078125</v>
      </c>
      <c r="P109" s="13">
        <v>5899.212890625</v>
      </c>
      <c r="Q109" s="13">
        <v>2835.646240234375</v>
      </c>
      <c r="R109" s="13">
        <v>4588.93359375</v>
      </c>
      <c r="S109" s="13">
        <v>3736.906005859375</v>
      </c>
      <c r="T109" s="13">
        <v>2812.024658203125</v>
      </c>
      <c r="U109" s="13">
        <v>3570.01416015625</v>
      </c>
      <c r="V109" s="13">
        <v>1437.5303955078125</v>
      </c>
      <c r="W109" s="13">
        <v>7239.8984375</v>
      </c>
      <c r="X109" s="13">
        <v>3699.3359375</v>
      </c>
      <c r="Y109" s="13">
        <v>6225.14208984375</v>
      </c>
      <c r="Z109" s="13">
        <v>5746.9541015625</v>
      </c>
      <c r="AA109" s="13">
        <v>1313.1422119140625</v>
      </c>
      <c r="AB109" s="13">
        <v>3380.48681640625</v>
      </c>
      <c r="AC109" s="13">
        <v>861.265380859375</v>
      </c>
      <c r="AD109" s="13">
        <v>2426.02978515625</v>
      </c>
      <c r="AE109" s="13">
        <v>1123.6121826171875</v>
      </c>
      <c r="AF109" s="13">
        <v>1799.20703125</v>
      </c>
      <c r="AG109" s="13">
        <v>969.71697998046875</v>
      </c>
      <c r="AH109" s="13">
        <v>569.30816650390625</v>
      </c>
      <c r="AI109" s="13">
        <v>2610.502685546875</v>
      </c>
      <c r="AJ109" s="13">
        <v>1894.35400390625</v>
      </c>
      <c r="AK109" s="13">
        <v>931.8116455078125</v>
      </c>
      <c r="AL109" s="13">
        <v>819.72564697265625</v>
      </c>
      <c r="AM109" s="13">
        <v>1845.4241943359375</v>
      </c>
      <c r="AN109" s="13">
        <v>1388.693359375</v>
      </c>
      <c r="AO109" s="13">
        <v>2367.7763671875</v>
      </c>
      <c r="AP109" s="13">
        <v>981.2584228515625</v>
      </c>
      <c r="AQ109" s="13">
        <v>644.44696044921875</v>
      </c>
      <c r="AR109" s="13">
        <v>566.799560546875</v>
      </c>
      <c r="AS109" s="13">
        <v>730.86566162109375</v>
      </c>
      <c r="AT109" s="13">
        <v>744.9720458984375</v>
      </c>
      <c r="AU109" s="13">
        <v>732.08404541015625</v>
      </c>
      <c r="AV109" s="13">
        <v>900.0113525390625</v>
      </c>
      <c r="AW109" s="13">
        <v>434.88607788085938</v>
      </c>
      <c r="AX109" s="13">
        <v>365.76174926757812</v>
      </c>
      <c r="AY109" s="13">
        <v>3235.38330078125</v>
      </c>
      <c r="AZ109" s="13">
        <v>353.69598388671875</v>
      </c>
      <c r="BA109" s="13">
        <v>1188.99169921875</v>
      </c>
      <c r="BB109" s="13">
        <v>966.34161376953125</v>
      </c>
      <c r="BC109" s="13">
        <v>751.07391357421875</v>
      </c>
      <c r="BD109" s="13">
        <v>1436.634765625</v>
      </c>
      <c r="BE109" s="13">
        <v>743.22137451171875</v>
      </c>
      <c r="BF109" s="13">
        <v>904.776611328125</v>
      </c>
      <c r="BG109" s="13">
        <v>1605.7073974609375</v>
      </c>
      <c r="BH109" s="13">
        <v>1121.7911376953125</v>
      </c>
      <c r="BI109" s="13">
        <v>849.777587890625</v>
      </c>
      <c r="BJ109" s="13">
        <v>727.71630859375</v>
      </c>
      <c r="BK109" s="13">
        <v>369.52371215820312</v>
      </c>
      <c r="BL109" s="13">
        <v>884.7293701171875</v>
      </c>
      <c r="BM109" s="13">
        <v>981.0208740234375</v>
      </c>
      <c r="BN109" s="13">
        <v>1025.87939453125</v>
      </c>
      <c r="BO109" s="13">
        <v>789.59515380859375</v>
      </c>
      <c r="BP109" s="13">
        <v>1601.0050048828125</v>
      </c>
      <c r="BQ109" s="13"/>
      <c r="BR109" s="13"/>
    </row>
    <row r="110" spans="2:70" x14ac:dyDescent="0.2">
      <c r="B110">
        <v>1905</v>
      </c>
      <c r="C110" s="13">
        <v>2044.8079833984375</v>
      </c>
      <c r="D110" s="13">
        <v>3258.195068359375</v>
      </c>
      <c r="E110" s="13">
        <v>7172.70849609375</v>
      </c>
      <c r="F110" s="13">
        <v>1768.1641845703125</v>
      </c>
      <c r="G110" s="13">
        <v>1483.1060791015625</v>
      </c>
      <c r="H110" s="13">
        <v>836.167236328125</v>
      </c>
      <c r="I110" s="13">
        <v>822.68292236328125</v>
      </c>
      <c r="J110" s="13">
        <v>840.93426513671875</v>
      </c>
      <c r="K110" s="13">
        <v>893.3309326171875</v>
      </c>
      <c r="L110" s="13">
        <v>5060.193359375</v>
      </c>
      <c r="M110" s="13">
        <v>4880.6455078125</v>
      </c>
      <c r="N110" s="13">
        <v>2955.845947265625</v>
      </c>
      <c r="O110" s="13">
        <v>3880.626708984375</v>
      </c>
      <c r="P110" s="13">
        <v>6040.86767578125</v>
      </c>
      <c r="Q110" s="13">
        <v>2953.091064453125</v>
      </c>
      <c r="R110" s="13">
        <v>4847.29931640625</v>
      </c>
      <c r="S110" s="13">
        <v>3683.76611328125</v>
      </c>
      <c r="T110" s="13">
        <v>2801.50439453125</v>
      </c>
      <c r="U110" s="13">
        <v>3637.526611328125</v>
      </c>
      <c r="V110" s="13">
        <v>1463.58251953125</v>
      </c>
      <c r="W110" s="13">
        <v>7921.19482421875</v>
      </c>
      <c r="X110" s="13">
        <v>4018.77734375</v>
      </c>
      <c r="Y110" s="13">
        <v>6098.08447265625</v>
      </c>
      <c r="Z110" s="13">
        <v>6051.263671875</v>
      </c>
      <c r="AA110" s="13">
        <v>1426.521484375</v>
      </c>
      <c r="AB110" s="13">
        <v>3774.0546875</v>
      </c>
      <c r="AC110" s="13">
        <v>844.76422119140625</v>
      </c>
      <c r="AD110" s="13">
        <v>2327.261474609375</v>
      </c>
      <c r="AE110" s="13">
        <v>1063.400634765625</v>
      </c>
      <c r="AF110" s="13">
        <v>2171.564697265625</v>
      </c>
      <c r="AG110" s="13">
        <v>1051.4598388671875</v>
      </c>
      <c r="AH110" s="13">
        <v>571.01177978515625</v>
      </c>
      <c r="AI110" s="13">
        <v>2650.4951171875</v>
      </c>
      <c r="AJ110" s="13">
        <v>1912.4061279296875</v>
      </c>
      <c r="AK110" s="13">
        <v>942.45306396484375</v>
      </c>
      <c r="AL110" s="13">
        <v>823.75537109375</v>
      </c>
      <c r="AM110" s="13">
        <v>1858.239990234375</v>
      </c>
      <c r="AN110" s="13">
        <v>1404.3175048828125</v>
      </c>
      <c r="AO110" s="13">
        <v>2394.44140625</v>
      </c>
      <c r="AP110" s="13">
        <v>981.546875</v>
      </c>
      <c r="AQ110" s="13">
        <v>644.24407958984375</v>
      </c>
      <c r="AR110" s="13">
        <v>567.7757568359375</v>
      </c>
      <c r="AS110" s="13">
        <v>669.49737548828125</v>
      </c>
      <c r="AT110" s="13">
        <v>746.25506591796875</v>
      </c>
      <c r="AU110" s="13">
        <v>733.34490966796875</v>
      </c>
      <c r="AV110" s="13">
        <v>903.540771484375</v>
      </c>
      <c r="AW110" s="13">
        <v>435.63504028320312</v>
      </c>
      <c r="AX110" s="13">
        <v>366.3916015625</v>
      </c>
      <c r="AY110" s="13">
        <v>3443.69287109375</v>
      </c>
      <c r="AZ110" s="13">
        <v>359.71163940429688</v>
      </c>
      <c r="BA110" s="13">
        <v>1055.6517333984375</v>
      </c>
      <c r="BB110" s="13">
        <v>857.97088623046875</v>
      </c>
      <c r="BC110" s="13">
        <v>745.30206298828125</v>
      </c>
      <c r="BD110" s="13">
        <v>1398.5802001953125</v>
      </c>
      <c r="BE110" s="13">
        <v>748.0064697265625</v>
      </c>
      <c r="BF110" s="13">
        <v>729.27532958984375</v>
      </c>
      <c r="BG110" s="13">
        <v>1589.0469970703125</v>
      </c>
      <c r="BH110" s="13">
        <v>1126.6865234375</v>
      </c>
      <c r="BI110" s="13">
        <v>898.68597412109375</v>
      </c>
      <c r="BJ110" s="13">
        <v>726.63720703125</v>
      </c>
      <c r="BK110" s="13">
        <v>353.4193115234375</v>
      </c>
      <c r="BL110" s="13">
        <v>888.5902099609375</v>
      </c>
      <c r="BM110" s="13">
        <v>1014.50537109375</v>
      </c>
      <c r="BN110" s="13">
        <v>1023.926513671875</v>
      </c>
      <c r="BO110" s="13">
        <v>788.5853271484375</v>
      </c>
      <c r="BP110" s="13">
        <v>1676.613525390625</v>
      </c>
      <c r="BQ110" s="13"/>
      <c r="BR110" s="13"/>
    </row>
    <row r="111" spans="2:70" x14ac:dyDescent="0.2">
      <c r="B111">
        <v>1906</v>
      </c>
      <c r="C111" s="13">
        <v>2088.28955078125</v>
      </c>
      <c r="D111" s="13">
        <v>3310.482421875</v>
      </c>
      <c r="E111" s="13">
        <v>7354.93505859375</v>
      </c>
      <c r="F111" s="13">
        <v>1861.668701171875</v>
      </c>
      <c r="G111" s="13">
        <v>1501.6488037109375</v>
      </c>
      <c r="H111" s="13">
        <v>860.97454833984375</v>
      </c>
      <c r="I111" s="13">
        <v>771.35540771484375</v>
      </c>
      <c r="J111" s="13">
        <v>858.731689453125</v>
      </c>
      <c r="K111" s="13">
        <v>867.4354248046875</v>
      </c>
      <c r="L111" s="13">
        <v>4928.34619140625</v>
      </c>
      <c r="M111" s="13">
        <v>4978.14208984375</v>
      </c>
      <c r="N111" s="13">
        <v>3107.310791015625</v>
      </c>
      <c r="O111" s="13">
        <v>3798.009765625</v>
      </c>
      <c r="P111" s="13">
        <v>6290.0322265625</v>
      </c>
      <c r="Q111" s="13">
        <v>3165.140380859375</v>
      </c>
      <c r="R111" s="13">
        <v>4770.7998046875</v>
      </c>
      <c r="S111" s="13">
        <v>3967.29833984375</v>
      </c>
      <c r="T111" s="13">
        <v>3054.656982421875</v>
      </c>
      <c r="U111" s="13">
        <v>3703.564208984375</v>
      </c>
      <c r="V111" s="13">
        <v>1490.3111572265625</v>
      </c>
      <c r="W111" s="13">
        <v>8093.99853515625</v>
      </c>
      <c r="X111" s="13">
        <v>4339.77197265625</v>
      </c>
      <c r="Y111" s="13">
        <v>6416.5322265625</v>
      </c>
      <c r="Z111" s="13">
        <v>6442.75</v>
      </c>
      <c r="AA111" s="13">
        <v>1462.3721923828125</v>
      </c>
      <c r="AB111" s="13">
        <v>3973.652587890625</v>
      </c>
      <c r="AC111" s="13">
        <v>1112.064208984375</v>
      </c>
      <c r="AD111" s="13">
        <v>2429.73779296875</v>
      </c>
      <c r="AE111" s="13">
        <v>963.7142333984375</v>
      </c>
      <c r="AF111" s="13">
        <v>2042.282470703125</v>
      </c>
      <c r="AG111" s="13">
        <v>1113.7628173828125</v>
      </c>
      <c r="AH111" s="13">
        <v>573.0999755859375</v>
      </c>
      <c r="AI111" s="13">
        <v>2698.322509765625</v>
      </c>
      <c r="AJ111" s="13">
        <v>1941.4287109375</v>
      </c>
      <c r="AK111" s="13">
        <v>954.21051025390625</v>
      </c>
      <c r="AL111" s="13">
        <v>828.6685791015625</v>
      </c>
      <c r="AM111" s="13">
        <v>1872.38720703125</v>
      </c>
      <c r="AN111" s="13">
        <v>1421.058349609375</v>
      </c>
      <c r="AO111" s="13">
        <v>2426.70654296875</v>
      </c>
      <c r="AP111" s="13">
        <v>984.46258544921875</v>
      </c>
      <c r="AQ111" s="13">
        <v>644.468017578125</v>
      </c>
      <c r="AR111" s="13">
        <v>569.34698486328125</v>
      </c>
      <c r="AS111" s="13">
        <v>674.94073486328125</v>
      </c>
      <c r="AT111" s="13">
        <v>748.32025146484375</v>
      </c>
      <c r="AU111" s="13">
        <v>735.37432861328125</v>
      </c>
      <c r="AV111" s="13">
        <v>897.8558349609375</v>
      </c>
      <c r="AW111" s="13">
        <v>436.84060668945312</v>
      </c>
      <c r="AX111" s="13">
        <v>367.40557861328125</v>
      </c>
      <c r="AY111" s="13">
        <v>3715.660888671875</v>
      </c>
      <c r="AZ111" s="13">
        <v>369.67916870117188</v>
      </c>
      <c r="BA111" s="13">
        <v>989.78759765625</v>
      </c>
      <c r="BB111" s="13">
        <v>804.44049072265625</v>
      </c>
      <c r="BC111" s="13">
        <v>740.06201171875</v>
      </c>
      <c r="BD111" s="13">
        <v>1558.5570068359375</v>
      </c>
      <c r="BE111" s="13">
        <v>747.271240234375</v>
      </c>
      <c r="BF111" s="13">
        <v>755.6513671875</v>
      </c>
      <c r="BG111" s="13">
        <v>1616.9122314453125</v>
      </c>
      <c r="BH111" s="13">
        <v>1134.631103515625</v>
      </c>
      <c r="BI111" s="13">
        <v>854.03582763671875</v>
      </c>
      <c r="BJ111" s="13">
        <v>742.33331298828125</v>
      </c>
      <c r="BK111" s="13">
        <v>338.92123413085938</v>
      </c>
      <c r="BL111" s="13">
        <v>894.85601806640625</v>
      </c>
      <c r="BM111" s="13">
        <v>1033.63134765625</v>
      </c>
      <c r="BN111" s="13">
        <v>1028.3221435546875</v>
      </c>
      <c r="BO111" s="13">
        <v>782.5313720703125</v>
      </c>
      <c r="BP111" s="13">
        <v>1616.1326904296875</v>
      </c>
      <c r="BQ111" s="13"/>
      <c r="BR111" s="13"/>
    </row>
    <row r="112" spans="2:70" x14ac:dyDescent="0.2">
      <c r="B112">
        <v>1907</v>
      </c>
      <c r="C112" s="13">
        <v>2140.66357421875</v>
      </c>
      <c r="D112" s="13">
        <v>3412.60498046875</v>
      </c>
      <c r="E112" s="13">
        <v>7543.3974609375</v>
      </c>
      <c r="F112" s="13">
        <v>1843.5560302734375</v>
      </c>
      <c r="G112" s="13">
        <v>1520.6134033203125</v>
      </c>
      <c r="H112" s="13">
        <v>862.93585205078125</v>
      </c>
      <c r="I112" s="13">
        <v>809.647705078125</v>
      </c>
      <c r="J112" s="13">
        <v>854.9716796875</v>
      </c>
      <c r="K112" s="13">
        <v>841.84588623046875</v>
      </c>
      <c r="L112" s="13">
        <v>5026.16650390625</v>
      </c>
      <c r="M112" s="13">
        <v>4972.54736328125</v>
      </c>
      <c r="N112" s="13">
        <v>3086.2431640625</v>
      </c>
      <c r="O112" s="13">
        <v>4179.44287109375</v>
      </c>
      <c r="P112" s="13">
        <v>6437.82080078125</v>
      </c>
      <c r="Q112" s="13">
        <v>3232.2099609375</v>
      </c>
      <c r="R112" s="13">
        <v>4600.5390625</v>
      </c>
      <c r="S112" s="13">
        <v>4109.94873046875</v>
      </c>
      <c r="T112" s="13">
        <v>3132.044189453125</v>
      </c>
      <c r="U112" s="13">
        <v>3817.234375</v>
      </c>
      <c r="V112" s="13">
        <v>1536.0771484375</v>
      </c>
      <c r="W112" s="13">
        <v>8275.7861328125</v>
      </c>
      <c r="X112" s="13">
        <v>4550.2802734375</v>
      </c>
      <c r="Y112" s="13">
        <v>7123.521484375</v>
      </c>
      <c r="Z112" s="13">
        <v>6671.4521484375</v>
      </c>
      <c r="AA112" s="13">
        <v>1499.850341796875</v>
      </c>
      <c r="AB112" s="13">
        <v>3981.830810546875</v>
      </c>
      <c r="AC112" s="13">
        <v>1041.090576171875</v>
      </c>
      <c r="AD112" s="13">
        <v>2510.22021484375</v>
      </c>
      <c r="AE112" s="13">
        <v>851.29632568359375</v>
      </c>
      <c r="AF112" s="13">
        <v>2066.7841796875</v>
      </c>
      <c r="AG112" s="13">
        <v>1102.6556396484375</v>
      </c>
      <c r="AH112" s="13">
        <v>575.1580810546875</v>
      </c>
      <c r="AI112" s="13">
        <v>2746.275634765625</v>
      </c>
      <c r="AJ112" s="13">
        <v>1969.79296875</v>
      </c>
      <c r="AK112" s="13">
        <v>966.01397705078125</v>
      </c>
      <c r="AL112" s="13">
        <v>833.52435302734375</v>
      </c>
      <c r="AM112" s="13">
        <v>1886.516845703125</v>
      </c>
      <c r="AN112" s="13">
        <v>1437.9044189453125</v>
      </c>
      <c r="AO112" s="13">
        <v>2458.788330078125</v>
      </c>
      <c r="AP112" s="13">
        <v>987.12347412109375</v>
      </c>
      <c r="AQ112" s="13">
        <v>644.64971923828125</v>
      </c>
      <c r="AR112" s="13">
        <v>570.8631591796875</v>
      </c>
      <c r="AS112" s="13">
        <v>685.671630859375</v>
      </c>
      <c r="AT112" s="13">
        <v>750.31304931640625</v>
      </c>
      <c r="AU112" s="13">
        <v>737.3326416015625</v>
      </c>
      <c r="AV112" s="13">
        <v>915.28509521484375</v>
      </c>
      <c r="AW112" s="13">
        <v>438.00393676757812</v>
      </c>
      <c r="AX112" s="13">
        <v>368.38394165039062</v>
      </c>
      <c r="AY112" s="13">
        <v>3642.967529296875</v>
      </c>
      <c r="AZ112" s="13">
        <v>371.05859375</v>
      </c>
      <c r="BA112" s="13">
        <v>1038.9224853515625</v>
      </c>
      <c r="BB112" s="13">
        <v>844.37432861328125</v>
      </c>
      <c r="BC112" s="13">
        <v>734.81072998046875</v>
      </c>
      <c r="BD112" s="13">
        <v>1555.4793701171875</v>
      </c>
      <c r="BE112" s="13">
        <v>752.91717529296875</v>
      </c>
      <c r="BF112" s="13">
        <v>814.6328125</v>
      </c>
      <c r="BG112" s="13">
        <v>1595.4332275390625</v>
      </c>
      <c r="BH112" s="13">
        <v>1142.326904296875</v>
      </c>
      <c r="BI112" s="13">
        <v>806.38665771484375</v>
      </c>
      <c r="BJ112" s="13">
        <v>752.54217529296875</v>
      </c>
      <c r="BK112" s="13">
        <v>344.98031616210938</v>
      </c>
      <c r="BL112" s="13">
        <v>900.92547607421875</v>
      </c>
      <c r="BM112" s="13">
        <v>1069.6077880859375</v>
      </c>
      <c r="BN112" s="13">
        <v>1032.0977783203125</v>
      </c>
      <c r="BO112" s="13">
        <v>782.9478759765625</v>
      </c>
      <c r="BP112" s="13">
        <v>1563.922607421875</v>
      </c>
      <c r="BQ112" s="13"/>
      <c r="BR112" s="13"/>
    </row>
    <row r="113" spans="2:70" x14ac:dyDescent="0.2">
      <c r="B113">
        <v>1908</v>
      </c>
      <c r="C113" s="13">
        <v>2044.0340576171875</v>
      </c>
      <c r="D113" s="13">
        <v>3354.942626953125</v>
      </c>
      <c r="E113" s="13">
        <v>6728.978515625</v>
      </c>
      <c r="F113" s="13">
        <v>1829.32275390625</v>
      </c>
      <c r="G113" s="13">
        <v>1541.588623046875</v>
      </c>
      <c r="H113" s="13">
        <v>803.47137451171875</v>
      </c>
      <c r="I113" s="13">
        <v>801.52947998046875</v>
      </c>
      <c r="J113" s="13">
        <v>852.61627197265625</v>
      </c>
      <c r="K113" s="13">
        <v>834.26617431640625</v>
      </c>
      <c r="L113" s="13">
        <v>5158.9443359375</v>
      </c>
      <c r="M113" s="13">
        <v>4924.25927734375</v>
      </c>
      <c r="N113" s="13">
        <v>3151.51416015625</v>
      </c>
      <c r="O113" s="13">
        <v>4047.54638671875</v>
      </c>
      <c r="P113" s="13">
        <v>6064.49169921875</v>
      </c>
      <c r="Q113" s="13">
        <v>3229.272216796875</v>
      </c>
      <c r="R113" s="13">
        <v>4575.7333984375</v>
      </c>
      <c r="S113" s="13">
        <v>4204.0458984375</v>
      </c>
      <c r="T113" s="13">
        <v>3090.580322265625</v>
      </c>
      <c r="U113" s="13">
        <v>3754.690185546875</v>
      </c>
      <c r="V113" s="13">
        <v>1511.3125</v>
      </c>
      <c r="W113" s="13">
        <v>7358.53369140625</v>
      </c>
      <c r="X113" s="13">
        <v>4132.97314453125</v>
      </c>
      <c r="Y113" s="13">
        <v>6802.46533203125</v>
      </c>
      <c r="Z113" s="13">
        <v>6057.72607421875</v>
      </c>
      <c r="AA113" s="13">
        <v>1339.31689453125</v>
      </c>
      <c r="AB113" s="13">
        <v>3958.951904296875</v>
      </c>
      <c r="AC113" s="13">
        <v>938.43353271484375</v>
      </c>
      <c r="AD113" s="13">
        <v>2715.386962890625</v>
      </c>
      <c r="AE113" s="13">
        <v>973.55999755859375</v>
      </c>
      <c r="AF113" s="13">
        <v>2071.0908203125</v>
      </c>
      <c r="AG113" s="13">
        <v>1095.256103515625</v>
      </c>
      <c r="AH113" s="13">
        <v>577.34039306640625</v>
      </c>
      <c r="AI113" s="13">
        <v>2797.287841796875</v>
      </c>
      <c r="AJ113" s="13">
        <v>2001.8494873046875</v>
      </c>
      <c r="AK113" s="13">
        <v>978.26312255859375</v>
      </c>
      <c r="AL113" s="13">
        <v>838.66534423828125</v>
      </c>
      <c r="AM113" s="13">
        <v>1901.139404296875</v>
      </c>
      <c r="AN113" s="13">
        <v>1455.24462890625</v>
      </c>
      <c r="AO113" s="13">
        <v>2492.82470703125</v>
      </c>
      <c r="AP113" s="13">
        <v>990.56884765625</v>
      </c>
      <c r="AQ113" s="13">
        <v>644.96209716796875</v>
      </c>
      <c r="AR113" s="13">
        <v>572.5587158203125</v>
      </c>
      <c r="AS113" s="13">
        <v>705.5472412109375</v>
      </c>
      <c r="AT113" s="13">
        <v>752.54156494140625</v>
      </c>
      <c r="AU113" s="13">
        <v>739.5225830078125</v>
      </c>
      <c r="AV113" s="13">
        <v>912.68670654296875</v>
      </c>
      <c r="AW113" s="13">
        <v>439.30484008789062</v>
      </c>
      <c r="AX113" s="13">
        <v>369.47811889648438</v>
      </c>
      <c r="AY113" s="13">
        <v>2861.308837890625</v>
      </c>
      <c r="AZ113" s="13">
        <v>346.94296264648438</v>
      </c>
      <c r="BA113" s="13">
        <v>1028.5040283203125</v>
      </c>
      <c r="BB113" s="13">
        <v>835.90692138671875</v>
      </c>
      <c r="BC113" s="13">
        <v>723.78271484375</v>
      </c>
      <c r="BD113" s="13">
        <v>1600.635498046875</v>
      </c>
      <c r="BE113" s="13">
        <v>758.77911376953125</v>
      </c>
      <c r="BF113" s="13">
        <v>820.5009765625</v>
      </c>
      <c r="BG113" s="13">
        <v>1597.1204833984375</v>
      </c>
      <c r="BH113" s="13">
        <v>1141.411865234375</v>
      </c>
      <c r="BI113" s="13">
        <v>788.31005859375</v>
      </c>
      <c r="BJ113" s="13">
        <v>728.93011474609375</v>
      </c>
      <c r="BK113" s="13">
        <v>348.50271606445312</v>
      </c>
      <c r="BL113" s="13">
        <v>900.203857421875</v>
      </c>
      <c r="BM113" s="13">
        <v>1100.72314453125</v>
      </c>
      <c r="BN113" s="13">
        <v>1037.772705078125</v>
      </c>
      <c r="BO113" s="13">
        <v>791.21795654296875</v>
      </c>
      <c r="BP113" s="13">
        <v>1559.7967529296875</v>
      </c>
      <c r="BQ113" s="13"/>
      <c r="BR113" s="13"/>
    </row>
    <row r="114" spans="2:70" x14ac:dyDescent="0.2">
      <c r="B114">
        <v>1909</v>
      </c>
      <c r="C114" s="13">
        <v>2108.770263671875</v>
      </c>
      <c r="D114" s="13">
        <v>3407.398193359375</v>
      </c>
      <c r="E114" s="13">
        <v>7026.3212890625</v>
      </c>
      <c r="F114" s="13">
        <v>1971.12255859375</v>
      </c>
      <c r="G114" s="13">
        <v>1561.341796875</v>
      </c>
      <c r="H114" s="13">
        <v>830.79583740234375</v>
      </c>
      <c r="I114" s="13">
        <v>888.08062744140625</v>
      </c>
      <c r="J114" s="13">
        <v>847.4949951171875</v>
      </c>
      <c r="K114" s="13">
        <v>825.27056884765625</v>
      </c>
      <c r="L114" s="13">
        <v>5151.06201171875</v>
      </c>
      <c r="M114" s="13">
        <v>5169.43408203125</v>
      </c>
      <c r="N114" s="13">
        <v>3247.908203125</v>
      </c>
      <c r="O114" s="13">
        <v>4214.11328125</v>
      </c>
      <c r="P114" s="13">
        <v>6003.34228515625</v>
      </c>
      <c r="Q114" s="13">
        <v>3432.96435546875</v>
      </c>
      <c r="R114" s="13">
        <v>4740.61669921875</v>
      </c>
      <c r="S114" s="13">
        <v>4337.99609375</v>
      </c>
      <c r="T114" s="13">
        <v>3046.878662109375</v>
      </c>
      <c r="U114" s="13">
        <v>3818.3388671875</v>
      </c>
      <c r="V114" s="13">
        <v>1536.7432861328125</v>
      </c>
      <c r="W114" s="13">
        <v>7685.4794921875</v>
      </c>
      <c r="X114" s="13">
        <v>4386.1025390625</v>
      </c>
      <c r="Y114" s="13">
        <v>7043.25390625</v>
      </c>
      <c r="Z114" s="13">
        <v>5968.662109375</v>
      </c>
      <c r="AA114" s="13">
        <v>1397.0723876953125</v>
      </c>
      <c r="AB114" s="13">
        <v>4340.73583984375</v>
      </c>
      <c r="AC114" s="13">
        <v>1006.029541015625</v>
      </c>
      <c r="AD114" s="13">
        <v>2689.969970703125</v>
      </c>
      <c r="AE114" s="13">
        <v>1059.041748046875</v>
      </c>
      <c r="AF114" s="13">
        <v>2211.28955078125</v>
      </c>
      <c r="AG114" s="13">
        <v>1173.8612060546875</v>
      </c>
      <c r="AH114" s="13">
        <v>579.35015869140625</v>
      </c>
      <c r="AI114" s="13">
        <v>2845.76171875</v>
      </c>
      <c r="AJ114" s="13">
        <v>2029.266845703125</v>
      </c>
      <c r="AK114" s="13">
        <v>990.19732666015625</v>
      </c>
      <c r="AL114" s="13">
        <v>843.4375</v>
      </c>
      <c r="AM114" s="13">
        <v>1915.2730712890625</v>
      </c>
      <c r="AN114" s="13">
        <v>1472.3345947265625</v>
      </c>
      <c r="AO114" s="13">
        <v>2525.109130859375</v>
      </c>
      <c r="AP114" s="13">
        <v>992.817626953125</v>
      </c>
      <c r="AQ114" s="13">
        <v>645.0731201171875</v>
      </c>
      <c r="AR114" s="13">
        <v>573.98675537109375</v>
      </c>
      <c r="AS114" s="13">
        <v>703.660400390625</v>
      </c>
      <c r="AT114" s="13">
        <v>754.41845703125</v>
      </c>
      <c r="AU114" s="13">
        <v>741.3670654296875</v>
      </c>
      <c r="AV114" s="13">
        <v>979.293212890625</v>
      </c>
      <c r="AW114" s="13">
        <v>440.4005126953125</v>
      </c>
      <c r="AX114" s="13">
        <v>370.39962768554688</v>
      </c>
      <c r="AY114" s="13">
        <v>2993.3349609375</v>
      </c>
      <c r="AZ114" s="13">
        <v>359.96536254882812</v>
      </c>
      <c r="BA114" s="13">
        <v>1139.562255859375</v>
      </c>
      <c r="BB114" s="13">
        <v>926.1683349609375</v>
      </c>
      <c r="BC114" s="13">
        <v>718.52960205078125</v>
      </c>
      <c r="BD114" s="13">
        <v>1589.0517578125</v>
      </c>
      <c r="BE114" s="13">
        <v>757.98681640625</v>
      </c>
      <c r="BF114" s="13">
        <v>889.23089599609375</v>
      </c>
      <c r="BG114" s="13">
        <v>1575.8734130859375</v>
      </c>
      <c r="BH114" s="13">
        <v>1148.5692138671875</v>
      </c>
      <c r="BI114" s="13">
        <v>772.23638916015625</v>
      </c>
      <c r="BJ114" s="13">
        <v>758.0968017578125</v>
      </c>
      <c r="BK114" s="13">
        <v>354.55267333984375</v>
      </c>
      <c r="BL114" s="13">
        <v>905.8486328125</v>
      </c>
      <c r="BM114" s="13">
        <v>1100.31982421875</v>
      </c>
      <c r="BN114" s="13">
        <v>1040.5418701171875</v>
      </c>
      <c r="BO114" s="13">
        <v>791.11419677734375</v>
      </c>
      <c r="BP114" s="13">
        <v>1523.0399169921875</v>
      </c>
      <c r="BQ114" s="13"/>
      <c r="BR114" s="13"/>
    </row>
    <row r="115" spans="2:70" x14ac:dyDescent="0.2">
      <c r="B115">
        <v>1910</v>
      </c>
      <c r="C115" s="13">
        <v>2167.927490234375</v>
      </c>
      <c r="D115" s="13">
        <v>3417.35205078125</v>
      </c>
      <c r="E115" s="13">
        <v>7299.90478515625</v>
      </c>
      <c r="F115" s="13">
        <v>2163.05126953125</v>
      </c>
      <c r="G115" s="13">
        <v>1578.6251220703125</v>
      </c>
      <c r="H115" s="13">
        <v>726.9678955078125</v>
      </c>
      <c r="I115" s="13">
        <v>879.71435546875</v>
      </c>
      <c r="J115" s="13">
        <v>842.10546875</v>
      </c>
      <c r="K115" s="13">
        <v>946.15472412109375</v>
      </c>
      <c r="L115" s="13">
        <v>5257.529296875</v>
      </c>
      <c r="M115" s="13">
        <v>5326.5986328125</v>
      </c>
      <c r="N115" s="13">
        <v>3047.239501953125</v>
      </c>
      <c r="O115" s="13">
        <v>4064.270263671875</v>
      </c>
      <c r="P115" s="13">
        <v>6149.3349609375</v>
      </c>
      <c r="Q115" s="13">
        <v>3467.065185546875</v>
      </c>
      <c r="R115" s="13">
        <v>4903.578125</v>
      </c>
      <c r="S115" s="13">
        <v>4556.259765625</v>
      </c>
      <c r="T115" s="13">
        <v>3265.142578125</v>
      </c>
      <c r="U115" s="13">
        <v>3843.65966796875</v>
      </c>
      <c r="V115" s="13">
        <v>1547.3248291015625</v>
      </c>
      <c r="W115" s="13">
        <v>7987.685546875</v>
      </c>
      <c r="X115" s="13">
        <v>4465.2890625</v>
      </c>
      <c r="Y115" s="13">
        <v>7415.1025390625</v>
      </c>
      <c r="Z115" s="13">
        <v>6366.0263671875</v>
      </c>
      <c r="AA115" s="13">
        <v>1454.3194580078125</v>
      </c>
      <c r="AB115" s="13">
        <v>4683.71142578125</v>
      </c>
      <c r="AC115" s="13">
        <v>1124.3004150390625</v>
      </c>
      <c r="AD115" s="13">
        <v>2881.8583984375</v>
      </c>
      <c r="AE115" s="13">
        <v>1033.6943359375</v>
      </c>
      <c r="AF115" s="13">
        <v>2435.62841796875</v>
      </c>
      <c r="AG115" s="13">
        <v>1340.529541015625</v>
      </c>
      <c r="AH115" s="13">
        <v>581.5499267578125</v>
      </c>
      <c r="AI115" s="13">
        <v>2898.572021484375</v>
      </c>
      <c r="AJ115" s="13">
        <v>2062.213623046875</v>
      </c>
      <c r="AK115" s="13">
        <v>978.63018798828125</v>
      </c>
      <c r="AL115" s="13">
        <v>848.6339111328125</v>
      </c>
      <c r="AM115" s="13">
        <v>1930.122314453125</v>
      </c>
      <c r="AN115" s="13">
        <v>1490.0938720703125</v>
      </c>
      <c r="AO115" s="13">
        <v>2553.1630859375</v>
      </c>
      <c r="AP115" s="13">
        <v>996.26531982421875</v>
      </c>
      <c r="AQ115" s="13">
        <v>624.72052001953125</v>
      </c>
      <c r="AR115" s="13">
        <v>575.68768310546875</v>
      </c>
      <c r="AS115" s="13">
        <v>821.7994384765625</v>
      </c>
      <c r="AT115" s="13">
        <v>756.654052734375</v>
      </c>
      <c r="AU115" s="13">
        <v>743.56402587890625</v>
      </c>
      <c r="AV115" s="13">
        <v>883.8272705078125</v>
      </c>
      <c r="AW115" s="13">
        <v>441.70556640625</v>
      </c>
      <c r="AX115" s="13">
        <v>371.497314453125</v>
      </c>
      <c r="AY115" s="13">
        <v>1441.923583984375</v>
      </c>
      <c r="AZ115" s="13">
        <v>329.48223876953125</v>
      </c>
      <c r="BA115" s="13">
        <v>1128.82470703125</v>
      </c>
      <c r="BB115" s="13">
        <v>917.4415283203125</v>
      </c>
      <c r="BC115" s="13">
        <v>713.646728515625</v>
      </c>
      <c r="BD115" s="13">
        <v>1571.3175048828125</v>
      </c>
      <c r="BE115" s="13">
        <v>763.8819580078125</v>
      </c>
      <c r="BF115" s="13">
        <v>907.0416259765625</v>
      </c>
      <c r="BG115" s="13">
        <v>1564.291748046875</v>
      </c>
      <c r="BH115" s="13">
        <v>1157.4495849609375</v>
      </c>
      <c r="BI115" s="13">
        <v>947.912353515625</v>
      </c>
      <c r="BJ115" s="13">
        <v>802.71990966796875</v>
      </c>
      <c r="BK115" s="13">
        <v>361.23141479492188</v>
      </c>
      <c r="BL115" s="13">
        <v>912.8524169921875</v>
      </c>
      <c r="BM115" s="13">
        <v>1242.1231689453125</v>
      </c>
      <c r="BN115" s="13">
        <v>1046.21923828125</v>
      </c>
      <c r="BO115" s="13">
        <v>792.80291748046875</v>
      </c>
      <c r="BP115" s="13">
        <v>1749.7386474609375</v>
      </c>
      <c r="BQ115" s="13"/>
      <c r="BR115" s="13"/>
    </row>
    <row r="116" spans="2:70" x14ac:dyDescent="0.2">
      <c r="B116">
        <v>1911</v>
      </c>
      <c r="C116" s="13">
        <v>2167.6611328125</v>
      </c>
      <c r="D116" s="13">
        <v>3543.095703125</v>
      </c>
      <c r="E116" s="13">
        <v>6930.3173828125</v>
      </c>
      <c r="F116" s="13">
        <v>2223.34521484375</v>
      </c>
      <c r="G116" s="13">
        <v>1580.12841796875</v>
      </c>
      <c r="H116" s="13">
        <v>739.29022216796875</v>
      </c>
      <c r="I116" s="13">
        <v>798.089111328125</v>
      </c>
      <c r="J116" s="13">
        <v>856.31884765625</v>
      </c>
      <c r="K116" s="13">
        <v>950.59417724609375</v>
      </c>
      <c r="L116" s="13">
        <v>5394.34912109375</v>
      </c>
      <c r="M116" s="13">
        <v>5698.21044921875</v>
      </c>
      <c r="N116" s="13">
        <v>3424.3515625</v>
      </c>
      <c r="O116" s="13">
        <v>4117.599609375</v>
      </c>
      <c r="P116" s="13">
        <v>6328.87939453125</v>
      </c>
      <c r="Q116" s="13">
        <v>3735.226806640625</v>
      </c>
      <c r="R116" s="13">
        <v>5146.83740234375</v>
      </c>
      <c r="S116" s="13">
        <v>4714.29736328125</v>
      </c>
      <c r="T116" s="13">
        <v>3199.931640625</v>
      </c>
      <c r="U116" s="13">
        <v>3995.908203125</v>
      </c>
      <c r="V116" s="13">
        <v>1608.8028564453125</v>
      </c>
      <c r="W116" s="13">
        <v>7536.09375</v>
      </c>
      <c r="X116" s="13">
        <v>4663.69189453125</v>
      </c>
      <c r="Y116" s="13">
        <v>7364.8173828125</v>
      </c>
      <c r="Z116" s="13">
        <v>6591.20458984375</v>
      </c>
      <c r="AA116" s="13">
        <v>1382.3673095703125</v>
      </c>
      <c r="AB116" s="13">
        <v>4668.75390625</v>
      </c>
      <c r="AC116" s="13">
        <v>1306.5108642578125</v>
      </c>
      <c r="AD116" s="13">
        <v>2867.206298828125</v>
      </c>
      <c r="AE116" s="13">
        <v>1083.027587890625</v>
      </c>
      <c r="AF116" s="13">
        <v>2418.44287109375</v>
      </c>
      <c r="AG116" s="13">
        <v>1385.5391845703125</v>
      </c>
      <c r="AH116" s="13">
        <v>586.63885498046875</v>
      </c>
      <c r="AI116" s="13">
        <v>2897.612548828125</v>
      </c>
      <c r="AJ116" s="13">
        <v>2063.97607421875</v>
      </c>
      <c r="AK116" s="13">
        <v>979.03118896484375</v>
      </c>
      <c r="AL116" s="13">
        <v>848.76971435546875</v>
      </c>
      <c r="AM116" s="13">
        <v>1928.964111328125</v>
      </c>
      <c r="AN116" s="13">
        <v>1490.2711181640625</v>
      </c>
      <c r="AO116" s="13">
        <v>2556.18310546875</v>
      </c>
      <c r="AP116" s="13">
        <v>1009.396240234375</v>
      </c>
      <c r="AQ116" s="13">
        <v>625.13946533203125</v>
      </c>
      <c r="AR116" s="13">
        <v>575.77972412109375</v>
      </c>
      <c r="AS116" s="13">
        <v>761.6488037109375</v>
      </c>
      <c r="AT116" s="13">
        <v>758.7711181640625</v>
      </c>
      <c r="AU116" s="13">
        <v>753.1761474609375</v>
      </c>
      <c r="AV116" s="13">
        <v>901.6947021484375</v>
      </c>
      <c r="AW116" s="13">
        <v>442.94143676757812</v>
      </c>
      <c r="AX116" s="13">
        <v>373.63525390625</v>
      </c>
      <c r="AY116" s="13">
        <v>1451.5675048828125</v>
      </c>
      <c r="AZ116" s="13">
        <v>340.24752807617188</v>
      </c>
      <c r="BA116" s="13">
        <v>1024.08447265625</v>
      </c>
      <c r="BB116" s="13">
        <v>832.31494140625</v>
      </c>
      <c r="BC116" s="13">
        <v>715.54913330078125</v>
      </c>
      <c r="BD116" s="13">
        <v>1656.1529541015625</v>
      </c>
      <c r="BE116" s="13">
        <v>763.98089599609375</v>
      </c>
      <c r="BF116" s="13">
        <v>849.7630615234375</v>
      </c>
      <c r="BG116" s="13">
        <v>1588.9324951171875</v>
      </c>
      <c r="BH116" s="13">
        <v>1154.6024169921875</v>
      </c>
      <c r="BI116" s="13">
        <v>941.402099609375</v>
      </c>
      <c r="BJ116" s="13">
        <v>839.161865234375</v>
      </c>
      <c r="BK116" s="13">
        <v>361.41049194335938</v>
      </c>
      <c r="BL116" s="13">
        <v>910.60687255859375</v>
      </c>
      <c r="BM116" s="13">
        <v>1297.939697265625</v>
      </c>
      <c r="BN116" s="13">
        <v>1065.10986328125</v>
      </c>
      <c r="BO116" s="13">
        <v>800.2039794921875</v>
      </c>
      <c r="BP116" s="13">
        <v>1754.5814208984375</v>
      </c>
      <c r="BQ116" s="13"/>
      <c r="BR116" s="13"/>
    </row>
    <row r="117" spans="2:70" x14ac:dyDescent="0.2">
      <c r="B117">
        <v>1912</v>
      </c>
      <c r="C117" s="13">
        <v>2231.682861328125</v>
      </c>
      <c r="D117" s="13">
        <v>3638.563232421875</v>
      </c>
      <c r="E117" s="13">
        <v>7175.6103515625</v>
      </c>
      <c r="F117" s="13">
        <v>2257.281005859375</v>
      </c>
      <c r="G117" s="13">
        <v>1579.40673828125</v>
      </c>
      <c r="H117" s="13">
        <v>747.981689453125</v>
      </c>
      <c r="I117" s="13">
        <v>896.11212158203125</v>
      </c>
      <c r="J117" s="13">
        <v>892.58441162109375</v>
      </c>
      <c r="K117" s="13">
        <v>888.88311767578125</v>
      </c>
      <c r="L117" s="13">
        <v>5411.2119140625</v>
      </c>
      <c r="M117" s="13">
        <v>5613.7255859375</v>
      </c>
      <c r="N117" s="13">
        <v>3312.573974609375</v>
      </c>
      <c r="O117" s="13">
        <v>4511.408203125</v>
      </c>
      <c r="P117" s="13">
        <v>6454.546875</v>
      </c>
      <c r="Q117" s="13">
        <v>3876.783935546875</v>
      </c>
      <c r="R117" s="13">
        <v>5293.5</v>
      </c>
      <c r="S117" s="13">
        <v>4846.6962890625</v>
      </c>
      <c r="T117" s="13">
        <v>3330.55615234375</v>
      </c>
      <c r="U117" s="13">
        <v>4115.70556640625</v>
      </c>
      <c r="V117" s="13">
        <v>1657.24365234375</v>
      </c>
      <c r="W117" s="13">
        <v>7837.5302734375</v>
      </c>
      <c r="X117" s="13">
        <v>4868.05126953125</v>
      </c>
      <c r="Y117" s="13">
        <v>7005.20263671875</v>
      </c>
      <c r="Z117" s="13">
        <v>6262.765625</v>
      </c>
      <c r="AA117" s="13">
        <v>1431.2430419921875</v>
      </c>
      <c r="AB117" s="13">
        <v>4738.853515625</v>
      </c>
      <c r="AC117" s="13">
        <v>1256.177490234375</v>
      </c>
      <c r="AD117" s="13">
        <v>3102.792724609375</v>
      </c>
      <c r="AE117" s="13">
        <v>1269.720947265625</v>
      </c>
      <c r="AF117" s="13">
        <v>2463.169921875</v>
      </c>
      <c r="AG117" s="13">
        <v>1410.0621337890625</v>
      </c>
      <c r="AH117" s="13">
        <v>586.72650146484375</v>
      </c>
      <c r="AI117" s="13">
        <v>2896.788818359375</v>
      </c>
      <c r="AJ117" s="13">
        <v>2065.9384765625</v>
      </c>
      <c r="AK117" s="13">
        <v>979.4776611328125</v>
      </c>
      <c r="AL117" s="13">
        <v>848.9208984375</v>
      </c>
      <c r="AM117" s="13">
        <v>1927.836181640625</v>
      </c>
      <c r="AN117" s="13">
        <v>1490.4716796875</v>
      </c>
      <c r="AO117" s="13">
        <v>2555.043212890625</v>
      </c>
      <c r="AP117" s="13">
        <v>1022.74755859375</v>
      </c>
      <c r="AQ117" s="13">
        <v>625.5875244140625</v>
      </c>
      <c r="AR117" s="13">
        <v>575.88226318359375</v>
      </c>
      <c r="AS117" s="13">
        <v>785.889892578125</v>
      </c>
      <c r="AT117" s="13">
        <v>760.9078369140625</v>
      </c>
      <c r="AU117" s="13">
        <v>762.9263916015625</v>
      </c>
      <c r="AV117" s="13">
        <v>918.37109375</v>
      </c>
      <c r="AW117" s="13">
        <v>444.18875122070312</v>
      </c>
      <c r="AX117" s="13">
        <v>375.79232788085938</v>
      </c>
      <c r="AY117" s="13">
        <v>1462.311767578125</v>
      </c>
      <c r="AZ117" s="13">
        <v>344.43862915039062</v>
      </c>
      <c r="BA117" s="13">
        <v>1149.864013671875</v>
      </c>
      <c r="BB117" s="13">
        <v>934.541015625</v>
      </c>
      <c r="BC117" s="13">
        <v>749.180908203125</v>
      </c>
      <c r="BD117" s="13">
        <v>1711.576171875</v>
      </c>
      <c r="BE117" s="13">
        <v>745.868896484375</v>
      </c>
      <c r="BF117" s="13">
        <v>800.5595703125</v>
      </c>
      <c r="BG117" s="13">
        <v>1656.936279296875</v>
      </c>
      <c r="BH117" s="13">
        <v>1161.1553955078125</v>
      </c>
      <c r="BI117" s="13">
        <v>836.54864501953125</v>
      </c>
      <c r="BJ117" s="13">
        <v>837.99359130859375</v>
      </c>
      <c r="BK117" s="13">
        <v>387.88720703125</v>
      </c>
      <c r="BL117" s="13">
        <v>915.7750244140625</v>
      </c>
      <c r="BM117" s="13">
        <v>1295.8541259765625</v>
      </c>
      <c r="BN117" s="13">
        <v>1057.164794921875</v>
      </c>
      <c r="BO117" s="13">
        <v>794.23492431640625</v>
      </c>
      <c r="BP117" s="13">
        <v>1649.677490234375</v>
      </c>
      <c r="BQ117" s="13"/>
      <c r="BR117" s="13"/>
    </row>
    <row r="118" spans="2:70" x14ac:dyDescent="0.2">
      <c r="B118">
        <v>1913</v>
      </c>
      <c r="C118" s="13">
        <v>2279.732421875</v>
      </c>
      <c r="D118" s="13">
        <v>3714.140869140625</v>
      </c>
      <c r="E118" s="13">
        <v>7265.76318359375</v>
      </c>
      <c r="F118" s="13">
        <v>2201.887939453125</v>
      </c>
      <c r="G118" s="13">
        <v>1579.321533203125</v>
      </c>
      <c r="H118" s="13">
        <v>756.36572265625</v>
      </c>
      <c r="I118" s="13">
        <v>960.2476806640625</v>
      </c>
      <c r="J118" s="13">
        <v>923.235595703125</v>
      </c>
      <c r="K118" s="13">
        <v>934.89874267578125</v>
      </c>
      <c r="L118" s="13">
        <v>5564.51220703125</v>
      </c>
      <c r="M118" s="13">
        <v>5687.88720703125</v>
      </c>
      <c r="N118" s="13">
        <v>3524.752197265625</v>
      </c>
      <c r="O118" s="13">
        <v>4268.42138671875</v>
      </c>
      <c r="P118" s="13">
        <v>6723.99365234375</v>
      </c>
      <c r="Q118" s="13">
        <v>4030.279296875</v>
      </c>
      <c r="R118" s="13">
        <v>5301.99560546875</v>
      </c>
      <c r="S118" s="13">
        <v>5127.2978515625</v>
      </c>
      <c r="T118" s="13">
        <v>3548.9130859375</v>
      </c>
      <c r="U118" s="13">
        <v>4197.04638671875</v>
      </c>
      <c r="V118" s="13">
        <v>1690.1024169921875</v>
      </c>
      <c r="W118" s="13">
        <v>7923.04931640625</v>
      </c>
      <c r="X118" s="13">
        <v>4867.55810546875</v>
      </c>
      <c r="Y118" s="13">
        <v>7528.890625</v>
      </c>
      <c r="Z118" s="13">
        <v>6201.48095703125</v>
      </c>
      <c r="AA118" s="13">
        <v>1449.059326171875</v>
      </c>
      <c r="AB118" s="13">
        <v>4636.6552734375</v>
      </c>
      <c r="AC118" s="13">
        <v>1109.943115234375</v>
      </c>
      <c r="AD118" s="13">
        <v>3110.979248046875</v>
      </c>
      <c r="AE118" s="13">
        <v>1185.2265625</v>
      </c>
      <c r="AF118" s="13">
        <v>2535.82421875</v>
      </c>
      <c r="AG118" s="13">
        <v>1371.464111328125</v>
      </c>
      <c r="AH118" s="13">
        <v>586.78009033203125</v>
      </c>
      <c r="AI118" s="13">
        <v>2895.37890625</v>
      </c>
      <c r="AJ118" s="13">
        <v>2067.03759765625</v>
      </c>
      <c r="AK118" s="13">
        <v>979.727783203125</v>
      </c>
      <c r="AL118" s="13">
        <v>849.00555419921875</v>
      </c>
      <c r="AM118" s="13">
        <v>1926.6065673828125</v>
      </c>
      <c r="AN118" s="13">
        <v>1490.593994140625</v>
      </c>
      <c r="AO118" s="13">
        <v>2555.7783203125</v>
      </c>
      <c r="AP118" s="13">
        <v>1036.0675048828125</v>
      </c>
      <c r="AQ118" s="13">
        <v>625.910400390625</v>
      </c>
      <c r="AR118" s="13">
        <v>575.93975830078125</v>
      </c>
      <c r="AS118" s="13">
        <v>828.90557861328125</v>
      </c>
      <c r="AT118" s="13">
        <v>762.99078369140625</v>
      </c>
      <c r="AU118" s="13">
        <v>772.7423095703125</v>
      </c>
      <c r="AV118" s="13">
        <v>930.73284912109375</v>
      </c>
      <c r="AW118" s="13">
        <v>445.40472412109375</v>
      </c>
      <c r="AX118" s="13">
        <v>377.93228149414062</v>
      </c>
      <c r="AY118" s="13">
        <v>1468.4178466796875</v>
      </c>
      <c r="AZ118" s="13">
        <v>348.46853637695312</v>
      </c>
      <c r="BA118" s="13">
        <v>1232.172119140625</v>
      </c>
      <c r="BB118" s="13">
        <v>1001.4361572265625</v>
      </c>
      <c r="BC118" s="13">
        <v>782.92706298828125</v>
      </c>
      <c r="BD118" s="13">
        <v>1703.6331787109375</v>
      </c>
      <c r="BE118" s="13">
        <v>801.0693359375</v>
      </c>
      <c r="BF118" s="13">
        <v>863.439453125</v>
      </c>
      <c r="BG118" s="13">
        <v>1717.212158203125</v>
      </c>
      <c r="BH118" s="13">
        <v>1158.0206298828125</v>
      </c>
      <c r="BI118" s="13">
        <v>894.7850341796875</v>
      </c>
      <c r="BJ118" s="13">
        <v>874.11663818359375</v>
      </c>
      <c r="BK118" s="13">
        <v>411.34075927734375</v>
      </c>
      <c r="BL118" s="13">
        <v>913.30279541015625</v>
      </c>
      <c r="BM118" s="13">
        <v>1405.98583984375</v>
      </c>
      <c r="BN118" s="13">
        <v>1057.7271728515625</v>
      </c>
      <c r="BO118" s="13">
        <v>794.657470703125</v>
      </c>
      <c r="BP118" s="13">
        <v>1731.2333984375</v>
      </c>
      <c r="BQ118" s="13"/>
      <c r="BR118" s="13"/>
    </row>
    <row r="119" spans="2:70" x14ac:dyDescent="0.2">
      <c r="B119">
        <v>1914</v>
      </c>
      <c r="C119" s="13">
        <v>2172.316162109375</v>
      </c>
      <c r="D119" s="13">
        <v>3562.212158203125</v>
      </c>
      <c r="E119" s="13">
        <v>6563.7626953125</v>
      </c>
      <c r="F119" s="13">
        <v>2091.761962890625</v>
      </c>
      <c r="G119" s="13">
        <v>1528.962646484375</v>
      </c>
      <c r="H119" s="13">
        <v>767.5313720703125</v>
      </c>
      <c r="I119" s="13">
        <v>922.19952392578125</v>
      </c>
      <c r="J119" s="13">
        <v>924.112548828125</v>
      </c>
      <c r="K119" s="13">
        <v>949.42889404296875</v>
      </c>
      <c r="L119" s="13">
        <v>5050.54443359375</v>
      </c>
      <c r="M119" s="13">
        <v>6029.57568359375</v>
      </c>
      <c r="N119" s="13">
        <v>3498.01025390625</v>
      </c>
      <c r="O119" s="13">
        <v>3829.148681640625</v>
      </c>
      <c r="P119" s="13">
        <v>6862.0498046875</v>
      </c>
      <c r="Q119" s="13">
        <v>3781.421630859375</v>
      </c>
      <c r="R119" s="13">
        <v>5059.25537109375</v>
      </c>
      <c r="S119" s="13">
        <v>5174.662109375</v>
      </c>
      <c r="T119" s="13">
        <v>3583.04052734375</v>
      </c>
      <c r="U119" s="13">
        <v>4060.6884765625</v>
      </c>
      <c r="V119" s="13">
        <v>1648.291259765625</v>
      </c>
      <c r="W119" s="13">
        <v>7115.26416015625</v>
      </c>
      <c r="X119" s="13">
        <v>4348.8388671875</v>
      </c>
      <c r="Y119" s="13">
        <v>7624.51953125</v>
      </c>
      <c r="Z119" s="13">
        <v>6317.6025390625</v>
      </c>
      <c r="AA119" s="13">
        <v>1310.65283203125</v>
      </c>
      <c r="AB119" s="13">
        <v>4113.93994140625</v>
      </c>
      <c r="AC119" s="13">
        <v>1108.95556640625</v>
      </c>
      <c r="AD119" s="13">
        <v>2638.954833984375</v>
      </c>
      <c r="AE119" s="13">
        <v>1063.234130859375</v>
      </c>
      <c r="AF119" s="13">
        <v>2602.533447265625</v>
      </c>
      <c r="AG119" s="13">
        <v>1305.612548828125</v>
      </c>
      <c r="AH119" s="13">
        <v>641.55645751953125</v>
      </c>
      <c r="AI119" s="13">
        <v>2913.012939453125</v>
      </c>
      <c r="AJ119" s="13">
        <v>2069.64306640625</v>
      </c>
      <c r="AK119" s="13">
        <v>1002.6818237304688</v>
      </c>
      <c r="AL119" s="13">
        <v>866.45574951171875</v>
      </c>
      <c r="AM119" s="13">
        <v>1996.21435546875</v>
      </c>
      <c r="AN119" s="13">
        <v>1330.60400390625</v>
      </c>
      <c r="AO119" s="13">
        <v>2478.639892578125</v>
      </c>
      <c r="AP119" s="13">
        <v>1051.8807373046875</v>
      </c>
      <c r="AQ119" s="13">
        <v>627.61749267578125</v>
      </c>
      <c r="AR119" s="13">
        <v>576.49456787109375</v>
      </c>
      <c r="AS119" s="13">
        <v>859.95477294921875</v>
      </c>
      <c r="AT119" s="13">
        <v>765.74017333984375</v>
      </c>
      <c r="AU119" s="13">
        <v>783.36041259765625</v>
      </c>
      <c r="AV119" s="13">
        <v>944.06573486328125</v>
      </c>
      <c r="AW119" s="13">
        <v>447.00967407226562</v>
      </c>
      <c r="AX119" s="13">
        <v>380.41262817382812</v>
      </c>
      <c r="AY119" s="13">
        <v>1526.0308837890625</v>
      </c>
      <c r="AZ119" s="13">
        <v>353.005615234375</v>
      </c>
      <c r="BA119" s="13">
        <v>1183.3328857421875</v>
      </c>
      <c r="BB119" s="13">
        <v>961.7425537109375</v>
      </c>
      <c r="BC119" s="13">
        <v>786.53106689453125</v>
      </c>
      <c r="BD119" s="13">
        <v>1677.60546875</v>
      </c>
      <c r="BE119" s="13">
        <v>852.0216064453125</v>
      </c>
      <c r="BF119" s="13">
        <v>827.333984375</v>
      </c>
      <c r="BG119" s="13">
        <v>1721.10302734375</v>
      </c>
      <c r="BH119" s="13">
        <v>1166.09228515625</v>
      </c>
      <c r="BI119" s="13">
        <v>915.4539794921875</v>
      </c>
      <c r="BJ119" s="13">
        <v>869.419921875</v>
      </c>
      <c r="BK119" s="13">
        <v>441.64535522460938</v>
      </c>
      <c r="BL119" s="13">
        <v>919.6685791015625</v>
      </c>
      <c r="BM119" s="13">
        <v>1347.409423828125</v>
      </c>
      <c r="BN119" s="13">
        <v>1059.2388916015625</v>
      </c>
      <c r="BO119" s="13">
        <v>796.75103759765625</v>
      </c>
      <c r="BP119" s="13">
        <v>1732.1240234375</v>
      </c>
      <c r="BQ119" s="13"/>
      <c r="BR119" s="13"/>
    </row>
    <row r="120" spans="2:70" x14ac:dyDescent="0.2">
      <c r="B120">
        <v>1915</v>
      </c>
      <c r="C120" s="13">
        <v>2187.262939453125</v>
      </c>
      <c r="D120" s="13">
        <v>3569.20166015625</v>
      </c>
      <c r="E120" s="13">
        <v>6644.287109375</v>
      </c>
      <c r="F120" s="13">
        <v>2081.139404296875</v>
      </c>
      <c r="G120" s="13">
        <v>1483.0504150390625</v>
      </c>
      <c r="H120" s="13">
        <v>759.84954833984375</v>
      </c>
      <c r="I120" s="13">
        <v>922.60589599609375</v>
      </c>
      <c r="J120" s="13">
        <v>954.57501220703125</v>
      </c>
      <c r="K120" s="13">
        <v>911.74359130859375</v>
      </c>
      <c r="L120" s="13">
        <v>4599.80712890625</v>
      </c>
      <c r="M120" s="13">
        <v>5732.7431640625</v>
      </c>
      <c r="N120" s="13">
        <v>3469.83251953125</v>
      </c>
      <c r="O120" s="13">
        <v>3683.635986328125</v>
      </c>
      <c r="P120" s="13">
        <v>7303.65966796875</v>
      </c>
      <c r="Q120" s="13">
        <v>3878.1572265625</v>
      </c>
      <c r="R120" s="13">
        <v>5034.353515625</v>
      </c>
      <c r="S120" s="13">
        <v>6098.60498046875</v>
      </c>
      <c r="T120" s="13">
        <v>3589.292236328125</v>
      </c>
      <c r="U120" s="13">
        <v>4085.055419921875</v>
      </c>
      <c r="V120" s="13">
        <v>1671.129150390625</v>
      </c>
      <c r="W120" s="13">
        <v>7238.7001953125</v>
      </c>
      <c r="X120" s="13">
        <v>4635.68115234375</v>
      </c>
      <c r="Y120" s="13">
        <v>6584.78564453125</v>
      </c>
      <c r="Z120" s="13">
        <v>6316.732421875</v>
      </c>
      <c r="AA120" s="13">
        <v>1325.075927734375</v>
      </c>
      <c r="AB120" s="13">
        <v>4005.616943359375</v>
      </c>
      <c r="AC120" s="13">
        <v>1131.53466796875</v>
      </c>
      <c r="AD120" s="13">
        <v>2474.5205078125</v>
      </c>
      <c r="AE120" s="13">
        <v>1191.46630859375</v>
      </c>
      <c r="AF120" s="13">
        <v>2628.0712890625</v>
      </c>
      <c r="AG120" s="13">
        <v>1307.5035400390625</v>
      </c>
      <c r="AH120" s="13">
        <v>701.01580810546875</v>
      </c>
      <c r="AI120" s="13">
        <v>2925.253173828125</v>
      </c>
      <c r="AJ120" s="13">
        <v>2064.239013671875</v>
      </c>
      <c r="AK120" s="13">
        <v>1024.2655029296875</v>
      </c>
      <c r="AL120" s="13">
        <v>883.62164306640625</v>
      </c>
      <c r="AM120" s="13">
        <v>2067.239013671875</v>
      </c>
      <c r="AN120" s="13">
        <v>1187.1617431640625</v>
      </c>
      <c r="AO120" s="13">
        <v>2407.814208984375</v>
      </c>
      <c r="AP120" s="13">
        <v>1065.949462890625</v>
      </c>
      <c r="AQ120" s="13">
        <v>628.15899658203125</v>
      </c>
      <c r="AR120" s="13">
        <v>576.63037109375</v>
      </c>
      <c r="AS120" s="13">
        <v>891.5181884765625</v>
      </c>
      <c r="AT120" s="13">
        <v>767.94061279296875</v>
      </c>
      <c r="AU120" s="13">
        <v>793.54693603515625</v>
      </c>
      <c r="AV120" s="13">
        <v>880.45501708984375</v>
      </c>
      <c r="AW120" s="13">
        <v>448.29421997070312</v>
      </c>
      <c r="AX120" s="13">
        <v>382.63079833984375</v>
      </c>
      <c r="AY120" s="13">
        <v>1540.3507080078125</v>
      </c>
      <c r="AZ120" s="13">
        <v>347.86105346679688</v>
      </c>
      <c r="BA120" s="13">
        <v>1183.8511962890625</v>
      </c>
      <c r="BB120" s="13">
        <v>962.163818359375</v>
      </c>
      <c r="BC120" s="13">
        <v>789.5802001953125</v>
      </c>
      <c r="BD120" s="13">
        <v>1871.221435546875</v>
      </c>
      <c r="BE120" s="13">
        <v>856.88140869140625</v>
      </c>
      <c r="BF120" s="13">
        <v>856.67498779296875</v>
      </c>
      <c r="BG120" s="13">
        <v>1769.716064453125</v>
      </c>
      <c r="BH120" s="13">
        <v>1154.72216796875</v>
      </c>
      <c r="BI120" s="13">
        <v>854.86846923828125</v>
      </c>
      <c r="BJ120" s="13">
        <v>871.8675537109375</v>
      </c>
      <c r="BK120" s="13">
        <v>466.30877685546875</v>
      </c>
      <c r="BL120" s="13">
        <v>910.7012939453125</v>
      </c>
      <c r="BM120" s="13">
        <v>1239.9500732421875</v>
      </c>
      <c r="BN120" s="13">
        <v>1056.651123046875</v>
      </c>
      <c r="BO120" s="13">
        <v>795.76116943359375</v>
      </c>
      <c r="BP120" s="13">
        <v>1659.449462890625</v>
      </c>
      <c r="BQ120" s="13"/>
      <c r="BR120" s="13"/>
    </row>
    <row r="121" spans="2:70" x14ac:dyDescent="0.2">
      <c r="B121">
        <v>1916</v>
      </c>
      <c r="C121" s="13">
        <v>2357.638671875</v>
      </c>
      <c r="D121" s="13">
        <v>3739.342529296875</v>
      </c>
      <c r="E121" s="13">
        <v>7660.5859375</v>
      </c>
      <c r="F121" s="13">
        <v>2077.68017578125</v>
      </c>
      <c r="G121" s="13">
        <v>1440.8896484375</v>
      </c>
      <c r="H121" s="13">
        <v>745.743408203125</v>
      </c>
      <c r="I121" s="13">
        <v>890.24005126953125</v>
      </c>
      <c r="J121" s="13">
        <v>1005.0010986328125</v>
      </c>
      <c r="K121" s="13">
        <v>918.3128662109375</v>
      </c>
      <c r="L121" s="13">
        <v>4372.05029296875</v>
      </c>
      <c r="M121" s="13">
        <v>6301.32373046875</v>
      </c>
      <c r="N121" s="13">
        <v>3367.76025390625</v>
      </c>
      <c r="O121" s="13">
        <v>4245.23193359375</v>
      </c>
      <c r="P121" s="13">
        <v>7484.0302734375</v>
      </c>
      <c r="Q121" s="13">
        <v>4390.93603515625</v>
      </c>
      <c r="R121" s="13">
        <v>5177.9521484375</v>
      </c>
      <c r="S121" s="13">
        <v>7566.30419921875</v>
      </c>
      <c r="T121" s="13">
        <v>3980.407958984375</v>
      </c>
      <c r="U121" s="13">
        <v>4293.9033203125</v>
      </c>
      <c r="V121" s="13">
        <v>1756.6954345703125</v>
      </c>
      <c r="W121" s="13">
        <v>8370.2685546875</v>
      </c>
      <c r="X121" s="13">
        <v>5127.6689453125</v>
      </c>
      <c r="Y121" s="13">
        <v>7507.05615234375</v>
      </c>
      <c r="Z121" s="13">
        <v>6176.85400390625</v>
      </c>
      <c r="AA121" s="13">
        <v>1520.8812255859375</v>
      </c>
      <c r="AB121" s="13">
        <v>3900.783203125</v>
      </c>
      <c r="AC121" s="13">
        <v>1250.661376953125</v>
      </c>
      <c r="AD121" s="13">
        <v>2959.950439453125</v>
      </c>
      <c r="AE121" s="13">
        <v>1045.909423828125</v>
      </c>
      <c r="AF121" s="13">
        <v>2473.490234375</v>
      </c>
      <c r="AG121" s="13">
        <v>1314.0811767578125</v>
      </c>
      <c r="AH121" s="13">
        <v>765.119873046875</v>
      </c>
      <c r="AI121" s="13">
        <v>2928.102783203125</v>
      </c>
      <c r="AJ121" s="13">
        <v>2045.2767333984375</v>
      </c>
      <c r="AK121" s="13">
        <v>1042.9898681640625</v>
      </c>
      <c r="AL121" s="13">
        <v>900.00689697265625</v>
      </c>
      <c r="AM121" s="13">
        <v>2138.795166015625</v>
      </c>
      <c r="AN121" s="13">
        <v>1058.2071533203125</v>
      </c>
      <c r="AO121" s="13">
        <v>2341.208251953125</v>
      </c>
      <c r="AP121" s="13">
        <v>1076.7747802734375</v>
      </c>
      <c r="AQ121" s="13">
        <v>626.70379638671875</v>
      </c>
      <c r="AR121" s="13">
        <v>576.04888916015625</v>
      </c>
      <c r="AS121" s="13">
        <v>923.0906982421875</v>
      </c>
      <c r="AT121" s="13">
        <v>769.1895751953125</v>
      </c>
      <c r="AU121" s="13">
        <v>802.8662109375</v>
      </c>
      <c r="AV121" s="13">
        <v>809.0064697265625</v>
      </c>
      <c r="AW121" s="13">
        <v>449.0233154296875</v>
      </c>
      <c r="AX121" s="13">
        <v>384.38330078125</v>
      </c>
      <c r="AY121" s="13">
        <v>1480.259521484375</v>
      </c>
      <c r="AZ121" s="13">
        <v>340.76531982421875</v>
      </c>
      <c r="BA121" s="13">
        <v>1142.307861328125</v>
      </c>
      <c r="BB121" s="13">
        <v>928.39984130859375</v>
      </c>
      <c r="BC121" s="13">
        <v>791.66064453125</v>
      </c>
      <c r="BD121" s="13">
        <v>2189.117919921875</v>
      </c>
      <c r="BE121" s="13">
        <v>892.49066162109375</v>
      </c>
      <c r="BF121" s="13">
        <v>920.04852294921875</v>
      </c>
      <c r="BG121" s="13">
        <v>1847.6754150390625</v>
      </c>
      <c r="BH121" s="13">
        <v>1148.34423828125</v>
      </c>
      <c r="BI121" s="13">
        <v>857.8638916015625</v>
      </c>
      <c r="BJ121" s="13">
        <v>867.69482421875</v>
      </c>
      <c r="BK121" s="13">
        <v>494.45126342773438</v>
      </c>
      <c r="BL121" s="13">
        <v>905.67120361328125</v>
      </c>
      <c r="BM121" s="13">
        <v>1416.8489990234375</v>
      </c>
      <c r="BN121" s="13">
        <v>1055.7110595703125</v>
      </c>
      <c r="BO121" s="13">
        <v>796.01007080078125</v>
      </c>
      <c r="BP121" s="13">
        <v>1659.1302490234375</v>
      </c>
      <c r="BQ121" s="13"/>
      <c r="BR121" s="13"/>
    </row>
    <row r="122" spans="2:70" x14ac:dyDescent="0.2">
      <c r="B122">
        <v>1917</v>
      </c>
      <c r="C122" s="13">
        <v>2321.32470703125</v>
      </c>
      <c r="D122" s="13">
        <v>3615.0576171875</v>
      </c>
      <c r="E122" s="13">
        <v>7579.849609375</v>
      </c>
      <c r="F122" s="13">
        <v>2002.5587158203125</v>
      </c>
      <c r="G122" s="13">
        <v>1409.6099853515625</v>
      </c>
      <c r="H122" s="13">
        <v>736.5858154296875</v>
      </c>
      <c r="I122" s="13">
        <v>845.2684326171875</v>
      </c>
      <c r="J122" s="13">
        <v>1034.4713134765625</v>
      </c>
      <c r="K122" s="13">
        <v>942.9801025390625</v>
      </c>
      <c r="L122" s="13">
        <v>4248.31787109375</v>
      </c>
      <c r="M122" s="13">
        <v>5704.7490234375</v>
      </c>
      <c r="N122" s="13">
        <v>3077.744873046875</v>
      </c>
      <c r="O122" s="13">
        <v>4256.4453125</v>
      </c>
      <c r="P122" s="13">
        <v>7012.921875</v>
      </c>
      <c r="Q122" s="13">
        <v>4455.208984375</v>
      </c>
      <c r="R122" s="13">
        <v>5089.87744140625</v>
      </c>
      <c r="S122" s="13">
        <v>6742.65185546875</v>
      </c>
      <c r="T122" s="13">
        <v>3597.771484375</v>
      </c>
      <c r="U122" s="13">
        <v>4181.3447265625</v>
      </c>
      <c r="V122" s="13">
        <v>1725.40283203125</v>
      </c>
      <c r="W122" s="13">
        <v>8265.576171875</v>
      </c>
      <c r="X122" s="13">
        <v>5291.47314453125</v>
      </c>
      <c r="Y122" s="13">
        <v>7366.1767578125</v>
      </c>
      <c r="Z122" s="13">
        <v>6039.4404296875</v>
      </c>
      <c r="AA122" s="13">
        <v>1502.113525390625</v>
      </c>
      <c r="AB122" s="13">
        <v>3881.5166015625</v>
      </c>
      <c r="AC122" s="13">
        <v>1319.30029296875</v>
      </c>
      <c r="AD122" s="13">
        <v>2970.70361328125</v>
      </c>
      <c r="AE122" s="13">
        <v>885.68426513671875</v>
      </c>
      <c r="AF122" s="13">
        <v>2122.50537109375</v>
      </c>
      <c r="AG122" s="13">
        <v>1242.2664794921875</v>
      </c>
      <c r="AH122" s="13">
        <v>835.81744384765625</v>
      </c>
      <c r="AI122" s="13">
        <v>2938.324462890625</v>
      </c>
      <c r="AJ122" s="13">
        <v>2036.9810791015625</v>
      </c>
      <c r="AK122" s="13">
        <v>1064.697998046875</v>
      </c>
      <c r="AL122" s="13">
        <v>917.58697509765625</v>
      </c>
      <c r="AM122" s="13">
        <v>2214.432373046875</v>
      </c>
      <c r="AN122" s="13">
        <v>943.937255859375</v>
      </c>
      <c r="AO122" s="13">
        <v>2291.56787109375</v>
      </c>
      <c r="AP122" s="13">
        <v>1090.415283203125</v>
      </c>
      <c r="AQ122" s="13">
        <v>626.80694580078125</v>
      </c>
      <c r="AR122" s="13">
        <v>576.0272216796875</v>
      </c>
      <c r="AS122" s="13">
        <v>956.7103271484375</v>
      </c>
      <c r="AT122" s="13">
        <v>771.1893310546875</v>
      </c>
      <c r="AU122" s="13">
        <v>813.08441162109375</v>
      </c>
      <c r="AV122" s="13">
        <v>744.078369140625</v>
      </c>
      <c r="AW122" s="13">
        <v>450.19073486328125</v>
      </c>
      <c r="AX122" s="13">
        <v>386.51919555664062</v>
      </c>
      <c r="AY122" s="13">
        <v>1478.1968994140625</v>
      </c>
      <c r="AZ122" s="13">
        <v>335.15499877929688</v>
      </c>
      <c r="BA122" s="13">
        <v>1084.593994140625</v>
      </c>
      <c r="BB122" s="13">
        <v>881.47821044921875</v>
      </c>
      <c r="BC122" s="13">
        <v>794.51385498046875</v>
      </c>
      <c r="BD122" s="13">
        <v>2354.328369140625</v>
      </c>
      <c r="BE122" s="13">
        <v>927.17327880859375</v>
      </c>
      <c r="BF122" s="13">
        <v>1049.8116455078125</v>
      </c>
      <c r="BG122" s="13">
        <v>1906.0784912109375</v>
      </c>
      <c r="BH122" s="13">
        <v>1144.841796875</v>
      </c>
      <c r="BI122" s="13">
        <v>894.3299560546875</v>
      </c>
      <c r="BJ122" s="13">
        <v>849.86505126953125</v>
      </c>
      <c r="BK122" s="13">
        <v>480.11029052734375</v>
      </c>
      <c r="BL122" s="13">
        <v>902.90899658203125</v>
      </c>
      <c r="BM122" s="13">
        <v>1634.2569580078125</v>
      </c>
      <c r="BN122" s="13">
        <v>1051.6287841796875</v>
      </c>
      <c r="BO122" s="13">
        <v>793.88641357421875</v>
      </c>
      <c r="BP122" s="13">
        <v>1697.9783935546875</v>
      </c>
      <c r="BQ122" s="13"/>
      <c r="BR122" s="13"/>
    </row>
    <row r="123" spans="2:70" x14ac:dyDescent="0.2">
      <c r="B123">
        <v>1918</v>
      </c>
      <c r="C123" s="13">
        <v>2315.66015625</v>
      </c>
      <c r="D123" s="13">
        <v>3401.647705078125</v>
      </c>
      <c r="E123" s="13">
        <v>8072.42626953125</v>
      </c>
      <c r="F123" s="13">
        <v>1888.0809326171875</v>
      </c>
      <c r="G123" s="13">
        <v>1383.999267578125</v>
      </c>
      <c r="H123" s="13">
        <v>730.48077392578125</v>
      </c>
      <c r="I123" s="13">
        <v>624.4927978515625</v>
      </c>
      <c r="J123" s="13">
        <v>1036.791259765625</v>
      </c>
      <c r="K123" s="13">
        <v>991.224365234375</v>
      </c>
      <c r="L123" s="13">
        <v>4155.845703125</v>
      </c>
      <c r="M123" s="13">
        <v>5693.19775390625</v>
      </c>
      <c r="N123" s="13">
        <v>2556.996826171875</v>
      </c>
      <c r="O123" s="13">
        <v>3799.584716796875</v>
      </c>
      <c r="P123" s="13">
        <v>6600.1748046875</v>
      </c>
      <c r="Q123" s="13">
        <v>4408.94921875</v>
      </c>
      <c r="R123" s="13">
        <v>4823.40625</v>
      </c>
      <c r="S123" s="13">
        <v>5356.01025390625</v>
      </c>
      <c r="T123" s="13">
        <v>3301.77783203125</v>
      </c>
      <c r="U123" s="13">
        <v>3949.157470703125</v>
      </c>
      <c r="V123" s="13">
        <v>1643.6767578125</v>
      </c>
      <c r="W123" s="13">
        <v>8893.458984375</v>
      </c>
      <c r="X123" s="13">
        <v>4951.73095703125</v>
      </c>
      <c r="Y123" s="13">
        <v>7013.4326171875</v>
      </c>
      <c r="Z123" s="13">
        <v>5954.60791015625</v>
      </c>
      <c r="AA123" s="13">
        <v>1597.3204345703125</v>
      </c>
      <c r="AB123" s="13">
        <v>3857.74951171875</v>
      </c>
      <c r="AC123" s="13">
        <v>1228.8448486328125</v>
      </c>
      <c r="AD123" s="13">
        <v>2970.283935546875</v>
      </c>
      <c r="AE123" s="13">
        <v>767.20477294921875</v>
      </c>
      <c r="AF123" s="13">
        <v>1855.07666015625</v>
      </c>
      <c r="AG123" s="13">
        <v>1180.241455078125</v>
      </c>
      <c r="AH123" s="13">
        <v>913.43670654296875</v>
      </c>
      <c r="AI123" s="13">
        <v>2952.3935546875</v>
      </c>
      <c r="AJ123" s="13">
        <v>2034.111572265625</v>
      </c>
      <c r="AK123" s="13">
        <v>1088.2452392578125</v>
      </c>
      <c r="AL123" s="13">
        <v>935.97698974609375</v>
      </c>
      <c r="AM123" s="13">
        <v>2293.583740234375</v>
      </c>
      <c r="AN123" s="13">
        <v>842.31146240234375</v>
      </c>
      <c r="AO123" s="13">
        <v>2253.938720703125</v>
      </c>
      <c r="AP123" s="13">
        <v>1105.637939453125</v>
      </c>
      <c r="AQ123" s="13">
        <v>627.71038818359375</v>
      </c>
      <c r="AR123" s="13">
        <v>576.29290771484375</v>
      </c>
      <c r="AS123" s="13">
        <v>992.04888916015625</v>
      </c>
      <c r="AT123" s="13">
        <v>773.5799560546875</v>
      </c>
      <c r="AU123" s="13">
        <v>823.84332275390625</v>
      </c>
      <c r="AV123" s="13">
        <v>684.70245361328125</v>
      </c>
      <c r="AW123" s="13">
        <v>451.58624267578125</v>
      </c>
      <c r="AX123" s="13">
        <v>388.86062622070312</v>
      </c>
      <c r="AY123" s="13">
        <v>1506.018798828125</v>
      </c>
      <c r="AZ123" s="13">
        <v>330.54132080078125</v>
      </c>
      <c r="BA123" s="13">
        <v>801.29888916015625</v>
      </c>
      <c r="BB123" s="13">
        <v>651.23590087890625</v>
      </c>
      <c r="BC123" s="13">
        <v>804.091064453125</v>
      </c>
      <c r="BD123" s="13">
        <v>2283.038818359375</v>
      </c>
      <c r="BE123" s="13">
        <v>968.93792724609375</v>
      </c>
      <c r="BF123" s="13">
        <v>1025.6224365234375</v>
      </c>
      <c r="BG123" s="13">
        <v>1902.20947265625</v>
      </c>
      <c r="BH123" s="13">
        <v>1151.55517578125</v>
      </c>
      <c r="BI123" s="13">
        <v>944.7056884765625</v>
      </c>
      <c r="BJ123" s="13">
        <v>890.57769775390625</v>
      </c>
      <c r="BK123" s="13">
        <v>470.35354614257812</v>
      </c>
      <c r="BL123" s="13">
        <v>908.20355224609375</v>
      </c>
      <c r="BM123" s="13">
        <v>1832.885986328125</v>
      </c>
      <c r="BN123" s="13">
        <v>1050.0479736328125</v>
      </c>
      <c r="BO123" s="13">
        <v>793.6470947265625</v>
      </c>
      <c r="BP123" s="13">
        <v>1781.282958984375</v>
      </c>
      <c r="BQ123" s="13"/>
      <c r="BR123" s="13"/>
    </row>
    <row r="124" spans="2:70" x14ac:dyDescent="0.2">
      <c r="B124">
        <v>1919</v>
      </c>
      <c r="C124" s="13">
        <v>2218.089111328125</v>
      </c>
      <c r="D124" s="13">
        <v>3410.911865234375</v>
      </c>
      <c r="E124" s="13">
        <v>7225.0869140625</v>
      </c>
      <c r="F124" s="13">
        <v>1913.4232177734375</v>
      </c>
      <c r="G124" s="13">
        <v>1418.150634765625</v>
      </c>
      <c r="H124" s="13">
        <v>723.578857421875</v>
      </c>
      <c r="I124" s="13">
        <v>579.306884765625</v>
      </c>
      <c r="J124" s="13">
        <v>1043.964111328125</v>
      </c>
      <c r="K124" s="13">
        <v>906.957275390625</v>
      </c>
      <c r="L124" s="13">
        <v>3540.482177734375</v>
      </c>
      <c r="M124" s="13">
        <v>5792.39453125</v>
      </c>
      <c r="N124" s="13">
        <v>2741.504150390625</v>
      </c>
      <c r="O124" s="13">
        <v>4018.69775390625</v>
      </c>
      <c r="P124" s="13">
        <v>6499.65234375</v>
      </c>
      <c r="Q124" s="13">
        <v>4778.73046875</v>
      </c>
      <c r="R124" s="13">
        <v>5050.24755859375</v>
      </c>
      <c r="S124" s="13">
        <v>6175.9130859375</v>
      </c>
      <c r="T124" s="13">
        <v>3547.4404296875</v>
      </c>
      <c r="U124" s="13">
        <v>3949.625732421875</v>
      </c>
      <c r="V124" s="13">
        <v>1643.906005859375</v>
      </c>
      <c r="W124" s="13">
        <v>7934.119140625</v>
      </c>
      <c r="X124" s="13">
        <v>4529.119140625</v>
      </c>
      <c r="Y124" s="13">
        <v>6446.09912109375</v>
      </c>
      <c r="Z124" s="13">
        <v>6412.58837890625</v>
      </c>
      <c r="AA124" s="13">
        <v>1425.3807373046875</v>
      </c>
      <c r="AB124" s="13">
        <v>4129.66943359375</v>
      </c>
      <c r="AC124" s="13">
        <v>1363.150390625</v>
      </c>
      <c r="AD124" s="13">
        <v>2489.197021484375</v>
      </c>
      <c r="AE124" s="13">
        <v>774.95361328125</v>
      </c>
      <c r="AF124" s="13">
        <v>1664.2763671875</v>
      </c>
      <c r="AG124" s="13">
        <v>1208.843505859375</v>
      </c>
      <c r="AH124" s="13">
        <v>997.9510498046875</v>
      </c>
      <c r="AI124" s="13">
        <v>2963.6875</v>
      </c>
      <c r="AJ124" s="13">
        <v>2027.2484130859375</v>
      </c>
      <c r="AK124" s="13">
        <v>1111.2608642578125</v>
      </c>
      <c r="AL124" s="13">
        <v>954.3824462890625</v>
      </c>
      <c r="AM124" s="13">
        <v>2374.919189453125</v>
      </c>
      <c r="AN124" s="13">
        <v>873.75616455078125</v>
      </c>
      <c r="AO124" s="13">
        <v>2295.486572265625</v>
      </c>
      <c r="AP124" s="13">
        <v>1120.0125732421875</v>
      </c>
      <c r="AQ124" s="13">
        <v>628.0203857421875</v>
      </c>
      <c r="AR124" s="13">
        <v>576.345458984375</v>
      </c>
      <c r="AS124" s="13">
        <v>1028.312255859375</v>
      </c>
      <c r="AT124" s="13">
        <v>775.69097900390625</v>
      </c>
      <c r="AU124" s="13">
        <v>834.43585205078125</v>
      </c>
      <c r="AV124" s="13">
        <v>629.8316650390625</v>
      </c>
      <c r="AW124" s="13">
        <v>452.81857299804688</v>
      </c>
      <c r="AX124" s="13">
        <v>391.07159423828125</v>
      </c>
      <c r="AY124" s="13">
        <v>1533.6302490234375</v>
      </c>
      <c r="AZ124" s="13">
        <v>326.15802001953125</v>
      </c>
      <c r="BA124" s="13">
        <v>743.30419921875</v>
      </c>
      <c r="BB124" s="13">
        <v>604.101806640625</v>
      </c>
      <c r="BC124" s="13">
        <v>807.07305908203125</v>
      </c>
      <c r="BD124" s="13">
        <v>2307.423828125</v>
      </c>
      <c r="BE124" s="13">
        <v>925.6492919921875</v>
      </c>
      <c r="BF124" s="13">
        <v>1063.495849609375</v>
      </c>
      <c r="BG124" s="13">
        <v>1927.427978515625</v>
      </c>
      <c r="BH124" s="13">
        <v>1148.3656005859375</v>
      </c>
      <c r="BI124" s="13">
        <v>775.36279296875</v>
      </c>
      <c r="BJ124" s="13">
        <v>953.1461181640625</v>
      </c>
      <c r="BK124" s="13">
        <v>456.83987426757812</v>
      </c>
      <c r="BL124" s="13">
        <v>905.6881103515625</v>
      </c>
      <c r="BM124" s="13">
        <v>1740.9283447265625</v>
      </c>
      <c r="BN124" s="13">
        <v>1046.6268310546875</v>
      </c>
      <c r="BO124" s="13">
        <v>798.22723388671875</v>
      </c>
      <c r="BP124" s="13">
        <v>1628.9869384765625</v>
      </c>
      <c r="BQ124" s="13"/>
      <c r="BR124" s="13"/>
    </row>
    <row r="125" spans="2:70" x14ac:dyDescent="0.2">
      <c r="B125">
        <v>1920</v>
      </c>
      <c r="C125" s="13">
        <v>2226.1279296875</v>
      </c>
      <c r="D125" s="13">
        <v>3501.155029296875</v>
      </c>
      <c r="E125" s="13">
        <v>6911.63427734375</v>
      </c>
      <c r="F125" s="13">
        <v>1969.8564453125</v>
      </c>
      <c r="G125" s="13">
        <v>1471.609130859375</v>
      </c>
      <c r="H125" s="13">
        <v>807.1580810546875</v>
      </c>
      <c r="I125" s="13">
        <v>558.3187255859375</v>
      </c>
      <c r="J125" s="13">
        <v>1024.351806640625</v>
      </c>
      <c r="K125" s="13">
        <v>984.90606689453125</v>
      </c>
      <c r="L125" s="13">
        <v>3733.740966796875</v>
      </c>
      <c r="M125" s="13">
        <v>6110.146484375</v>
      </c>
      <c r="N125" s="13">
        <v>3133.00390625</v>
      </c>
      <c r="O125" s="13">
        <v>4255.30908203125</v>
      </c>
      <c r="P125" s="13">
        <v>5867.486328125</v>
      </c>
      <c r="Q125" s="13">
        <v>5098.87353515625</v>
      </c>
      <c r="R125" s="13">
        <v>5978.12890625</v>
      </c>
      <c r="S125" s="13">
        <v>6314.7109375</v>
      </c>
      <c r="T125" s="13">
        <v>3891.967529296875</v>
      </c>
      <c r="U125" s="13">
        <v>4040.291259765625</v>
      </c>
      <c r="V125" s="13">
        <v>1696.80078125</v>
      </c>
      <c r="W125" s="13">
        <v>7545.94189453125</v>
      </c>
      <c r="X125" s="13">
        <v>4393.77783203125</v>
      </c>
      <c r="Y125" s="13">
        <v>6753.42724609375</v>
      </c>
      <c r="Z125" s="13">
        <v>6804.7412109375</v>
      </c>
      <c r="AA125" s="13">
        <v>1365.8931884765625</v>
      </c>
      <c r="AB125" s="13">
        <v>4121.56689453125</v>
      </c>
      <c r="AC125" s="13">
        <v>1606.791015625</v>
      </c>
      <c r="AD125" s="13">
        <v>2730.8232421875</v>
      </c>
      <c r="AE125" s="13">
        <v>797.60302734375</v>
      </c>
      <c r="AF125" s="13">
        <v>1469.175048828125</v>
      </c>
      <c r="AG125" s="13">
        <v>1223.3673095703125</v>
      </c>
      <c r="AH125" s="13">
        <v>1089.698974609375</v>
      </c>
      <c r="AI125" s="13">
        <v>2970.245361328125</v>
      </c>
      <c r="AJ125" s="13">
        <v>2096.4375</v>
      </c>
      <c r="AK125" s="13">
        <v>1132.9674072265625</v>
      </c>
      <c r="AL125" s="13">
        <v>972.5474853515625</v>
      </c>
      <c r="AM125" s="13">
        <v>2458.011474609375</v>
      </c>
      <c r="AN125" s="13">
        <v>905.96551513671875</v>
      </c>
      <c r="AO125" s="13">
        <v>2370.9326171875</v>
      </c>
      <c r="AP125" s="13">
        <v>1132.7786865234375</v>
      </c>
      <c r="AQ125" s="13">
        <v>627.33612060546875</v>
      </c>
      <c r="AR125" s="13">
        <v>576.0411376953125</v>
      </c>
      <c r="AS125" s="13">
        <v>1065.2413330078125</v>
      </c>
      <c r="AT125" s="13">
        <v>777.3262939453125</v>
      </c>
      <c r="AU125" s="13">
        <v>844.64141845703125</v>
      </c>
      <c r="AV125" s="13">
        <v>995.5347900390625</v>
      </c>
      <c r="AW125" s="13">
        <v>453.77322387695312</v>
      </c>
      <c r="AX125" s="13">
        <v>393.0517578125</v>
      </c>
      <c r="AY125" s="13">
        <v>1523.4310302734375</v>
      </c>
      <c r="AZ125" s="13">
        <v>373.3736572265625</v>
      </c>
      <c r="BA125" s="13">
        <v>716.4002685546875</v>
      </c>
      <c r="BB125" s="13">
        <v>582.246826171875</v>
      </c>
      <c r="BC125" s="13">
        <v>809.7021484375</v>
      </c>
      <c r="BD125" s="13">
        <v>2149.4033203125</v>
      </c>
      <c r="BE125" s="13">
        <v>969.729248046875</v>
      </c>
      <c r="BF125" s="13">
        <v>1044.7030029296875</v>
      </c>
      <c r="BG125" s="13">
        <v>1901.8450927734375</v>
      </c>
      <c r="BH125" s="13">
        <v>1143.745849609375</v>
      </c>
      <c r="BI125" s="13">
        <v>923.5836181640625</v>
      </c>
      <c r="BJ125" s="13">
        <v>928.18170166015625</v>
      </c>
      <c r="BK125" s="13">
        <v>443.15689086914062</v>
      </c>
      <c r="BL125" s="13">
        <v>902.044677734375</v>
      </c>
      <c r="BM125" s="13">
        <v>1849.779296875</v>
      </c>
      <c r="BN125" s="13">
        <v>1040.1527099609375</v>
      </c>
      <c r="BO125" s="13">
        <v>794.47991943359375</v>
      </c>
      <c r="BP125" s="13">
        <v>1774.1279296875</v>
      </c>
      <c r="BQ125" s="13"/>
      <c r="BR125" s="13"/>
    </row>
    <row r="126" spans="2:70" x14ac:dyDescent="0.2">
      <c r="B126">
        <v>1921</v>
      </c>
      <c r="C126" s="13">
        <v>2201.564453125</v>
      </c>
      <c r="D126" s="13">
        <v>3580.980712890625</v>
      </c>
      <c r="E126" s="13">
        <v>6498.0244140625</v>
      </c>
      <c r="F126" s="13">
        <v>1798.484130859375</v>
      </c>
      <c r="G126" s="13">
        <v>1506.786376953125</v>
      </c>
      <c r="H126" s="13">
        <v>829.3172607421875</v>
      </c>
      <c r="I126" s="13">
        <v>497.23324584960938</v>
      </c>
      <c r="J126" s="13">
        <v>1046.6763916015625</v>
      </c>
      <c r="K126" s="13">
        <v>933.51446533203125</v>
      </c>
      <c r="L126" s="13">
        <v>3898.81591796875</v>
      </c>
      <c r="M126" s="13">
        <v>5604.89013671875</v>
      </c>
      <c r="N126" s="13">
        <v>3500.694091796875</v>
      </c>
      <c r="O126" s="13">
        <v>4927.85791015625</v>
      </c>
      <c r="P126" s="13">
        <v>6088.55029296875</v>
      </c>
      <c r="Q126" s="13">
        <v>4329.04052734375</v>
      </c>
      <c r="R126" s="13">
        <v>6490.4267578125</v>
      </c>
      <c r="S126" s="13">
        <v>4738.92822265625</v>
      </c>
      <c r="T126" s="13">
        <v>3411.571044921875</v>
      </c>
      <c r="U126" s="13">
        <v>4133.69384765625</v>
      </c>
      <c r="V126" s="13">
        <v>1736.0936279296875</v>
      </c>
      <c r="W126" s="13">
        <v>7032.90771484375</v>
      </c>
      <c r="X126" s="13">
        <v>3914.564208984375</v>
      </c>
      <c r="Y126" s="13">
        <v>8063.38623046875</v>
      </c>
      <c r="Z126" s="13">
        <v>6189.943359375</v>
      </c>
      <c r="AA126" s="13">
        <v>1285.7669677734375</v>
      </c>
      <c r="AB126" s="13">
        <v>3509.994873046875</v>
      </c>
      <c r="AC126" s="13">
        <v>1319.323486328125</v>
      </c>
      <c r="AD126" s="13">
        <v>2393.30224609375</v>
      </c>
      <c r="AE126" s="13">
        <v>845.5198974609375</v>
      </c>
      <c r="AF126" s="13">
        <v>1721.5059814453125</v>
      </c>
      <c r="AG126" s="13">
        <v>1128.2333984375</v>
      </c>
      <c r="AH126" s="13">
        <v>1190.482177734375</v>
      </c>
      <c r="AI126" s="13">
        <v>2981.343017578125</v>
      </c>
      <c r="AJ126" s="13">
        <v>2088.659423828125</v>
      </c>
      <c r="AK126" s="13">
        <v>1156.829833984375</v>
      </c>
      <c r="AL126" s="13">
        <v>991.63873291015625</v>
      </c>
      <c r="AM126" s="13">
        <v>2545.10888671875</v>
      </c>
      <c r="AN126" s="13">
        <v>939.762451171875</v>
      </c>
      <c r="AO126" s="13">
        <v>2414.355224609375</v>
      </c>
      <c r="AP126" s="13">
        <v>1147.40771484375</v>
      </c>
      <c r="AQ126" s="13">
        <v>627.59210205078125</v>
      </c>
      <c r="AR126" s="13">
        <v>576.0743408203125</v>
      </c>
      <c r="AS126" s="13">
        <v>1104.1431884765625</v>
      </c>
      <c r="AT126" s="13">
        <v>779.42138671875</v>
      </c>
      <c r="AU126" s="13">
        <v>855.47265625</v>
      </c>
      <c r="AV126" s="13">
        <v>896.97369384765625</v>
      </c>
      <c r="AW126" s="13">
        <v>454.9962158203125</v>
      </c>
      <c r="AX126" s="13">
        <v>395.2733154296875</v>
      </c>
      <c r="AY126" s="13">
        <v>2320.99169921875</v>
      </c>
      <c r="AZ126" s="13">
        <v>365.13507080078125</v>
      </c>
      <c r="BA126" s="13">
        <v>638.3602294921875</v>
      </c>
      <c r="BB126" s="13">
        <v>518.8546142578125</v>
      </c>
      <c r="BC126" s="13">
        <v>812.68438720703125</v>
      </c>
      <c r="BD126" s="13">
        <v>2264.492431640625</v>
      </c>
      <c r="BE126" s="13">
        <v>1000.3703002929688</v>
      </c>
      <c r="BF126" s="13">
        <v>1078.3994140625</v>
      </c>
      <c r="BG126" s="13">
        <v>1939.5728759765625</v>
      </c>
      <c r="BH126" s="13">
        <v>1140.5003662109375</v>
      </c>
      <c r="BI126" s="13">
        <v>837.52215576171875</v>
      </c>
      <c r="BJ126" s="13">
        <v>926.42230224609375</v>
      </c>
      <c r="BK126" s="13">
        <v>430.39529418945312</v>
      </c>
      <c r="BL126" s="13">
        <v>899.4849853515625</v>
      </c>
      <c r="BM126" s="13">
        <v>1772.574951171875</v>
      </c>
      <c r="BN126" s="13">
        <v>1036.599365234375</v>
      </c>
      <c r="BO126" s="13">
        <v>792.693115234375</v>
      </c>
      <c r="BP126" s="13">
        <v>1690.912841796875</v>
      </c>
      <c r="BQ126" s="13"/>
      <c r="BR126" s="13"/>
    </row>
    <row r="127" spans="2:70" x14ac:dyDescent="0.2">
      <c r="B127">
        <v>1922</v>
      </c>
      <c r="C127" s="13">
        <v>2307.63330078125</v>
      </c>
      <c r="D127" s="13">
        <v>3753.521484375</v>
      </c>
      <c r="E127" s="13">
        <v>6858.7509765625</v>
      </c>
      <c r="F127" s="13">
        <v>1859.2291259765625</v>
      </c>
      <c r="G127" s="13">
        <v>1539.709228515625</v>
      </c>
      <c r="H127" s="13">
        <v>841.15704345703125</v>
      </c>
      <c r="I127" s="13">
        <v>596.04974365234375</v>
      </c>
      <c r="J127" s="13">
        <v>1057.0357666015625</v>
      </c>
      <c r="K127" s="13">
        <v>957.15728759765625</v>
      </c>
      <c r="L127" s="13">
        <v>4205.466796875</v>
      </c>
      <c r="M127" s="13">
        <v>5772.21044921875</v>
      </c>
      <c r="N127" s="13">
        <v>4044.886474609375</v>
      </c>
      <c r="O127" s="13">
        <v>5469.8349609375</v>
      </c>
      <c r="P127" s="13">
        <v>5909.119140625</v>
      </c>
      <c r="Q127" s="13">
        <v>4627.82861328125</v>
      </c>
      <c r="R127" s="13">
        <v>6894.4033203125</v>
      </c>
      <c r="S127" s="13">
        <v>5270.21240234375</v>
      </c>
      <c r="T127" s="13">
        <v>3490.09375</v>
      </c>
      <c r="U127" s="13">
        <v>4355.6015625</v>
      </c>
      <c r="V127" s="13">
        <v>1828.2490234375</v>
      </c>
      <c r="W127" s="13">
        <v>7446.736328125</v>
      </c>
      <c r="X127" s="13">
        <v>4362.33154296875</v>
      </c>
      <c r="Y127" s="13">
        <v>7958.65869140625</v>
      </c>
      <c r="Z127" s="13">
        <v>5770.35986328125</v>
      </c>
      <c r="AA127" s="13">
        <v>1347.6259765625</v>
      </c>
      <c r="AB127" s="13">
        <v>3948.162353515625</v>
      </c>
      <c r="AC127" s="13">
        <v>1381.397705078125</v>
      </c>
      <c r="AD127" s="13">
        <v>2424.251708984375</v>
      </c>
      <c r="AE127" s="13">
        <v>925.24896240234375</v>
      </c>
      <c r="AF127" s="13">
        <v>1486.6927490234375</v>
      </c>
      <c r="AG127" s="13">
        <v>1170.9854736328125</v>
      </c>
      <c r="AH127" s="13">
        <v>1299.453857421875</v>
      </c>
      <c r="AI127" s="13">
        <v>2983.86474609375</v>
      </c>
      <c r="AJ127" s="13">
        <v>2075.015869140625</v>
      </c>
      <c r="AK127" s="13">
        <v>1177.8487548828125</v>
      </c>
      <c r="AL127" s="13">
        <v>1009.9854736328125</v>
      </c>
      <c r="AM127" s="13">
        <v>2633.19384765625</v>
      </c>
      <c r="AN127" s="13">
        <v>974.056640625</v>
      </c>
      <c r="AO127" s="13">
        <v>2451.10888671875</v>
      </c>
      <c r="AP127" s="13">
        <v>1158.93359375</v>
      </c>
      <c r="AQ127" s="13">
        <v>626.06976318359375</v>
      </c>
      <c r="AR127" s="13">
        <v>575.4697265625</v>
      </c>
      <c r="AS127" s="13">
        <v>1143.1986083984375</v>
      </c>
      <c r="AT127" s="13">
        <v>780.6568603515625</v>
      </c>
      <c r="AU127" s="13">
        <v>865.4835205078125</v>
      </c>
      <c r="AV127" s="13">
        <v>883.8062744140625</v>
      </c>
      <c r="AW127" s="13">
        <v>455.71749877929688</v>
      </c>
      <c r="AX127" s="13">
        <v>397.06735229492188</v>
      </c>
      <c r="AY127" s="13">
        <v>2499.4794921875</v>
      </c>
      <c r="AZ127" s="13">
        <v>366.66558837890625</v>
      </c>
      <c r="BA127" s="13">
        <v>765.2322998046875</v>
      </c>
      <c r="BB127" s="13">
        <v>621.952880859375</v>
      </c>
      <c r="BC127" s="13">
        <v>815.04193115234375</v>
      </c>
      <c r="BD127" s="13">
        <v>2299.033935546875</v>
      </c>
      <c r="BE127" s="13">
        <v>1012.277587890625</v>
      </c>
      <c r="BF127" s="13">
        <v>1171.7047119140625</v>
      </c>
      <c r="BG127" s="13">
        <v>1959.577392578125</v>
      </c>
      <c r="BH127" s="13">
        <v>1134.706787109375</v>
      </c>
      <c r="BI127" s="13">
        <v>869.00018310546875</v>
      </c>
      <c r="BJ127" s="13">
        <v>922.90545654296875</v>
      </c>
      <c r="BK127" s="13">
        <v>441.31597900390625</v>
      </c>
      <c r="BL127" s="13">
        <v>894.91571044921875</v>
      </c>
      <c r="BM127" s="13">
        <v>1943.0706787109375</v>
      </c>
      <c r="BN127" s="13">
        <v>1027.6204833984375</v>
      </c>
      <c r="BO127" s="13">
        <v>794.03680419921875</v>
      </c>
      <c r="BP127" s="13">
        <v>1706.7393798828125</v>
      </c>
      <c r="BQ127" s="13"/>
      <c r="BR127" s="13"/>
    </row>
    <row r="128" spans="2:70" x14ac:dyDescent="0.2">
      <c r="B128">
        <v>1923</v>
      </c>
      <c r="C128" s="13">
        <v>2400.7841796875</v>
      </c>
      <c r="D128" s="13">
        <v>3703.52734375</v>
      </c>
      <c r="E128" s="13">
        <v>7492.6337890625</v>
      </c>
      <c r="F128" s="13">
        <v>2152.06396484375</v>
      </c>
      <c r="G128" s="13">
        <v>1574.201416015625</v>
      </c>
      <c r="H128" s="13">
        <v>823.44732666015625</v>
      </c>
      <c r="I128" s="13">
        <v>675.8564453125</v>
      </c>
      <c r="J128" s="13">
        <v>1064.9063720703125</v>
      </c>
      <c r="K128" s="13">
        <v>976.22235107421875</v>
      </c>
      <c r="L128" s="13">
        <v>3637.210693359375</v>
      </c>
      <c r="M128" s="13">
        <v>6100.08251953125</v>
      </c>
      <c r="N128" s="13">
        <v>4021.59716796875</v>
      </c>
      <c r="O128" s="13">
        <v>5461.91064453125</v>
      </c>
      <c r="P128" s="13">
        <v>5983.07080078125</v>
      </c>
      <c r="Q128" s="13">
        <v>4981.9345703125</v>
      </c>
      <c r="R128" s="13">
        <v>6688.8935546875</v>
      </c>
      <c r="S128" s="13">
        <v>5608.416015625</v>
      </c>
      <c r="T128" s="13">
        <v>3673.490478515625</v>
      </c>
      <c r="U128" s="13">
        <v>4299.95947265625</v>
      </c>
      <c r="V128" s="13">
        <v>1804.9561767578125</v>
      </c>
      <c r="W128" s="13">
        <v>8145.904296875</v>
      </c>
      <c r="X128" s="13">
        <v>4635.716796875</v>
      </c>
      <c r="Y128" s="13">
        <v>8582.9013671875</v>
      </c>
      <c r="Z128" s="13">
        <v>6137.4404296875</v>
      </c>
      <c r="AA128" s="13">
        <v>1484.0079345703125</v>
      </c>
      <c r="AB128" s="13">
        <v>4543.01220703125</v>
      </c>
      <c r="AC128" s="13">
        <v>1743.9376220703125</v>
      </c>
      <c r="AD128" s="13">
        <v>2866.796630859375</v>
      </c>
      <c r="AE128" s="13">
        <v>986.9365234375</v>
      </c>
      <c r="AF128" s="13">
        <v>1514.62939453125</v>
      </c>
      <c r="AG128" s="13">
        <v>1353.1824951171875</v>
      </c>
      <c r="AH128" s="13">
        <v>1419.6519775390625</v>
      </c>
      <c r="AI128" s="13">
        <v>2995.17919921875</v>
      </c>
      <c r="AJ128" s="13">
        <v>2067.435546875</v>
      </c>
      <c r="AK128" s="13">
        <v>1202.7252197265625</v>
      </c>
      <c r="AL128" s="13">
        <v>1029.8345947265625</v>
      </c>
      <c r="AM128" s="13">
        <v>2726.533203125</v>
      </c>
      <c r="AN128" s="13">
        <v>1010.4078369140625</v>
      </c>
      <c r="AO128" s="13">
        <v>2492.59423828125</v>
      </c>
      <c r="AP128" s="13">
        <v>1173.9676513671875</v>
      </c>
      <c r="AQ128" s="13">
        <v>626.361083984375</v>
      </c>
      <c r="AR128" s="13">
        <v>575.515625</v>
      </c>
      <c r="AS128" s="13">
        <v>1184.9736328125</v>
      </c>
      <c r="AT128" s="13">
        <v>782.7783203125</v>
      </c>
      <c r="AU128" s="13">
        <v>876.6015625</v>
      </c>
      <c r="AV128" s="13">
        <v>753.924072265625</v>
      </c>
      <c r="AW128" s="13">
        <v>456.95587158203125</v>
      </c>
      <c r="AX128" s="13">
        <v>399.32049560546875</v>
      </c>
      <c r="AY128" s="13">
        <v>2537.393310546875</v>
      </c>
      <c r="AZ128" s="13">
        <v>355.11270141601562</v>
      </c>
      <c r="BA128" s="13">
        <v>867.69921875</v>
      </c>
      <c r="BB128" s="13">
        <v>705.21429443359375</v>
      </c>
      <c r="BC128" s="13">
        <v>818.05499267578125</v>
      </c>
      <c r="BD128" s="13">
        <v>2321.445556640625</v>
      </c>
      <c r="BE128" s="13">
        <v>1020.8482666015625</v>
      </c>
      <c r="BF128" s="13">
        <v>1194.320556640625</v>
      </c>
      <c r="BG128" s="13">
        <v>1974.369384765625</v>
      </c>
      <c r="BH128" s="13">
        <v>1122.1417236328125</v>
      </c>
      <c r="BI128" s="13">
        <v>907.43310546875</v>
      </c>
      <c r="BJ128" s="13">
        <v>927.919921875</v>
      </c>
      <c r="BK128" s="13">
        <v>449.78765869140625</v>
      </c>
      <c r="BL128" s="13">
        <v>885.00592041015625</v>
      </c>
      <c r="BM128" s="13">
        <v>1789.748046875</v>
      </c>
      <c r="BN128" s="13">
        <v>1024.2197265625</v>
      </c>
      <c r="BO128" s="13">
        <v>799.03790283203125</v>
      </c>
      <c r="BP128" s="13">
        <v>1735.2247314453125</v>
      </c>
      <c r="BQ128" s="13"/>
      <c r="BR128" s="13"/>
    </row>
    <row r="129" spans="2:70" x14ac:dyDescent="0.2">
      <c r="B129">
        <v>1924</v>
      </c>
      <c r="C129" s="13">
        <v>2419.235107421875</v>
      </c>
      <c r="D129" s="13">
        <v>3752.353271484375</v>
      </c>
      <c r="E129" s="13">
        <v>7441.25341796875</v>
      </c>
      <c r="F129" s="13">
        <v>2181.08642578125</v>
      </c>
      <c r="G129" s="13">
        <v>1617.813720703125</v>
      </c>
      <c r="H129" s="13">
        <v>864.26287841796875</v>
      </c>
      <c r="I129" s="13">
        <v>785.77398681640625</v>
      </c>
      <c r="J129" s="13">
        <v>1080.0418701171875</v>
      </c>
      <c r="K129" s="13">
        <v>944.07989501953125</v>
      </c>
      <c r="L129" s="13">
        <v>4038.29931640625</v>
      </c>
      <c r="M129" s="13">
        <v>6239.86669921875</v>
      </c>
      <c r="N129" s="13">
        <v>3948.393310546875</v>
      </c>
      <c r="O129" s="13">
        <v>5443.55615234375</v>
      </c>
      <c r="P129" s="13">
        <v>5953.60302734375</v>
      </c>
      <c r="Q129" s="13">
        <v>4857.68896484375</v>
      </c>
      <c r="R129" s="13">
        <v>6920.5234375</v>
      </c>
      <c r="S129" s="13">
        <v>5721.220703125</v>
      </c>
      <c r="T129" s="13">
        <v>3774.08349609375</v>
      </c>
      <c r="U129" s="13">
        <v>4352.55615234375</v>
      </c>
      <c r="V129" s="13">
        <v>1827.606689453125</v>
      </c>
      <c r="W129" s="13">
        <v>8081.07763671875</v>
      </c>
      <c r="X129" s="13">
        <v>4606.40185546875</v>
      </c>
      <c r="Y129" s="13">
        <v>8633.6640625</v>
      </c>
      <c r="Z129" s="13">
        <v>6181.86279296875</v>
      </c>
      <c r="AA129" s="13">
        <v>1475.831298828125</v>
      </c>
      <c r="AB129" s="13">
        <v>4950.93408203125</v>
      </c>
      <c r="AC129" s="13">
        <v>1653.1318359375</v>
      </c>
      <c r="AD129" s="13">
        <v>3047.861572265625</v>
      </c>
      <c r="AE129" s="13">
        <v>1093.785888671875</v>
      </c>
      <c r="AF129" s="13">
        <v>1344.9931640625</v>
      </c>
      <c r="AG129" s="13">
        <v>1384.197021484375</v>
      </c>
      <c r="AH129" s="13">
        <v>1551.60986328125</v>
      </c>
      <c r="AI129" s="13">
        <v>3010.724609375</v>
      </c>
      <c r="AJ129" s="13">
        <v>2062.701904296875</v>
      </c>
      <c r="AK129" s="13">
        <v>1229.8077392578125</v>
      </c>
      <c r="AL129" s="13">
        <v>1050.6346435546875</v>
      </c>
      <c r="AM129" s="13">
        <v>2824.260009765625</v>
      </c>
      <c r="AN129" s="13">
        <v>1096.8515625</v>
      </c>
      <c r="AO129" s="13">
        <v>2553.164794921875</v>
      </c>
      <c r="AP129" s="13">
        <v>1190.82421875</v>
      </c>
      <c r="AQ129" s="13">
        <v>627.51007080078125</v>
      </c>
      <c r="AR129" s="13">
        <v>575.8690185546875</v>
      </c>
      <c r="AS129" s="13">
        <v>1228.9312744140625</v>
      </c>
      <c r="AT129" s="13">
        <v>785.32470703125</v>
      </c>
      <c r="AU129" s="13">
        <v>888.3365478515625</v>
      </c>
      <c r="AV129" s="13">
        <v>897.36358642578125</v>
      </c>
      <c r="AW129" s="13">
        <v>458.4423828125</v>
      </c>
      <c r="AX129" s="13">
        <v>401.80096435546875</v>
      </c>
      <c r="AY129" s="13">
        <v>2577.638427734375</v>
      </c>
      <c r="AZ129" s="13">
        <v>377.24810791015625</v>
      </c>
      <c r="BA129" s="13">
        <v>1008.8170166015625</v>
      </c>
      <c r="BB129" s="13">
        <v>819.90643310546875</v>
      </c>
      <c r="BC129" s="13">
        <v>821.3863525390625</v>
      </c>
      <c r="BD129" s="13">
        <v>2410.605712890625</v>
      </c>
      <c r="BE129" s="13">
        <v>964.91729736328125</v>
      </c>
      <c r="BF129" s="13">
        <v>1300.8497314453125</v>
      </c>
      <c r="BG129" s="13">
        <v>1997.193359375</v>
      </c>
      <c r="BH129" s="13">
        <v>1129.6036376953125</v>
      </c>
      <c r="BI129" s="13">
        <v>827.48114013671875</v>
      </c>
      <c r="BJ129" s="13">
        <v>971.75848388671875</v>
      </c>
      <c r="BK129" s="13">
        <v>466.6376953125</v>
      </c>
      <c r="BL129" s="13">
        <v>890.8909912109375</v>
      </c>
      <c r="BM129" s="13">
        <v>1918.8240966796875</v>
      </c>
      <c r="BN129" s="13">
        <v>1023.431396484375</v>
      </c>
      <c r="BO129" s="13">
        <v>798.56597900390625</v>
      </c>
      <c r="BP129" s="13">
        <v>1676.0843505859375</v>
      </c>
      <c r="BQ129" s="13"/>
      <c r="BR129" s="13"/>
    </row>
    <row r="130" spans="2:70" x14ac:dyDescent="0.2">
      <c r="B130">
        <v>1925</v>
      </c>
      <c r="C130" s="13">
        <v>2489.6083984375</v>
      </c>
      <c r="D130" s="13">
        <v>3898.003173828125</v>
      </c>
      <c r="E130" s="13">
        <v>7490.17041015625</v>
      </c>
      <c r="F130" s="13">
        <v>2301.19921875</v>
      </c>
      <c r="G130" s="13">
        <v>1649.5982666015625</v>
      </c>
      <c r="H130" s="13">
        <v>892.9859619140625</v>
      </c>
      <c r="I130" s="13">
        <v>925.54364013671875</v>
      </c>
      <c r="J130" s="13">
        <v>1091.7860107421875</v>
      </c>
      <c r="K130" s="13">
        <v>1006.4805297851562</v>
      </c>
      <c r="L130" s="13">
        <v>4274.4619140625</v>
      </c>
      <c r="M130" s="13">
        <v>5920.3828125</v>
      </c>
      <c r="N130" s="13">
        <v>4124.384765625</v>
      </c>
      <c r="O130" s="13">
        <v>5568.939453125</v>
      </c>
      <c r="P130" s="13">
        <v>6088.40771484375</v>
      </c>
      <c r="Q130" s="13">
        <v>5339.0830078125</v>
      </c>
      <c r="R130" s="13">
        <v>7031.91748046875</v>
      </c>
      <c r="S130" s="13">
        <v>5640.53466796875</v>
      </c>
      <c r="T130" s="13">
        <v>3823.017578125</v>
      </c>
      <c r="U130" s="13">
        <v>4531.20166015625</v>
      </c>
      <c r="V130" s="13">
        <v>1901.9798583984375</v>
      </c>
      <c r="W130" s="13">
        <v>8084.31640625</v>
      </c>
      <c r="X130" s="13">
        <v>4969.427734375</v>
      </c>
      <c r="Y130" s="13">
        <v>9224.2734375</v>
      </c>
      <c r="Z130" s="13">
        <v>6310.23046875</v>
      </c>
      <c r="AA130" s="13">
        <v>1486.8017578125</v>
      </c>
      <c r="AB130" s="13">
        <v>5142.85791015625</v>
      </c>
      <c r="AC130" s="13">
        <v>1790.5570068359375</v>
      </c>
      <c r="AD130" s="13">
        <v>3108.5361328125</v>
      </c>
      <c r="AE130" s="13">
        <v>1198.9801025390625</v>
      </c>
      <c r="AF130" s="13">
        <v>1429.420654296875</v>
      </c>
      <c r="AG130" s="13">
        <v>1440.2293701171875</v>
      </c>
      <c r="AH130" s="13">
        <v>1694.1678466796875</v>
      </c>
      <c r="AI130" s="13">
        <v>3016.274658203125</v>
      </c>
      <c r="AJ130" s="13">
        <v>2051.249755859375</v>
      </c>
      <c r="AK130" s="13">
        <v>1148.0904541015625</v>
      </c>
      <c r="AL130" s="13">
        <v>1070.485107421875</v>
      </c>
      <c r="AM130" s="13">
        <v>2922.8154296875</v>
      </c>
      <c r="AN130" s="13">
        <v>1212.648681640625</v>
      </c>
      <c r="AO130" s="13">
        <v>2591.220703125</v>
      </c>
      <c r="AP130" s="13">
        <v>1203.972900390625</v>
      </c>
      <c r="AQ130" s="13">
        <v>626.60552978515625</v>
      </c>
      <c r="AR130" s="13">
        <v>575.4862060546875</v>
      </c>
      <c r="AS130" s="13">
        <v>1272.8909912109375</v>
      </c>
      <c r="AT130" s="13">
        <v>786.8726806640625</v>
      </c>
      <c r="AU130" s="13">
        <v>899.0782470703125</v>
      </c>
      <c r="AV130" s="13">
        <v>931.12774658203125</v>
      </c>
      <c r="AW130" s="13">
        <v>459.34600830078125</v>
      </c>
      <c r="AX130" s="13">
        <v>403.78009033203125</v>
      </c>
      <c r="AY130" s="13">
        <v>2742.849365234375</v>
      </c>
      <c r="AZ130" s="13">
        <v>390.18942260742188</v>
      </c>
      <c r="BA130" s="13">
        <v>1188.260498046875</v>
      </c>
      <c r="BB130" s="13">
        <v>965.7474365234375</v>
      </c>
      <c r="BC130" s="13">
        <v>823.99468994140625</v>
      </c>
      <c r="BD130" s="13">
        <v>2457.375732421875</v>
      </c>
      <c r="BE130" s="13">
        <v>996.6484375</v>
      </c>
      <c r="BF130" s="13">
        <v>1353.3819580078125</v>
      </c>
      <c r="BG130" s="13">
        <v>1996.62109375</v>
      </c>
      <c r="BH130" s="13">
        <v>1124.7454833984375</v>
      </c>
      <c r="BI130" s="13">
        <v>916.60211181640625</v>
      </c>
      <c r="BJ130" s="13">
        <v>1039.6351318359375</v>
      </c>
      <c r="BK130" s="13">
        <v>478.85263061523438</v>
      </c>
      <c r="BL130" s="13">
        <v>887.05938720703125</v>
      </c>
      <c r="BM130" s="13">
        <v>1894.671875</v>
      </c>
      <c r="BN130" s="13">
        <v>1016.4287109375</v>
      </c>
      <c r="BO130" s="13">
        <v>794.937744140625</v>
      </c>
      <c r="BP130" s="13">
        <v>1790.9747314453125</v>
      </c>
      <c r="BQ130" s="13"/>
      <c r="BR130" s="13"/>
    </row>
    <row r="131" spans="2:70" x14ac:dyDescent="0.2">
      <c r="B131">
        <v>1926</v>
      </c>
      <c r="C131" s="13">
        <v>2525.411865234375</v>
      </c>
      <c r="D131" s="13">
        <v>3907.614501953125</v>
      </c>
      <c r="E131" s="13">
        <v>7721.83203125</v>
      </c>
      <c r="F131" s="13">
        <v>2135.109619140625</v>
      </c>
      <c r="G131" s="13">
        <v>1726.58984375</v>
      </c>
      <c r="H131" s="13">
        <v>936.70513916015625</v>
      </c>
      <c r="I131" s="13">
        <v>1052.3409423828125</v>
      </c>
      <c r="J131" s="13">
        <v>1089.8494873046875</v>
      </c>
      <c r="K131" s="13">
        <v>1004.39599609375</v>
      </c>
      <c r="L131" s="13">
        <v>4342.744140625</v>
      </c>
      <c r="M131" s="13">
        <v>6193.87158203125</v>
      </c>
      <c r="N131" s="13">
        <v>4323.10791015625</v>
      </c>
      <c r="O131" s="13">
        <v>5279.36865234375</v>
      </c>
      <c r="P131" s="13">
        <v>6204.021484375</v>
      </c>
      <c r="Q131" s="13">
        <v>5290.85302734375</v>
      </c>
      <c r="R131" s="13">
        <v>7393.4267578125</v>
      </c>
      <c r="S131" s="13">
        <v>5440.9482421875</v>
      </c>
      <c r="T131" s="13">
        <v>3962.34130859375</v>
      </c>
      <c r="U131" s="13">
        <v>4551.83154296875</v>
      </c>
      <c r="V131" s="13">
        <v>1910.6505126953125</v>
      </c>
      <c r="W131" s="13">
        <v>8381.9833984375</v>
      </c>
      <c r="X131" s="13">
        <v>5175.392578125</v>
      </c>
      <c r="Y131" s="13">
        <v>8619.0166015625</v>
      </c>
      <c r="Z131" s="13">
        <v>5849.64453125</v>
      </c>
      <c r="AA131" s="13">
        <v>1542.6607666015625</v>
      </c>
      <c r="AB131" s="13">
        <v>4897.576171875</v>
      </c>
      <c r="AC131" s="13">
        <v>1465.698486328125</v>
      </c>
      <c r="AD131" s="13">
        <v>2980.599853515625</v>
      </c>
      <c r="AE131" s="13">
        <v>1421.521240234375</v>
      </c>
      <c r="AF131" s="13">
        <v>1423.7454833984375</v>
      </c>
      <c r="AG131" s="13">
        <v>1334.674072265625</v>
      </c>
      <c r="AH131" s="13">
        <v>1850.7869873046875</v>
      </c>
      <c r="AI131" s="13">
        <v>3027.18896484375</v>
      </c>
      <c r="AJ131" s="13">
        <v>2043.4122314453125</v>
      </c>
      <c r="AK131" s="13">
        <v>1172.2376708984375</v>
      </c>
      <c r="AL131" s="13">
        <v>1091.4515380859375</v>
      </c>
      <c r="AM131" s="13">
        <v>3026.27587890625</v>
      </c>
      <c r="AN131" s="13">
        <v>1397.7454833984375</v>
      </c>
      <c r="AO131" s="13">
        <v>2702.490478515625</v>
      </c>
      <c r="AP131" s="13">
        <v>1219.385986328125</v>
      </c>
      <c r="AQ131" s="13">
        <v>626.79156494140625</v>
      </c>
      <c r="AR131" s="13">
        <v>575.49432373046875</v>
      </c>
      <c r="AS131" s="13">
        <v>1319.3187255859375</v>
      </c>
      <c r="AT131" s="13">
        <v>788.95916748046875</v>
      </c>
      <c r="AU131" s="13">
        <v>910.56805419921875</v>
      </c>
      <c r="AV131" s="13">
        <v>1075.153564453125</v>
      </c>
      <c r="AW131" s="13">
        <v>460.56405639648438</v>
      </c>
      <c r="AX131" s="13">
        <v>406.04470825195312</v>
      </c>
      <c r="AY131" s="13">
        <v>2812.839599609375</v>
      </c>
      <c r="AZ131" s="13">
        <v>413.3970947265625</v>
      </c>
      <c r="BA131" s="13">
        <v>1351.0494384765625</v>
      </c>
      <c r="BB131" s="13">
        <v>1098.052734375</v>
      </c>
      <c r="BC131" s="13">
        <v>827.00341796875</v>
      </c>
      <c r="BD131" s="13">
        <v>2382.20361328125</v>
      </c>
      <c r="BE131" s="13">
        <v>1037.1121826171875</v>
      </c>
      <c r="BF131" s="13">
        <v>1350.0870361328125</v>
      </c>
      <c r="BG131" s="13">
        <v>2007.4517822265625</v>
      </c>
      <c r="BH131" s="13">
        <v>1121.454833984375</v>
      </c>
      <c r="BI131" s="13">
        <v>899.23626708984375</v>
      </c>
      <c r="BJ131" s="13">
        <v>1074.562255859375</v>
      </c>
      <c r="BK131" s="13">
        <v>492.06594848632812</v>
      </c>
      <c r="BL131" s="13">
        <v>884.46429443359375</v>
      </c>
      <c r="BM131" s="13">
        <v>1953.122314453125</v>
      </c>
      <c r="BN131" s="13">
        <v>1021.543212890625</v>
      </c>
      <c r="BO131" s="13">
        <v>792.99322509765625</v>
      </c>
      <c r="BP131" s="13">
        <v>1781.5673828125</v>
      </c>
      <c r="BQ131" s="13"/>
      <c r="BR131" s="13"/>
    </row>
    <row r="132" spans="2:70" x14ac:dyDescent="0.2">
      <c r="B132">
        <v>1927</v>
      </c>
      <c r="C132" s="13">
        <v>2524.141357421875</v>
      </c>
      <c r="D132" s="13">
        <v>3947.049072265625</v>
      </c>
      <c r="E132" s="13">
        <v>7609.34765625</v>
      </c>
      <c r="F132" s="13">
        <v>2143.9931640625</v>
      </c>
      <c r="G132" s="13">
        <v>1696.764892578125</v>
      </c>
      <c r="H132" s="13">
        <v>928.7230224609375</v>
      </c>
      <c r="I132" s="13">
        <v>1083.1512451171875</v>
      </c>
      <c r="J132" s="13">
        <v>1087.544677734375</v>
      </c>
      <c r="K132" s="13">
        <v>1006.0833129882812</v>
      </c>
      <c r="L132" s="13">
        <v>4632.4150390625</v>
      </c>
      <c r="M132" s="13">
        <v>6138.4794921875</v>
      </c>
      <c r="N132" s="13">
        <v>4701.97314453125</v>
      </c>
      <c r="O132" s="13">
        <v>5214.57763671875</v>
      </c>
      <c r="P132" s="13">
        <v>6257.318359375</v>
      </c>
      <c r="Q132" s="13">
        <v>5051.494140625</v>
      </c>
      <c r="R132" s="13">
        <v>7519.7998046875</v>
      </c>
      <c r="S132" s="13">
        <v>5449.8974609375</v>
      </c>
      <c r="T132" s="13">
        <v>4061.365234375</v>
      </c>
      <c r="U132" s="13">
        <v>4602.52392578125</v>
      </c>
      <c r="V132" s="13">
        <v>1931.9263916015625</v>
      </c>
      <c r="W132" s="13">
        <v>8237.453125</v>
      </c>
      <c r="X132" s="13">
        <v>5374.2587890625</v>
      </c>
      <c r="Y132" s="13">
        <v>8630.3583984375</v>
      </c>
      <c r="Z132" s="13">
        <v>5585.30615234375</v>
      </c>
      <c r="AA132" s="13">
        <v>1521.65771484375</v>
      </c>
      <c r="AB132" s="13">
        <v>4997.40625</v>
      </c>
      <c r="AC132" s="13">
        <v>1515.8822021484375</v>
      </c>
      <c r="AD132" s="13">
        <v>2880.9599609375</v>
      </c>
      <c r="AE132" s="13">
        <v>1463.219970703125</v>
      </c>
      <c r="AF132" s="13">
        <v>1267.285400390625</v>
      </c>
      <c r="AG132" s="13">
        <v>1343.3232421875</v>
      </c>
      <c r="AH132" s="13">
        <v>2021.8590087890625</v>
      </c>
      <c r="AI132" s="13">
        <v>3038.00341796875</v>
      </c>
      <c r="AJ132" s="13">
        <v>2035.5142822265625</v>
      </c>
      <c r="AK132" s="13">
        <v>1196.71875</v>
      </c>
      <c r="AL132" s="13">
        <v>1112.809326171875</v>
      </c>
      <c r="AM132" s="13">
        <v>3133.35888671875</v>
      </c>
      <c r="AN132" s="13">
        <v>1262.2159423828125</v>
      </c>
      <c r="AO132" s="13">
        <v>2656.498046875</v>
      </c>
      <c r="AP132" s="13">
        <v>1234.9415283203125</v>
      </c>
      <c r="AQ132" s="13">
        <v>626.9498291015625</v>
      </c>
      <c r="AR132" s="13">
        <v>575.4925537109375</v>
      </c>
      <c r="AS132" s="13">
        <v>1533.9141845703125</v>
      </c>
      <c r="AT132" s="13">
        <v>791.03753662109375</v>
      </c>
      <c r="AU132" s="13">
        <v>922.1885986328125</v>
      </c>
      <c r="AV132" s="13">
        <v>948.32269287109375</v>
      </c>
      <c r="AW132" s="13">
        <v>461.77731323242188</v>
      </c>
      <c r="AX132" s="13">
        <v>408.3148193359375</v>
      </c>
      <c r="AY132" s="13">
        <v>2865</v>
      </c>
      <c r="AZ132" s="13">
        <v>406.3636474609375</v>
      </c>
      <c r="BA132" s="13">
        <v>1390.605224609375</v>
      </c>
      <c r="BB132" s="13">
        <v>1130.201171875</v>
      </c>
      <c r="BC132" s="13">
        <v>830.01318359375</v>
      </c>
      <c r="BD132" s="13">
        <v>2329.14990234375</v>
      </c>
      <c r="BE132" s="13">
        <v>1092.828369140625</v>
      </c>
      <c r="BF132" s="13">
        <v>1337.94677734375</v>
      </c>
      <c r="BG132" s="13">
        <v>2000.5234375</v>
      </c>
      <c r="BH132" s="13">
        <v>1118.134521484375</v>
      </c>
      <c r="BI132" s="13">
        <v>883.07379150390625</v>
      </c>
      <c r="BJ132" s="13">
        <v>1134.7613525390625</v>
      </c>
      <c r="BK132" s="13">
        <v>502.2469482421875</v>
      </c>
      <c r="BL132" s="13">
        <v>881.8455810546875</v>
      </c>
      <c r="BM132" s="13">
        <v>1955.8048095703125</v>
      </c>
      <c r="BN132" s="13">
        <v>1017.7609252929688</v>
      </c>
      <c r="BO132" s="13">
        <v>791.01092529296875</v>
      </c>
      <c r="BP132" s="13">
        <v>1780.24853515625</v>
      </c>
      <c r="BQ132" s="13"/>
      <c r="BR132" s="13"/>
    </row>
    <row r="133" spans="2:70" x14ac:dyDescent="0.2">
      <c r="B133">
        <v>1928</v>
      </c>
      <c r="C133" s="13">
        <v>2617.575927734375</v>
      </c>
      <c r="D133" s="13">
        <v>4142.5126953125</v>
      </c>
      <c r="E133" s="13">
        <v>7711.9375</v>
      </c>
      <c r="F133" s="13">
        <v>2487.466552734375</v>
      </c>
      <c r="G133" s="13">
        <v>1751.2906494140625</v>
      </c>
      <c r="H133" s="13">
        <v>971.2977294921875</v>
      </c>
      <c r="I133" s="13">
        <v>1117.53759765625</v>
      </c>
      <c r="J133" s="13">
        <v>1118.91845703125</v>
      </c>
      <c r="K133" s="13">
        <v>1053.9869384765625</v>
      </c>
      <c r="L133" s="13">
        <v>4800.91259765625</v>
      </c>
      <c r="M133" s="13">
        <v>6239.23583984375</v>
      </c>
      <c r="N133" s="13">
        <v>4409.3125</v>
      </c>
      <c r="O133" s="13">
        <v>5651.32470703125</v>
      </c>
      <c r="P133" s="13">
        <v>6666.0390625</v>
      </c>
      <c r="Q133" s="13">
        <v>5470.58740234375</v>
      </c>
      <c r="R133" s="13">
        <v>7698.10302734375</v>
      </c>
      <c r="S133" s="13">
        <v>5833.7392578125</v>
      </c>
      <c r="T133" s="13">
        <v>4152.72216796875</v>
      </c>
      <c r="U133" s="13">
        <v>4830.3115234375</v>
      </c>
      <c r="V133" s="13">
        <v>2028.0926513671875</v>
      </c>
      <c r="W133" s="13">
        <v>8339.154296875</v>
      </c>
      <c r="X133" s="13">
        <v>5721.63671875</v>
      </c>
      <c r="Y133" s="13">
        <v>8474.22265625</v>
      </c>
      <c r="Z133" s="13">
        <v>6171.9765625</v>
      </c>
      <c r="AA133" s="13">
        <v>1540.0594482421875</v>
      </c>
      <c r="AB133" s="13">
        <v>5709.22412109375</v>
      </c>
      <c r="AC133" s="13">
        <v>1880.4735107421875</v>
      </c>
      <c r="AD133" s="13">
        <v>3572.9482421875</v>
      </c>
      <c r="AE133" s="13">
        <v>1698.066162109375</v>
      </c>
      <c r="AF133" s="13">
        <v>1236.0546875</v>
      </c>
      <c r="AG133" s="13">
        <v>1579.5069580078125</v>
      </c>
      <c r="AH133" s="13">
        <v>2209.67626953125</v>
      </c>
      <c r="AI133" s="13">
        <v>3053.2724609375</v>
      </c>
      <c r="AJ133" s="13">
        <v>2030.5240478515625</v>
      </c>
      <c r="AK133" s="13">
        <v>1227.388427734375</v>
      </c>
      <c r="AL133" s="13">
        <v>1135.2132568359375</v>
      </c>
      <c r="AM133" s="13">
        <v>3245.513671875</v>
      </c>
      <c r="AN133" s="13">
        <v>1377.034423828125</v>
      </c>
      <c r="AO133" s="13">
        <v>2734.77490234375</v>
      </c>
      <c r="AP133" s="13">
        <v>1252.47021484375</v>
      </c>
      <c r="AQ133" s="13">
        <v>627.99798583984375</v>
      </c>
      <c r="AR133" s="13">
        <v>575.809326171875</v>
      </c>
      <c r="AS133" s="13">
        <v>1434.6337890625</v>
      </c>
      <c r="AT133" s="13">
        <v>793.5604248046875</v>
      </c>
      <c r="AU133" s="13">
        <v>934.47454833984375</v>
      </c>
      <c r="AV133" s="13">
        <v>1043.661376953125</v>
      </c>
      <c r="AW133" s="13">
        <v>463.25009155273438</v>
      </c>
      <c r="AX133" s="13">
        <v>410.82501220703125</v>
      </c>
      <c r="AY133" s="13">
        <v>3083.146240234375</v>
      </c>
      <c r="AZ133" s="13">
        <v>427.17529296875</v>
      </c>
      <c r="BA133" s="13">
        <v>1434.752197265625</v>
      </c>
      <c r="BB133" s="13">
        <v>1166.0811767578125</v>
      </c>
      <c r="BC133" s="13">
        <v>833.35546875</v>
      </c>
      <c r="BD133" s="13">
        <v>2513.234130859375</v>
      </c>
      <c r="BE133" s="13">
        <v>1021.101318359375</v>
      </c>
      <c r="BF133" s="13">
        <v>1354.132568359375</v>
      </c>
      <c r="BG133" s="13">
        <v>2049.678466796875</v>
      </c>
      <c r="BH133" s="13">
        <v>1116.0789794921875</v>
      </c>
      <c r="BI133" s="13">
        <v>945.81048583984375</v>
      </c>
      <c r="BJ133" s="13">
        <v>1182.502685546875</v>
      </c>
      <c r="BK133" s="13">
        <v>513.21575927734375</v>
      </c>
      <c r="BL133" s="13">
        <v>880.2244873046875</v>
      </c>
      <c r="BM133" s="13">
        <v>1995.7685546875</v>
      </c>
      <c r="BN133" s="13">
        <v>1016.3544311523438</v>
      </c>
      <c r="BO133" s="13">
        <v>783.93280029296875</v>
      </c>
      <c r="BP133" s="13">
        <v>1867.75390625</v>
      </c>
      <c r="BQ133" s="13"/>
      <c r="BR133" s="13"/>
    </row>
    <row r="134" spans="2:70" x14ac:dyDescent="0.2">
      <c r="B134">
        <v>1929</v>
      </c>
      <c r="C134" s="13">
        <v>2644.8671875</v>
      </c>
      <c r="D134" s="13">
        <v>4174.92138671875</v>
      </c>
      <c r="E134" s="13">
        <v>7900.2333984375</v>
      </c>
      <c r="F134" s="13">
        <v>2301.547119140625</v>
      </c>
      <c r="G134" s="13">
        <v>1830.7919921875</v>
      </c>
      <c r="H134" s="13">
        <v>961.8648681640625</v>
      </c>
      <c r="I134" s="13">
        <v>1133.8226318359375</v>
      </c>
      <c r="J134" s="13">
        <v>1127.2462158203125</v>
      </c>
      <c r="K134" s="13">
        <v>1051.1822509765625</v>
      </c>
      <c r="L134" s="13">
        <v>4694.58154296875</v>
      </c>
      <c r="M134" s="13">
        <v>6690.61279296875</v>
      </c>
      <c r="N134" s="13">
        <v>4582.91845703125</v>
      </c>
      <c r="O134" s="13">
        <v>5689.4482421875</v>
      </c>
      <c r="P134" s="13">
        <v>6795.9951171875</v>
      </c>
      <c r="Q134" s="13">
        <v>5458.1123046875</v>
      </c>
      <c r="R134" s="13">
        <v>7832.6533203125</v>
      </c>
      <c r="S134" s="13">
        <v>6268.76318359375</v>
      </c>
      <c r="T134" s="13">
        <v>4407.81201171875</v>
      </c>
      <c r="U134" s="13">
        <v>4878.64453125</v>
      </c>
      <c r="V134" s="13">
        <v>2048.166259765625</v>
      </c>
      <c r="W134" s="13">
        <v>8582.7255859375</v>
      </c>
      <c r="X134" s="13">
        <v>5622.9033203125</v>
      </c>
      <c r="Y134" s="13">
        <v>8226.3408203125</v>
      </c>
      <c r="Z134" s="13">
        <v>6302.08203125</v>
      </c>
      <c r="AA134" s="13">
        <v>1595.9462890625</v>
      </c>
      <c r="AB134" s="13">
        <v>5034.609375</v>
      </c>
      <c r="AC134" s="13">
        <v>1807.8916015625</v>
      </c>
      <c r="AD134" s="13">
        <v>3614.2109375</v>
      </c>
      <c r="AE134" s="13">
        <v>1515.1455078125</v>
      </c>
      <c r="AF134" s="13">
        <v>1144.896240234375</v>
      </c>
      <c r="AG134" s="13">
        <v>1459.5147705078125</v>
      </c>
      <c r="AH134" s="13">
        <v>2413.54638671875</v>
      </c>
      <c r="AI134" s="13">
        <v>3062.58203125</v>
      </c>
      <c r="AJ134" s="13">
        <v>2021.643798828125</v>
      </c>
      <c r="AK134" s="13">
        <v>1250.9339599609375</v>
      </c>
      <c r="AL134" s="13">
        <v>1157.1966552734375</v>
      </c>
      <c r="AM134" s="13">
        <v>3359.86865234375</v>
      </c>
      <c r="AN134" s="13">
        <v>1572.0836181640625</v>
      </c>
      <c r="AO134" s="13">
        <v>2849.303955078125</v>
      </c>
      <c r="AP134" s="13">
        <v>1267.8004150390625</v>
      </c>
      <c r="AQ134" s="13">
        <v>627.83599853515625</v>
      </c>
      <c r="AR134" s="13">
        <v>575.6927490234375</v>
      </c>
      <c r="AS134" s="13">
        <v>1230.42578125</v>
      </c>
      <c r="AT134" s="13">
        <v>795.49237060546875</v>
      </c>
      <c r="AU134" s="13">
        <v>946.211669921875</v>
      </c>
      <c r="AV134" s="13">
        <v>1061.0166015625</v>
      </c>
      <c r="AW134" s="13">
        <v>464.37786865234375</v>
      </c>
      <c r="AX134" s="13">
        <v>413.03970336914062</v>
      </c>
      <c r="AY134" s="13">
        <v>3006.9755859375</v>
      </c>
      <c r="AZ134" s="13">
        <v>423.49627685546875</v>
      </c>
      <c r="BA134" s="13">
        <v>1455.65966796875</v>
      </c>
      <c r="BB134" s="13">
        <v>1183.0736083984375</v>
      </c>
      <c r="BC134" s="13">
        <v>836.27142333984375</v>
      </c>
      <c r="BD134" s="13">
        <v>2540.815185546875</v>
      </c>
      <c r="BE134" s="13">
        <v>1022.9581298828125</v>
      </c>
      <c r="BF134" s="13">
        <v>1391.8724365234375</v>
      </c>
      <c r="BG134" s="13">
        <v>2070.201904296875</v>
      </c>
      <c r="BH134" s="13">
        <v>1112.323974609375</v>
      </c>
      <c r="BI134" s="13">
        <v>932.70953369140625</v>
      </c>
      <c r="BJ134" s="13">
        <v>1211.865966796875</v>
      </c>
      <c r="BK134" s="13">
        <v>523.62225341796875</v>
      </c>
      <c r="BL134" s="13">
        <v>877.26287841796875</v>
      </c>
      <c r="BM134" s="13">
        <v>2024.6153564453125</v>
      </c>
      <c r="BN134" s="13">
        <v>1020.2598266601562</v>
      </c>
      <c r="BO134" s="13">
        <v>781.4039306640625</v>
      </c>
      <c r="BP134" s="13">
        <v>1857.75048828125</v>
      </c>
      <c r="BQ134" s="13"/>
      <c r="BR134" s="13"/>
    </row>
    <row r="135" spans="2:70" x14ac:dyDescent="0.2">
      <c r="B135">
        <v>1930</v>
      </c>
      <c r="C135" s="13">
        <v>2500.805419921875</v>
      </c>
      <c r="D135" s="13">
        <v>4057.826171875</v>
      </c>
      <c r="E135" s="13">
        <v>7082.30126953125</v>
      </c>
      <c r="F135" s="13">
        <v>2087.088134765625</v>
      </c>
      <c r="G135" s="13">
        <v>1869.674560546875</v>
      </c>
      <c r="H135" s="13">
        <v>946.86981201171875</v>
      </c>
      <c r="I135" s="13">
        <v>1173.8814697265625</v>
      </c>
      <c r="J135" s="13">
        <v>1104.4671630859375</v>
      </c>
      <c r="K135" s="13">
        <v>1028.0064697265625</v>
      </c>
      <c r="L135" s="13">
        <v>4454.9951171875</v>
      </c>
      <c r="M135" s="13">
        <v>6918.31005859375</v>
      </c>
      <c r="N135" s="13">
        <v>4489.41943359375</v>
      </c>
      <c r="O135" s="13">
        <v>5391.00927734375</v>
      </c>
      <c r="P135" s="13">
        <v>6952.9033203125</v>
      </c>
      <c r="Q135" s="13">
        <v>4932.94140625</v>
      </c>
      <c r="R135" s="13">
        <v>7874.7265625</v>
      </c>
      <c r="S135" s="13">
        <v>6456.283203125</v>
      </c>
      <c r="T135" s="13">
        <v>4581.78173828125</v>
      </c>
      <c r="U135" s="13">
        <v>4765.54150390625</v>
      </c>
      <c r="V135" s="13">
        <v>1995.9234619140625</v>
      </c>
      <c r="W135" s="13">
        <v>7637.23095703125</v>
      </c>
      <c r="X135" s="13">
        <v>5219.4931640625</v>
      </c>
      <c r="Y135" s="13">
        <v>8070.171875</v>
      </c>
      <c r="Z135" s="13">
        <v>6465.47119140625</v>
      </c>
      <c r="AA135" s="13">
        <v>1450.41015625</v>
      </c>
      <c r="AB135" s="13">
        <v>4394.52392578125</v>
      </c>
      <c r="AC135" s="13">
        <v>1714.85986328125</v>
      </c>
      <c r="AD135" s="13">
        <v>3275.113525390625</v>
      </c>
      <c r="AE135" s="13">
        <v>1192.8223876953125</v>
      </c>
      <c r="AF135" s="13">
        <v>1101.7725830078125</v>
      </c>
      <c r="AG135" s="13">
        <v>1326.2305908203125</v>
      </c>
      <c r="AH135" s="13">
        <v>2635.858154296875</v>
      </c>
      <c r="AI135" s="13">
        <v>3086.88720703125</v>
      </c>
      <c r="AJ135" s="13">
        <v>2022.3946533203125</v>
      </c>
      <c r="AK135" s="13">
        <v>1294.8096923828125</v>
      </c>
      <c r="AL135" s="13">
        <v>1181.7998046875</v>
      </c>
      <c r="AM135" s="13">
        <v>3481.596923828125</v>
      </c>
      <c r="AN135" s="13">
        <v>1619.9112548828125</v>
      </c>
      <c r="AO135" s="13">
        <v>2904.7802734375</v>
      </c>
      <c r="AP135" s="13">
        <v>1289.434326171875</v>
      </c>
      <c r="AQ135" s="13">
        <v>630.66534423828125</v>
      </c>
      <c r="AR135" s="13">
        <v>576.64666748046875</v>
      </c>
      <c r="AS135" s="13">
        <v>1551.669921875</v>
      </c>
      <c r="AT135" s="13">
        <v>798.912109375</v>
      </c>
      <c r="AU135" s="13">
        <v>959.87811279296875</v>
      </c>
      <c r="AV135" s="13">
        <v>989.54449462890625</v>
      </c>
      <c r="AW135" s="13">
        <v>466.37420654296875</v>
      </c>
      <c r="AX135" s="13">
        <v>407.08731079101562</v>
      </c>
      <c r="AY135" s="13">
        <v>2789.760498046875</v>
      </c>
      <c r="AZ135" s="13">
        <v>420.16458129882812</v>
      </c>
      <c r="BA135" s="13">
        <v>1507.08935546875</v>
      </c>
      <c r="BB135" s="13">
        <v>1224.87255859375</v>
      </c>
      <c r="BC135" s="13">
        <v>846.56182861328125</v>
      </c>
      <c r="BD135" s="13">
        <v>2318.279296875</v>
      </c>
      <c r="BE135" s="13">
        <v>1120.5074462890625</v>
      </c>
      <c r="BF135" s="13">
        <v>1442.0308837890625</v>
      </c>
      <c r="BG135" s="13">
        <v>2044.5897216796875</v>
      </c>
      <c r="BH135" s="13">
        <v>1112.773193359375</v>
      </c>
      <c r="BI135" s="13">
        <v>893.57012939453125</v>
      </c>
      <c r="BJ135" s="13">
        <v>1223.9024658203125</v>
      </c>
      <c r="BK135" s="13">
        <v>536.259765625</v>
      </c>
      <c r="BL135" s="13">
        <v>877.61724853515625</v>
      </c>
      <c r="BM135" s="13">
        <v>1987.233642578125</v>
      </c>
      <c r="BN135" s="13">
        <v>1031.119140625</v>
      </c>
      <c r="BO135" s="13">
        <v>784.1676025390625</v>
      </c>
      <c r="BP135" s="13">
        <v>1817.1290283203125</v>
      </c>
      <c r="BQ135" s="13"/>
      <c r="BR135" s="13"/>
    </row>
    <row r="136" spans="2:70" x14ac:dyDescent="0.2">
      <c r="B136">
        <v>1931</v>
      </c>
      <c r="C136" s="13">
        <v>2366.46533203125</v>
      </c>
      <c r="D136" s="13">
        <v>3868.07080078125</v>
      </c>
      <c r="E136" s="13">
        <v>6413.83642578125</v>
      </c>
      <c r="F136" s="13">
        <v>1961.5855712890625</v>
      </c>
      <c r="G136" s="13">
        <v>1914.2149658203125</v>
      </c>
      <c r="H136" s="13">
        <v>933.601318359375</v>
      </c>
      <c r="I136" s="13">
        <v>1229.9891357421875</v>
      </c>
      <c r="J136" s="13">
        <v>1111.4600830078125</v>
      </c>
      <c r="K136" s="13">
        <v>993.623291015625</v>
      </c>
      <c r="L136" s="13">
        <v>3895.314208984375</v>
      </c>
      <c r="M136" s="13">
        <v>6767.0205078125</v>
      </c>
      <c r="N136" s="13">
        <v>4270.4375</v>
      </c>
      <c r="O136" s="13">
        <v>5192.16650390625</v>
      </c>
      <c r="P136" s="13">
        <v>6861.52392578125</v>
      </c>
      <c r="Q136" s="13">
        <v>4821.7490234375</v>
      </c>
      <c r="R136" s="13">
        <v>7491.30810546875</v>
      </c>
      <c r="S136" s="13">
        <v>5864.75146484375</v>
      </c>
      <c r="T136" s="13">
        <v>4276.361328125</v>
      </c>
      <c r="U136" s="13">
        <v>4572.77099609375</v>
      </c>
      <c r="V136" s="13">
        <v>1915.9249267578125</v>
      </c>
      <c r="W136" s="13">
        <v>6941.1142578125</v>
      </c>
      <c r="X136" s="13">
        <v>4671.4677734375</v>
      </c>
      <c r="Y136" s="13">
        <v>6837.96533203125</v>
      </c>
      <c r="Z136" s="13">
        <v>5824.71484375</v>
      </c>
      <c r="AA136" s="13">
        <v>1333.1107177734375</v>
      </c>
      <c r="AB136" s="13">
        <v>4529.7587890625</v>
      </c>
      <c r="AC136" s="13">
        <v>1465.3751220703125</v>
      </c>
      <c r="AD136" s="13">
        <v>2623.91259765625</v>
      </c>
      <c r="AE136" s="13">
        <v>1007.7286987304688</v>
      </c>
      <c r="AF136" s="13">
        <v>1062.6905517578125</v>
      </c>
      <c r="AG136" s="13">
        <v>1253.60693359375</v>
      </c>
      <c r="AH136" s="13">
        <v>2875.03173828125</v>
      </c>
      <c r="AI136" s="13">
        <v>3108.291259765625</v>
      </c>
      <c r="AJ136" s="13">
        <v>2020.1822509765625</v>
      </c>
      <c r="AK136" s="13">
        <v>1326.1431884765625</v>
      </c>
      <c r="AL136" s="13">
        <v>1207.0177001953125</v>
      </c>
      <c r="AM136" s="13">
        <v>3608.670166015625</v>
      </c>
      <c r="AN136" s="13">
        <v>1689.548828125</v>
      </c>
      <c r="AO136" s="13">
        <v>2968.645751953125</v>
      </c>
      <c r="AP136" s="13">
        <v>1306.534423828125</v>
      </c>
      <c r="AQ136" s="13">
        <v>632.18475341796875</v>
      </c>
      <c r="AR136" s="13">
        <v>576.794189453125</v>
      </c>
      <c r="AS136" s="13">
        <v>1501.737060546875</v>
      </c>
      <c r="AT136" s="13">
        <v>801.89666748046875</v>
      </c>
      <c r="AU136" s="13">
        <v>972.0272216796875</v>
      </c>
      <c r="AV136" s="13">
        <v>994.52880859375</v>
      </c>
      <c r="AW136" s="13">
        <v>467.86642456054688</v>
      </c>
      <c r="AX136" s="13">
        <v>409.81802368164062</v>
      </c>
      <c r="AY136" s="13">
        <v>2638.145751953125</v>
      </c>
      <c r="AZ136" s="13">
        <v>414.62429809570312</v>
      </c>
      <c r="BA136" s="13">
        <v>1579.123291015625</v>
      </c>
      <c r="BB136" s="13">
        <v>1283.41748046875</v>
      </c>
      <c r="BC136" s="13">
        <v>849.9517822265625</v>
      </c>
      <c r="BD136" s="13">
        <v>2357.186279296875</v>
      </c>
      <c r="BE136" s="13">
        <v>1108.462158203125</v>
      </c>
      <c r="BF136" s="13">
        <v>1440.385009765625</v>
      </c>
      <c r="BG136" s="13">
        <v>2065.155517578125</v>
      </c>
      <c r="BH136" s="13">
        <v>1117.646728515625</v>
      </c>
      <c r="BI136" s="13">
        <v>866.3494873046875</v>
      </c>
      <c r="BJ136" s="13">
        <v>1125.6689453125</v>
      </c>
      <c r="BK136" s="13">
        <v>547.38519287109375</v>
      </c>
      <c r="BL136" s="13">
        <v>874.83038330078125</v>
      </c>
      <c r="BM136" s="13">
        <v>1972.4561767578125</v>
      </c>
      <c r="BN136" s="13">
        <v>1029.6636962890625</v>
      </c>
      <c r="BO136" s="13">
        <v>783.727783203125</v>
      </c>
      <c r="BP136" s="13">
        <v>1802.0413818359375</v>
      </c>
      <c r="BQ136" s="13"/>
      <c r="BR136" s="13"/>
    </row>
    <row r="137" spans="2:70" x14ac:dyDescent="0.2">
      <c r="B137">
        <v>1932</v>
      </c>
      <c r="C137" s="13">
        <v>2220.689208984375</v>
      </c>
      <c r="D137" s="13">
        <v>3710.8125</v>
      </c>
      <c r="E137" s="13">
        <v>5472.46875</v>
      </c>
      <c r="F137" s="13">
        <v>1983.8934326171875</v>
      </c>
      <c r="G137" s="13">
        <v>1895.5870361328125</v>
      </c>
      <c r="H137" s="13">
        <v>928.85400390625</v>
      </c>
      <c r="I137" s="13">
        <v>1270.1595458984375</v>
      </c>
      <c r="J137" s="13">
        <v>1153.568115234375</v>
      </c>
      <c r="K137" s="13">
        <v>983.10174560546875</v>
      </c>
      <c r="L137" s="13">
        <v>3580.050048828125</v>
      </c>
      <c r="M137" s="13">
        <v>6469.43701171875</v>
      </c>
      <c r="N137" s="13">
        <v>4235.36669921875</v>
      </c>
      <c r="O137" s="13">
        <v>5004.05859375</v>
      </c>
      <c r="P137" s="13">
        <v>6681.91259765625</v>
      </c>
      <c r="Q137" s="13">
        <v>4614.83349609375</v>
      </c>
      <c r="R137" s="13">
        <v>7196.310546875</v>
      </c>
      <c r="S137" s="13">
        <v>5960.83544921875</v>
      </c>
      <c r="T137" s="13">
        <v>4180.5771484375</v>
      </c>
      <c r="U137" s="13">
        <v>4405.07421875</v>
      </c>
      <c r="V137" s="13">
        <v>1847.1519775390625</v>
      </c>
      <c r="W137" s="13">
        <v>5862.26318359375</v>
      </c>
      <c r="X137" s="13">
        <v>4131.478515625</v>
      </c>
      <c r="Y137" s="13">
        <v>6671.3603515625</v>
      </c>
      <c r="Z137" s="13">
        <v>5638.544921875</v>
      </c>
      <c r="AA137" s="13">
        <v>1158.5062255859375</v>
      </c>
      <c r="AB137" s="13">
        <v>4886.958984375</v>
      </c>
      <c r="AC137" s="13">
        <v>1584.237548828125</v>
      </c>
      <c r="AD137" s="13">
        <v>1989.4393310546875</v>
      </c>
      <c r="AE137" s="13">
        <v>980.2923583984375</v>
      </c>
      <c r="AF137" s="13">
        <v>878.159423828125</v>
      </c>
      <c r="AG137" s="13">
        <v>1266.7685546875</v>
      </c>
      <c r="AH137" s="13">
        <v>3137.418701171875</v>
      </c>
      <c r="AI137" s="13">
        <v>3133.07177734375</v>
      </c>
      <c r="AJ137" s="13">
        <v>2020.0047607421875</v>
      </c>
      <c r="AK137" s="13">
        <v>1362.678955078125</v>
      </c>
      <c r="AL137" s="13">
        <v>1233.260498046875</v>
      </c>
      <c r="AM137" s="13">
        <v>3741.80419921875</v>
      </c>
      <c r="AN137" s="13">
        <v>1562.3751220703125</v>
      </c>
      <c r="AO137" s="13">
        <v>2935.835693359375</v>
      </c>
      <c r="AP137" s="13">
        <v>1325.2105712890625</v>
      </c>
      <c r="AQ137" s="13">
        <v>634.34881591796875</v>
      </c>
      <c r="AR137" s="13">
        <v>577.1719970703125</v>
      </c>
      <c r="AS137" s="13">
        <v>1487.2916259765625</v>
      </c>
      <c r="AT137" s="13">
        <v>805.21209716796875</v>
      </c>
      <c r="AU137" s="13">
        <v>984.723388671875</v>
      </c>
      <c r="AV137" s="13">
        <v>1003.1748657226562</v>
      </c>
      <c r="AW137" s="13">
        <v>469.55050659179688</v>
      </c>
      <c r="AX137" s="13">
        <v>412.9866943359375</v>
      </c>
      <c r="AY137" s="13">
        <v>2542.29296875</v>
      </c>
      <c r="AZ137" s="13">
        <v>412.87753295898438</v>
      </c>
      <c r="BA137" s="13">
        <v>1630.696044921875</v>
      </c>
      <c r="BB137" s="13">
        <v>1325.332763671875</v>
      </c>
      <c r="BC137" s="13">
        <v>871.27301025390625</v>
      </c>
      <c r="BD137" s="13">
        <v>2530.323974609375</v>
      </c>
      <c r="BE137" s="13">
        <v>1108.1883544921875</v>
      </c>
      <c r="BF137" s="13">
        <v>1508.6207275390625</v>
      </c>
      <c r="BG137" s="13">
        <v>2142.855712890625</v>
      </c>
      <c r="BH137" s="13">
        <v>1115.105224609375</v>
      </c>
      <c r="BI137" s="13">
        <v>856.980224609375</v>
      </c>
      <c r="BJ137" s="13">
        <v>1087.3795166015625</v>
      </c>
      <c r="BK137" s="13">
        <v>539.85272216796875</v>
      </c>
      <c r="BL137" s="13">
        <v>872.7593994140625</v>
      </c>
      <c r="BM137" s="13">
        <v>2016.317138671875</v>
      </c>
      <c r="BN137" s="13">
        <v>1037.6378173828125</v>
      </c>
      <c r="BO137" s="13">
        <v>784.4166259765625</v>
      </c>
      <c r="BP137" s="13">
        <v>1783.9193115234375</v>
      </c>
      <c r="BQ137" s="13"/>
      <c r="BR137" s="13"/>
    </row>
    <row r="138" spans="2:70" x14ac:dyDescent="0.2">
      <c r="B138">
        <v>1933</v>
      </c>
      <c r="C138" s="13">
        <v>2198.343505859375</v>
      </c>
      <c r="D138" s="13">
        <v>3739.063232421875</v>
      </c>
      <c r="E138" s="13">
        <v>5336.68408203125</v>
      </c>
      <c r="F138" s="13">
        <v>2011.0203857421875</v>
      </c>
      <c r="G138" s="13">
        <v>1974.753662109375</v>
      </c>
      <c r="H138" s="13">
        <v>968.05963134765625</v>
      </c>
      <c r="I138" s="13">
        <v>1328.66748046875</v>
      </c>
      <c r="J138" s="13">
        <v>1105.5426025390625</v>
      </c>
      <c r="K138" s="13">
        <v>950.25201416015625</v>
      </c>
      <c r="L138" s="13">
        <v>3785.117919921875</v>
      </c>
      <c r="M138" s="13">
        <v>6667.42431640625</v>
      </c>
      <c r="N138" s="13">
        <v>4094.877685546875</v>
      </c>
      <c r="O138" s="13">
        <v>5066.55029296875</v>
      </c>
      <c r="P138" s="13">
        <v>6859.712890625</v>
      </c>
      <c r="Q138" s="13">
        <v>4439.8349609375</v>
      </c>
      <c r="R138" s="13">
        <v>6905.50146484375</v>
      </c>
      <c r="S138" s="13">
        <v>6036.8232421875</v>
      </c>
      <c r="T138" s="13">
        <v>4254.544921875</v>
      </c>
      <c r="U138" s="13">
        <v>4420.2333984375</v>
      </c>
      <c r="V138" s="13">
        <v>1853.3284912109375</v>
      </c>
      <c r="W138" s="13">
        <v>5705.1376953125</v>
      </c>
      <c r="X138" s="13">
        <v>3906.849365234375</v>
      </c>
      <c r="Y138" s="13">
        <v>6936.42919921875</v>
      </c>
      <c r="Z138" s="13">
        <v>5917.5087890625</v>
      </c>
      <c r="AA138" s="13">
        <v>1132.583984375</v>
      </c>
      <c r="AB138" s="13">
        <v>4513.732421875</v>
      </c>
      <c r="AC138" s="13">
        <v>1691.4588623046875</v>
      </c>
      <c r="AD138" s="13">
        <v>2431.00341796875</v>
      </c>
      <c r="AE138" s="13">
        <v>1046.463134765625</v>
      </c>
      <c r="AF138" s="13">
        <v>1016.2978515625</v>
      </c>
      <c r="AG138" s="13">
        <v>1280.5198974609375</v>
      </c>
      <c r="AH138" s="13">
        <v>3419.077392578125</v>
      </c>
      <c r="AI138" s="13">
        <v>3147.105712890625</v>
      </c>
      <c r="AJ138" s="13">
        <v>2012.9825439453125</v>
      </c>
      <c r="AK138" s="13">
        <v>1384.955810546875</v>
      </c>
      <c r="AL138" s="13">
        <v>1258.396728515625</v>
      </c>
      <c r="AM138" s="13">
        <v>3875.284423828125</v>
      </c>
      <c r="AN138" s="13">
        <v>1737.9871826171875</v>
      </c>
      <c r="AO138" s="13">
        <v>3045.21484375</v>
      </c>
      <c r="AP138" s="13">
        <v>1339.583740234375</v>
      </c>
      <c r="AQ138" s="13">
        <v>634.3619384765625</v>
      </c>
      <c r="AR138" s="13">
        <v>576.78021240234375</v>
      </c>
      <c r="AS138" s="13">
        <v>1630.9547119140625</v>
      </c>
      <c r="AT138" s="13">
        <v>807.46490478515625</v>
      </c>
      <c r="AU138" s="13">
        <v>996.25457763671875</v>
      </c>
      <c r="AV138" s="13">
        <v>1008.4447021484375</v>
      </c>
      <c r="AW138" s="13">
        <v>470.61294555664062</v>
      </c>
      <c r="AX138" s="13">
        <v>414.7666015625</v>
      </c>
      <c r="AY138" s="13">
        <v>2812.029296875</v>
      </c>
      <c r="AZ138" s="13">
        <v>429.392578125</v>
      </c>
      <c r="BA138" s="13">
        <v>1705.8116455078125</v>
      </c>
      <c r="BB138" s="13">
        <v>1386.382080078125</v>
      </c>
      <c r="BC138" s="13">
        <v>774.1947021484375</v>
      </c>
      <c r="BD138" s="13">
        <v>2742.215087890625</v>
      </c>
      <c r="BE138" s="13">
        <v>1138.4327392578125</v>
      </c>
      <c r="BF138" s="13">
        <v>1425.143310546875</v>
      </c>
      <c r="BG138" s="13">
        <v>2034.099609375</v>
      </c>
      <c r="BH138" s="13">
        <v>1110.3289794921875</v>
      </c>
      <c r="BI138" s="13">
        <v>809.728515625</v>
      </c>
      <c r="BJ138" s="13">
        <v>1059.3385009765625</v>
      </c>
      <c r="BK138" s="13">
        <v>530.984375</v>
      </c>
      <c r="BL138" s="13">
        <v>868.33758544921875</v>
      </c>
      <c r="BM138" s="13">
        <v>2000.7318115234375</v>
      </c>
      <c r="BN138" s="13">
        <v>1039.8759765625</v>
      </c>
      <c r="BO138" s="13">
        <v>781.32672119140625</v>
      </c>
      <c r="BP138" s="13">
        <v>1723.8388671875</v>
      </c>
      <c r="BQ138" s="13"/>
      <c r="BR138" s="13"/>
    </row>
    <row r="139" spans="2:70" x14ac:dyDescent="0.2">
      <c r="B139">
        <v>1934</v>
      </c>
      <c r="C139" s="13">
        <v>2320.674072265625</v>
      </c>
      <c r="D139" s="13">
        <v>3853.679931640625</v>
      </c>
      <c r="E139" s="13">
        <v>5904.07275390625</v>
      </c>
      <c r="F139" s="13">
        <v>2338.937255859375</v>
      </c>
      <c r="G139" s="13">
        <v>1998.6881103515625</v>
      </c>
      <c r="H139" s="13">
        <v>1001.2640380859375</v>
      </c>
      <c r="I139" s="13">
        <v>1470.1441650390625</v>
      </c>
      <c r="J139" s="13">
        <v>1124.31201171875</v>
      </c>
      <c r="K139" s="13">
        <v>986.73663330078125</v>
      </c>
      <c r="L139" s="13">
        <v>4130.8701171875</v>
      </c>
      <c r="M139" s="13">
        <v>6920.005859375</v>
      </c>
      <c r="N139" s="13">
        <v>4397.25341796875</v>
      </c>
      <c r="O139" s="13">
        <v>4803.62890625</v>
      </c>
      <c r="P139" s="13">
        <v>7127.36572265625</v>
      </c>
      <c r="Q139" s="13">
        <v>4643.228515625</v>
      </c>
      <c r="R139" s="13">
        <v>6625.2841796875</v>
      </c>
      <c r="S139" s="13">
        <v>6327.77783203125</v>
      </c>
      <c r="T139" s="13">
        <v>4654.7734375</v>
      </c>
      <c r="U139" s="13">
        <v>4538.93115234375</v>
      </c>
      <c r="V139" s="13">
        <v>1902.8837890625</v>
      </c>
      <c r="W139" s="13">
        <v>6333.1416015625</v>
      </c>
      <c r="X139" s="13">
        <v>4316.69921875</v>
      </c>
      <c r="Y139" s="13">
        <v>7406.78564453125</v>
      </c>
      <c r="Z139" s="13">
        <v>6115.45751953125</v>
      </c>
      <c r="AA139" s="13">
        <v>1235.4234619140625</v>
      </c>
      <c r="AB139" s="13">
        <v>5770.91748046875</v>
      </c>
      <c r="AC139" s="13">
        <v>1778.09228515625</v>
      </c>
      <c r="AD139" s="13">
        <v>2856.749755859375</v>
      </c>
      <c r="AE139" s="13">
        <v>1400.2847900390625</v>
      </c>
      <c r="AF139" s="13">
        <v>1009.2129516601562</v>
      </c>
      <c r="AG139" s="13">
        <v>1492.9925537109375</v>
      </c>
      <c r="AH139" s="13">
        <v>3725.8017578125</v>
      </c>
      <c r="AI139" s="13">
        <v>3160.643798828125</v>
      </c>
      <c r="AJ139" s="13">
        <v>2005.6380615234375</v>
      </c>
      <c r="AK139" s="13">
        <v>1406.77587890625</v>
      </c>
      <c r="AL139" s="13">
        <v>1283.95751953125</v>
      </c>
      <c r="AM139" s="13">
        <v>4013.308349609375</v>
      </c>
      <c r="AN139" s="13">
        <v>1749.44873046875</v>
      </c>
      <c r="AO139" s="13">
        <v>3073.897216796875</v>
      </c>
      <c r="AP139" s="13">
        <v>1353.871826171875</v>
      </c>
      <c r="AQ139" s="13">
        <v>673.81085205078125</v>
      </c>
      <c r="AR139" s="13">
        <v>576.34918212890625</v>
      </c>
      <c r="AS139" s="13">
        <v>1442.533203125</v>
      </c>
      <c r="AT139" s="13">
        <v>809.66900634765625</v>
      </c>
      <c r="AU139" s="13">
        <v>1007.8509521484375</v>
      </c>
      <c r="AV139" s="13">
        <v>1036.271484375</v>
      </c>
      <c r="AW139" s="13">
        <v>471.64559936523438</v>
      </c>
      <c r="AX139" s="13">
        <v>416.48114013671875</v>
      </c>
      <c r="AY139" s="13">
        <v>3111.232666015625</v>
      </c>
      <c r="AZ139" s="13">
        <v>443.39898681640625</v>
      </c>
      <c r="BA139" s="13">
        <v>1887.4466552734375</v>
      </c>
      <c r="BB139" s="13">
        <v>1534.0042724609375</v>
      </c>
      <c r="BC139" s="13">
        <v>786.0906982421875</v>
      </c>
      <c r="BD139" s="13">
        <v>2797.735595703125</v>
      </c>
      <c r="BE139" s="13">
        <v>1149.1678466796875</v>
      </c>
      <c r="BF139" s="13">
        <v>1470.9002685546875</v>
      </c>
      <c r="BG139" s="13">
        <v>2084.8544921875</v>
      </c>
      <c r="BH139" s="13">
        <v>1105.457275390625</v>
      </c>
      <c r="BI139" s="13">
        <v>878.8043212890625</v>
      </c>
      <c r="BJ139" s="13">
        <v>1045.9130859375</v>
      </c>
      <c r="BK139" s="13">
        <v>522.18756103515625</v>
      </c>
      <c r="BL139" s="13">
        <v>863.81439208984375</v>
      </c>
      <c r="BM139" s="13">
        <v>1971.3028564453125</v>
      </c>
      <c r="BN139" s="13">
        <v>1041.816162109375</v>
      </c>
      <c r="BO139" s="13">
        <v>778.05523681640625</v>
      </c>
      <c r="BP139" s="13">
        <v>1793.6343994140625</v>
      </c>
      <c r="BQ139" s="13"/>
      <c r="BR139" s="13"/>
    </row>
    <row r="140" spans="2:70" x14ac:dyDescent="0.2">
      <c r="B140">
        <v>1935</v>
      </c>
      <c r="C140" s="13">
        <v>2446.097900390625</v>
      </c>
      <c r="D140" s="13">
        <v>4072.335693359375</v>
      </c>
      <c r="E140" s="13">
        <v>6411.11767578125</v>
      </c>
      <c r="F140" s="13">
        <v>2293.18359375</v>
      </c>
      <c r="G140" s="13">
        <v>2020.599365234375</v>
      </c>
      <c r="H140" s="13">
        <v>1051.745361328125</v>
      </c>
      <c r="I140" s="13">
        <v>1640.3533935546875</v>
      </c>
      <c r="J140" s="13">
        <v>1184.2801513671875</v>
      </c>
      <c r="K140" s="13">
        <v>999.2183837890625</v>
      </c>
      <c r="L140" s="13">
        <v>4543.38232421875</v>
      </c>
      <c r="M140" s="13">
        <v>7052.2529296875</v>
      </c>
      <c r="N140" s="13">
        <v>4382.248046875</v>
      </c>
      <c r="O140" s="13">
        <v>5157.94091796875</v>
      </c>
      <c r="P140" s="13">
        <v>7428.6064453125</v>
      </c>
      <c r="Q140" s="13">
        <v>5025.94091796875</v>
      </c>
      <c r="R140" s="13">
        <v>6817.1728515625</v>
      </c>
      <c r="S140" s="13">
        <v>6629.6123046875</v>
      </c>
      <c r="T140" s="13">
        <v>4878.708984375</v>
      </c>
      <c r="U140" s="13">
        <v>4778.8994140625</v>
      </c>
      <c r="V140" s="13">
        <v>2003.0841064453125</v>
      </c>
      <c r="W140" s="13">
        <v>6910.837890625</v>
      </c>
      <c r="X140" s="13">
        <v>4575.19189453125</v>
      </c>
      <c r="Y140" s="13">
        <v>7659.36376953125</v>
      </c>
      <c r="Z140" s="13">
        <v>6297.02587890625</v>
      </c>
      <c r="AA140" s="13">
        <v>1323.2078857421875</v>
      </c>
      <c r="AB140" s="13">
        <v>5551.76025390625</v>
      </c>
      <c r="AC140" s="13">
        <v>1745.8116455078125</v>
      </c>
      <c r="AD140" s="13">
        <v>3004.779052734375</v>
      </c>
      <c r="AE140" s="13">
        <v>1392.378662109375</v>
      </c>
      <c r="AF140" s="13">
        <v>1031.3499755859375</v>
      </c>
      <c r="AG140" s="13">
        <v>1460.076171875</v>
      </c>
      <c r="AH140" s="13">
        <v>4059.08544921875</v>
      </c>
      <c r="AI140" s="13">
        <v>3172.01171875</v>
      </c>
      <c r="AJ140" s="13">
        <v>1996.94970703125</v>
      </c>
      <c r="AK140" s="13">
        <v>1425.691650390625</v>
      </c>
      <c r="AL140" s="13">
        <v>1309.684814453125</v>
      </c>
      <c r="AM140" s="13">
        <v>4155.3291015625</v>
      </c>
      <c r="AN140" s="13">
        <v>1755.4556884765625</v>
      </c>
      <c r="AO140" s="13">
        <v>3098.675537109375</v>
      </c>
      <c r="AP140" s="13">
        <v>1367.357421875</v>
      </c>
      <c r="AQ140" s="13">
        <v>715.220458984375</v>
      </c>
      <c r="AR140" s="13">
        <v>575.76226806640625</v>
      </c>
      <c r="AS140" s="13">
        <v>1504.9683837890625</v>
      </c>
      <c r="AT140" s="13">
        <v>811.66021728515625</v>
      </c>
      <c r="AU140" s="13">
        <v>1019.3045654296875</v>
      </c>
      <c r="AV140" s="13">
        <v>1076.644287109375</v>
      </c>
      <c r="AW140" s="13">
        <v>472.55264282226562</v>
      </c>
      <c r="AX140" s="13">
        <v>417.91250610351562</v>
      </c>
      <c r="AY140" s="13">
        <v>3437.744384765625</v>
      </c>
      <c r="AZ140" s="13">
        <v>465.63009643554688</v>
      </c>
      <c r="BA140" s="13">
        <v>2105.969970703125</v>
      </c>
      <c r="BB140" s="13">
        <v>1711.607177734375</v>
      </c>
      <c r="BC140" s="13">
        <v>844.7933349609375</v>
      </c>
      <c r="BD140" s="13">
        <v>2859.842529296875</v>
      </c>
      <c r="BE140" s="13">
        <v>1206.2252197265625</v>
      </c>
      <c r="BF140" s="13">
        <v>1578.7799072265625</v>
      </c>
      <c r="BG140" s="13">
        <v>2221.391845703125</v>
      </c>
      <c r="BH140" s="13">
        <v>1107.8768310546875</v>
      </c>
      <c r="BI140" s="13">
        <v>906.5855712890625</v>
      </c>
      <c r="BJ140" s="13">
        <v>1060.406005859375</v>
      </c>
      <c r="BK140" s="13">
        <v>509.61605834960938</v>
      </c>
      <c r="BL140" s="13">
        <v>852.74468994140625</v>
      </c>
      <c r="BM140" s="13">
        <v>1806.796630859375</v>
      </c>
      <c r="BN140" s="13">
        <v>1042.5689697265625</v>
      </c>
      <c r="BO140" s="13">
        <v>779.6121826171875</v>
      </c>
      <c r="BP140" s="13">
        <v>1818.978759765625</v>
      </c>
      <c r="BQ140" s="13"/>
      <c r="BR140" s="13"/>
    </row>
    <row r="141" spans="2:70" x14ac:dyDescent="0.2">
      <c r="B141">
        <v>1936</v>
      </c>
      <c r="C141" s="13">
        <v>2573.696044921875</v>
      </c>
      <c r="D141" s="13">
        <v>4153.595703125</v>
      </c>
      <c r="E141" s="13">
        <v>7179.576171875</v>
      </c>
      <c r="F141" s="13">
        <v>2266.73291015625</v>
      </c>
      <c r="G141" s="13">
        <v>2147.6865234375</v>
      </c>
      <c r="H141" s="13">
        <v>1142.44140625</v>
      </c>
      <c r="I141" s="13">
        <v>1761.2923583984375</v>
      </c>
      <c r="J141" s="13">
        <v>1254.6785888671875</v>
      </c>
      <c r="K141" s="13">
        <v>1006.8088989257812</v>
      </c>
      <c r="L141" s="13">
        <v>4983.3466796875</v>
      </c>
      <c r="M141" s="13">
        <v>7281.87744140625</v>
      </c>
      <c r="N141" s="13">
        <v>3412.69580078125</v>
      </c>
      <c r="O141" s="13">
        <v>5395.79345703125</v>
      </c>
      <c r="P141" s="13">
        <v>7742.1689453125</v>
      </c>
      <c r="Q141" s="13">
        <v>4802.95263671875</v>
      </c>
      <c r="R141" s="13">
        <v>7307.25146484375</v>
      </c>
      <c r="S141" s="13">
        <v>7174.3330078125</v>
      </c>
      <c r="T141" s="13">
        <v>5135.40234375</v>
      </c>
      <c r="U141" s="13">
        <v>4836.15771484375</v>
      </c>
      <c r="V141" s="13">
        <v>2027.897705078125</v>
      </c>
      <c r="W141" s="13">
        <v>7785.10791015625</v>
      </c>
      <c r="X141" s="13">
        <v>4781.6416015625</v>
      </c>
      <c r="Y141" s="13">
        <v>8155.80224609375</v>
      </c>
      <c r="Z141" s="13">
        <v>7398.53369140625</v>
      </c>
      <c r="AA141" s="13">
        <v>1471.1041259765625</v>
      </c>
      <c r="AB141" s="13">
        <v>5288.7353515625</v>
      </c>
      <c r="AC141" s="13">
        <v>1708.360107421875</v>
      </c>
      <c r="AD141" s="13">
        <v>3059.4638671875</v>
      </c>
      <c r="AE141" s="13">
        <v>1468.5904541015625</v>
      </c>
      <c r="AF141" s="13">
        <v>1151.137939453125</v>
      </c>
      <c r="AG141" s="13">
        <v>1445.517578125</v>
      </c>
      <c r="AH141" s="13">
        <v>4427.01171875</v>
      </c>
      <c r="AI141" s="13">
        <v>3193.025390625</v>
      </c>
      <c r="AJ141" s="13">
        <v>1994.1583251953125</v>
      </c>
      <c r="AK141" s="13">
        <v>1458.8564453125</v>
      </c>
      <c r="AL141" s="13">
        <v>1337.4681396484375</v>
      </c>
      <c r="AM141" s="13">
        <v>4306.63427734375</v>
      </c>
      <c r="AN141" s="13">
        <v>2052.8095703125</v>
      </c>
      <c r="AO141" s="13">
        <v>3279.904541015625</v>
      </c>
      <c r="AP141" s="13">
        <v>1385.0926513671875</v>
      </c>
      <c r="AQ141" s="13">
        <v>761.41973876953125</v>
      </c>
      <c r="AR141" s="13">
        <v>575.8446044921875</v>
      </c>
      <c r="AS141" s="13">
        <v>1779.469970703125</v>
      </c>
      <c r="AT141" s="13">
        <v>814.598388671875</v>
      </c>
      <c r="AU141" s="13">
        <v>1032.0885009765625</v>
      </c>
      <c r="AV141" s="13">
        <v>1250.87109375</v>
      </c>
      <c r="AW141" s="13">
        <v>474.01113891601562</v>
      </c>
      <c r="AX141" s="13">
        <v>420.59518432617188</v>
      </c>
      <c r="AY141" s="13">
        <v>3764.1298828125</v>
      </c>
      <c r="AZ141" s="13">
        <v>510.01034545898438</v>
      </c>
      <c r="BA141" s="13">
        <v>2261.23779296875</v>
      </c>
      <c r="BB141" s="13">
        <v>1837.79931640625</v>
      </c>
      <c r="BC141" s="13">
        <v>887.8409423828125</v>
      </c>
      <c r="BD141" s="13">
        <v>3125.39892578125</v>
      </c>
      <c r="BE141" s="13">
        <v>1168.3931884765625</v>
      </c>
      <c r="BF141" s="13">
        <v>1649.2640380859375</v>
      </c>
      <c r="BG141" s="13">
        <v>2362.27880859375</v>
      </c>
      <c r="BH141" s="13">
        <v>1104.2027587890625</v>
      </c>
      <c r="BI141" s="13">
        <v>889.15643310546875</v>
      </c>
      <c r="BJ141" s="13">
        <v>1113.6474609375</v>
      </c>
      <c r="BK141" s="13">
        <v>502.21969604492188</v>
      </c>
      <c r="BL141" s="13">
        <v>850.07318115234375</v>
      </c>
      <c r="BM141" s="13">
        <v>2024.9283447265625</v>
      </c>
      <c r="BN141" s="13">
        <v>1048.40966796875</v>
      </c>
      <c r="BO141" s="13">
        <v>783.97796630859375</v>
      </c>
      <c r="BP141" s="13">
        <v>1821.6546630859375</v>
      </c>
      <c r="BQ141" s="13"/>
      <c r="BR141" s="13"/>
    </row>
    <row r="142" spans="2:70" x14ac:dyDescent="0.2">
      <c r="B142">
        <v>1937</v>
      </c>
      <c r="C142" s="13">
        <v>2672.297607421875</v>
      </c>
      <c r="D142" s="13">
        <v>4317.31494140625</v>
      </c>
      <c r="E142" s="13">
        <v>7476.43994140625</v>
      </c>
      <c r="F142" s="13">
        <v>2478.11474609375</v>
      </c>
      <c r="G142" s="13">
        <v>2182.787353515625</v>
      </c>
      <c r="H142" s="13">
        <v>1177.0625</v>
      </c>
      <c r="I142" s="13">
        <v>1980.00341796875</v>
      </c>
      <c r="J142" s="13">
        <v>1278.8974609375</v>
      </c>
      <c r="K142" s="13">
        <v>1041.95849609375</v>
      </c>
      <c r="L142" s="13">
        <v>5431.99267578125</v>
      </c>
      <c r="M142" s="13">
        <v>7414.04638671875</v>
      </c>
      <c r="N142" s="13">
        <v>3155.190185546875</v>
      </c>
      <c r="O142" s="13">
        <v>5147.43115234375</v>
      </c>
      <c r="P142" s="13">
        <v>7972.5400390625</v>
      </c>
      <c r="Q142" s="13">
        <v>5475.54931640625</v>
      </c>
      <c r="R142" s="13">
        <v>7505.08154296875</v>
      </c>
      <c r="S142" s="13">
        <v>7678.4853515625</v>
      </c>
      <c r="T142" s="13">
        <v>5487.25927734375</v>
      </c>
      <c r="U142" s="13">
        <v>5036.0830078125</v>
      </c>
      <c r="V142" s="13">
        <v>2112.582763671875</v>
      </c>
      <c r="W142" s="13">
        <v>8082.94140625</v>
      </c>
      <c r="X142" s="13">
        <v>5191.9091796875</v>
      </c>
      <c r="Y142" s="13">
        <v>8677.693359375</v>
      </c>
      <c r="Z142" s="13">
        <v>7705.9541015625</v>
      </c>
      <c r="AA142" s="13">
        <v>1532.5457763671875</v>
      </c>
      <c r="AB142" s="13">
        <v>5918.60009765625</v>
      </c>
      <c r="AC142" s="13">
        <v>1786.6612548828125</v>
      </c>
      <c r="AD142" s="13">
        <v>3397.1962890625</v>
      </c>
      <c r="AE142" s="13">
        <v>1407.968994140625</v>
      </c>
      <c r="AF142" s="13">
        <v>1343.9078369140625</v>
      </c>
      <c r="AG142" s="13">
        <v>1572.817626953125</v>
      </c>
      <c r="AH142" s="13">
        <v>4827.876953125</v>
      </c>
      <c r="AI142" s="13">
        <v>3213.15673828125</v>
      </c>
      <c r="AJ142" s="13">
        <v>1990.7510986328125</v>
      </c>
      <c r="AK142" s="13">
        <v>1491.2890625</v>
      </c>
      <c r="AL142" s="13">
        <v>1365.673583984375</v>
      </c>
      <c r="AM142" s="13">
        <v>4463.04052734375</v>
      </c>
      <c r="AN142" s="13">
        <v>2084.473876953125</v>
      </c>
      <c r="AO142" s="13">
        <v>3326.032470703125</v>
      </c>
      <c r="AP142" s="13">
        <v>1402.6226806640625</v>
      </c>
      <c r="AQ142" s="13">
        <v>810.35198974609375</v>
      </c>
      <c r="AR142" s="13">
        <v>575.8572998046875</v>
      </c>
      <c r="AS142" s="13">
        <v>1519.08203125</v>
      </c>
      <c r="AT142" s="13">
        <v>817.44793701171875</v>
      </c>
      <c r="AU142" s="13">
        <v>1044.9058837890625</v>
      </c>
      <c r="AV142" s="13">
        <v>1317.87353515625</v>
      </c>
      <c r="AW142" s="13">
        <v>475.41659545898438</v>
      </c>
      <c r="AX142" s="13">
        <v>423.16421508789062</v>
      </c>
      <c r="AY142" s="13">
        <v>4012.94287109375</v>
      </c>
      <c r="AZ142" s="13">
        <v>525.9793701171875</v>
      </c>
      <c r="BA142" s="13">
        <v>2542.030029296875</v>
      </c>
      <c r="BB142" s="13">
        <v>2066.010986328125</v>
      </c>
      <c r="BC142" s="13">
        <v>862.76702880859375</v>
      </c>
      <c r="BD142" s="13">
        <v>3376.191650390625</v>
      </c>
      <c r="BE142" s="13">
        <v>1383.27880859375</v>
      </c>
      <c r="BF142" s="13">
        <v>1636.770751953125</v>
      </c>
      <c r="BG142" s="13">
        <v>2414.079833984375</v>
      </c>
      <c r="BH142" s="13">
        <v>1108.33251953125</v>
      </c>
      <c r="BI142" s="13">
        <v>918.9276123046875</v>
      </c>
      <c r="BJ142" s="13">
        <v>1197.2081298828125</v>
      </c>
      <c r="BK142" s="13">
        <v>472.7965087890625</v>
      </c>
      <c r="BL142" s="13">
        <v>847.14654541015625</v>
      </c>
      <c r="BM142" s="13">
        <v>2105.38916015625</v>
      </c>
      <c r="BN142" s="13">
        <v>1053.7484130859375</v>
      </c>
      <c r="BO142" s="13">
        <v>792.85687255859375</v>
      </c>
      <c r="BP142" s="13">
        <v>1879.3988037109375</v>
      </c>
      <c r="BQ142" s="13"/>
      <c r="BR142" s="13"/>
    </row>
    <row r="143" spans="2:70" x14ac:dyDescent="0.2">
      <c r="B143">
        <v>1938</v>
      </c>
      <c r="C143" s="13">
        <v>2651.643310546875</v>
      </c>
      <c r="D143" s="13">
        <v>4441.93310546875</v>
      </c>
      <c r="E143" s="13">
        <v>7112.8994140625</v>
      </c>
      <c r="F143" s="13">
        <v>2445.002685546875</v>
      </c>
      <c r="G143" s="13">
        <v>2254.8623046875</v>
      </c>
      <c r="H143" s="13">
        <v>1162.197021484375</v>
      </c>
      <c r="I143" s="13">
        <v>1970.4898681640625</v>
      </c>
      <c r="J143" s="13">
        <v>1291.3828125</v>
      </c>
      <c r="K143" s="13">
        <v>963.2738037109375</v>
      </c>
      <c r="L143" s="13">
        <v>5867.97607421875</v>
      </c>
      <c r="M143" s="13">
        <v>7716.6767578125</v>
      </c>
      <c r="N143" s="13">
        <v>3265.124267578125</v>
      </c>
      <c r="O143" s="13">
        <v>5172.3125</v>
      </c>
      <c r="P143" s="13">
        <v>8220.85546875</v>
      </c>
      <c r="Q143" s="13">
        <v>5488.1328125</v>
      </c>
      <c r="R143" s="13">
        <v>7192.4501953125</v>
      </c>
      <c r="S143" s="13">
        <v>7689.2294921875</v>
      </c>
      <c r="T143" s="13">
        <v>5589.85546875</v>
      </c>
      <c r="U143" s="13">
        <v>5190.16015625</v>
      </c>
      <c r="V143" s="13">
        <v>2177.4111328125</v>
      </c>
      <c r="W143" s="13">
        <v>7625.63623046875</v>
      </c>
      <c r="X143" s="13">
        <v>5097.71826171875</v>
      </c>
      <c r="Y143" s="13">
        <v>9140.2177734375</v>
      </c>
      <c r="Z143" s="13">
        <v>8109.19482421875</v>
      </c>
      <c r="AA143" s="13">
        <v>1473.95849609375</v>
      </c>
      <c r="AB143" s="13">
        <v>5712.84130859375</v>
      </c>
      <c r="AC143" s="13">
        <v>1751.708740234375</v>
      </c>
      <c r="AD143" s="13">
        <v>3386.7021484375</v>
      </c>
      <c r="AE143" s="13">
        <v>1660.62646484375</v>
      </c>
      <c r="AF143" s="13">
        <v>1416.3187255859375</v>
      </c>
      <c r="AG143" s="13">
        <v>1549.9368896484375</v>
      </c>
      <c r="AH143" s="13">
        <v>5262.4853515625</v>
      </c>
      <c r="AI143" s="13">
        <v>3229.478271484375</v>
      </c>
      <c r="AJ143" s="13">
        <v>1984.985107421875</v>
      </c>
      <c r="AK143" s="13">
        <v>1518.498779296875</v>
      </c>
      <c r="AL143" s="13">
        <v>1393.8221435546875</v>
      </c>
      <c r="AM143" s="13">
        <v>4623.21435546875</v>
      </c>
      <c r="AN143" s="13">
        <v>2227.17236328125</v>
      </c>
      <c r="AO143" s="13">
        <v>3426.177734375</v>
      </c>
      <c r="AP143" s="13">
        <v>1418.660400390625</v>
      </c>
      <c r="AQ143" s="13">
        <v>861.399658203125</v>
      </c>
      <c r="AR143" s="13">
        <v>575.598876953125</v>
      </c>
      <c r="AS143" s="13">
        <v>1654.1356201171875</v>
      </c>
      <c r="AT143" s="13">
        <v>819.92340087890625</v>
      </c>
      <c r="AU143" s="13">
        <v>1057.3829345703125</v>
      </c>
      <c r="AV143" s="13">
        <v>1282.17822265625</v>
      </c>
      <c r="AW143" s="13">
        <v>476.60223388671875</v>
      </c>
      <c r="AX143" s="13">
        <v>425.23745727539062</v>
      </c>
      <c r="AY143" s="13">
        <v>3846.961181640625</v>
      </c>
      <c r="AZ143" s="13">
        <v>518.79534912109375</v>
      </c>
      <c r="BA143" s="13">
        <v>2529.816162109375</v>
      </c>
      <c r="BB143" s="13">
        <v>2056.084228515625</v>
      </c>
      <c r="BC143" s="13">
        <v>843.31072998046875</v>
      </c>
      <c r="BD143" s="13">
        <v>3532.128173828125</v>
      </c>
      <c r="BE143" s="13">
        <v>1343.614501953125</v>
      </c>
      <c r="BF143" s="13">
        <v>1707.4775390625</v>
      </c>
      <c r="BG143" s="13">
        <v>2441.87890625</v>
      </c>
      <c r="BH143" s="13">
        <v>1104.0145263671875</v>
      </c>
      <c r="BI143" s="13">
        <v>787.45892333984375</v>
      </c>
      <c r="BJ143" s="13">
        <v>1183.8544921875</v>
      </c>
      <c r="BK143" s="13">
        <v>442.85043334960938</v>
      </c>
      <c r="BL143" s="13">
        <v>843.20782470703125</v>
      </c>
      <c r="BM143" s="13">
        <v>2108.461669921875</v>
      </c>
      <c r="BN143" s="13">
        <v>1064.2242431640625</v>
      </c>
      <c r="BO143" s="13">
        <v>801.375732421875</v>
      </c>
      <c r="BP143" s="13">
        <v>1729.3985595703125</v>
      </c>
      <c r="BQ143" s="13"/>
      <c r="BR143" s="13"/>
    </row>
    <row r="144" spans="2:70" x14ac:dyDescent="0.2">
      <c r="B144">
        <v>1939</v>
      </c>
      <c r="C144" s="13">
        <v>2777.029296875</v>
      </c>
      <c r="D144" s="13">
        <v>4713.8447265625</v>
      </c>
      <c r="E144" s="13">
        <v>7520.2490234375</v>
      </c>
      <c r="F144" s="13">
        <v>2455.48779296875</v>
      </c>
      <c r="G144" s="13">
        <v>2311.467041015625</v>
      </c>
      <c r="H144" s="13">
        <v>1176.447265625</v>
      </c>
      <c r="I144" s="13">
        <v>2034.752685546875</v>
      </c>
      <c r="J144" s="13">
        <v>1318.688720703125</v>
      </c>
      <c r="K144" s="13">
        <v>965.71075439453125</v>
      </c>
      <c r="L144" s="13">
        <v>6799.9990234375</v>
      </c>
      <c r="M144" s="13">
        <v>8047.95068359375</v>
      </c>
      <c r="N144" s="13">
        <v>3325.38818359375</v>
      </c>
      <c r="O144" s="13">
        <v>5747.9853515625</v>
      </c>
      <c r="P144" s="13">
        <v>8046.296875</v>
      </c>
      <c r="Q144" s="13">
        <v>5777.3212890625</v>
      </c>
      <c r="R144" s="13">
        <v>7299.95849609375</v>
      </c>
      <c r="S144" s="13">
        <v>8069.8359375</v>
      </c>
      <c r="T144" s="13">
        <v>5956.59912109375</v>
      </c>
      <c r="U144" s="13">
        <v>5496.298828125</v>
      </c>
      <c r="V144" s="13">
        <v>2307.8134765625</v>
      </c>
      <c r="W144" s="13">
        <v>8120.89404296875</v>
      </c>
      <c r="X144" s="13">
        <v>5389.69482421875</v>
      </c>
      <c r="Y144" s="13">
        <v>8543.763671875</v>
      </c>
      <c r="Z144" s="13">
        <v>8103.59326171875</v>
      </c>
      <c r="AA144" s="13">
        <v>1551.113037109375</v>
      </c>
      <c r="AB144" s="13">
        <v>5763.4443359375</v>
      </c>
      <c r="AC144" s="13">
        <v>1717.840576171875</v>
      </c>
      <c r="AD144" s="13">
        <v>3376.602294921875</v>
      </c>
      <c r="AE144" s="13">
        <v>1751.044677734375</v>
      </c>
      <c r="AF144" s="13">
        <v>1450.8994140625</v>
      </c>
      <c r="AG144" s="13">
        <v>1565.366943359375</v>
      </c>
      <c r="AH144" s="13">
        <v>5741.83837890625</v>
      </c>
      <c r="AI144" s="13">
        <v>3253.168212890625</v>
      </c>
      <c r="AJ144" s="13">
        <v>1983.571533203125</v>
      </c>
      <c r="AK144" s="13">
        <v>1557.408203125</v>
      </c>
      <c r="AL144" s="13">
        <v>1423.7723388671875</v>
      </c>
      <c r="AM144" s="13">
        <v>4792.95849609375</v>
      </c>
      <c r="AN144" s="13">
        <v>2343.29248046875</v>
      </c>
      <c r="AO144" s="13">
        <v>3510.801513671875</v>
      </c>
      <c r="AP144" s="13">
        <v>1438.0887451171875</v>
      </c>
      <c r="AQ144" s="13">
        <v>917.6807861328125</v>
      </c>
      <c r="AR144" s="13">
        <v>575.84161376953125</v>
      </c>
      <c r="AS144" s="13">
        <v>1668.2740478515625</v>
      </c>
      <c r="AT144" s="13">
        <v>823.11712646484375</v>
      </c>
      <c r="AU144" s="13">
        <v>1070.9434814453125</v>
      </c>
      <c r="AV144" s="13">
        <v>1219.5439453125</v>
      </c>
      <c r="AW144" s="13">
        <v>478.2059326171875</v>
      </c>
      <c r="AX144" s="13">
        <v>428.27108764648438</v>
      </c>
      <c r="AY144" s="13">
        <v>4041.78271484375</v>
      </c>
      <c r="AZ144" s="13">
        <v>522.45697021484375</v>
      </c>
      <c r="BA144" s="13">
        <v>2612.2705078125</v>
      </c>
      <c r="BB144" s="13">
        <v>2123.097900390625</v>
      </c>
      <c r="BC144" s="13">
        <v>828.4923095703125</v>
      </c>
      <c r="BD144" s="13">
        <v>3762.76904296875</v>
      </c>
      <c r="BE144" s="13">
        <v>1118.72021484375</v>
      </c>
      <c r="BF144" s="13">
        <v>1660.50341796875</v>
      </c>
      <c r="BG144" s="13">
        <v>2547.235595703125</v>
      </c>
      <c r="BH144" s="13">
        <v>1109.262939453125</v>
      </c>
      <c r="BI144" s="13">
        <v>776.758056640625</v>
      </c>
      <c r="BJ144" s="13">
        <v>1225.3681640625</v>
      </c>
      <c r="BK144" s="13">
        <v>420.68258666992188</v>
      </c>
      <c r="BL144" s="13">
        <v>835.89935302734375</v>
      </c>
      <c r="BM144" s="13">
        <v>2197.71826171875</v>
      </c>
      <c r="BN144" s="13">
        <v>1065.0684814453125</v>
      </c>
      <c r="BO144" s="13">
        <v>812.201171875</v>
      </c>
      <c r="BP144" s="13">
        <v>1731.0928955078125</v>
      </c>
      <c r="BQ144" s="13"/>
      <c r="BR144" s="13"/>
    </row>
    <row r="145" spans="2:70" x14ac:dyDescent="0.2">
      <c r="B145">
        <v>1940</v>
      </c>
      <c r="C145" s="13">
        <v>2786.034912109375</v>
      </c>
      <c r="D145" s="13">
        <v>4428.14892578125</v>
      </c>
      <c r="E145" s="13">
        <v>8053.51806640625</v>
      </c>
      <c r="F145" s="13">
        <v>2438.940673828125</v>
      </c>
      <c r="G145" s="13">
        <v>2231.722900390625</v>
      </c>
      <c r="H145" s="13">
        <v>1176.0272216796875</v>
      </c>
      <c r="I145" s="13">
        <v>2167.46728515625</v>
      </c>
      <c r="J145" s="13">
        <v>1316.013427734375</v>
      </c>
      <c r="K145" s="13">
        <v>1034.0172119140625</v>
      </c>
      <c r="L145" s="13">
        <v>7198.07861328125</v>
      </c>
      <c r="M145" s="13">
        <v>6692.94140625</v>
      </c>
      <c r="N145" s="13">
        <v>3550.34521484375</v>
      </c>
      <c r="O145" s="13">
        <v>3929.233154296875</v>
      </c>
      <c r="P145" s="13">
        <v>7566.91943359375</v>
      </c>
      <c r="Q145" s="13">
        <v>5825.7412109375</v>
      </c>
      <c r="R145" s="13">
        <v>5976.77587890625</v>
      </c>
      <c r="S145" s="13">
        <v>6480.0791015625</v>
      </c>
      <c r="T145" s="13">
        <v>5460.28955078125</v>
      </c>
      <c r="U145" s="13">
        <v>5145.89404296875</v>
      </c>
      <c r="V145" s="13">
        <v>2159.7421875</v>
      </c>
      <c r="W145" s="13">
        <v>8698.767578125</v>
      </c>
      <c r="X145" s="13">
        <v>6181.76416015625</v>
      </c>
      <c r="Y145" s="13">
        <v>8692.564453125</v>
      </c>
      <c r="Z145" s="13">
        <v>7808.4404296875</v>
      </c>
      <c r="AA145" s="13">
        <v>1670.51025390625</v>
      </c>
      <c r="AB145" s="13">
        <v>5741.02978515625</v>
      </c>
      <c r="AC145" s="13">
        <v>1684.982177734375</v>
      </c>
      <c r="AD145" s="13">
        <v>3415.309814453125</v>
      </c>
      <c r="AE145" s="13">
        <v>1705.703369140625</v>
      </c>
      <c r="AF145" s="13">
        <v>1492.3511962890625</v>
      </c>
      <c r="AG145" s="13">
        <v>1539.3704833984375</v>
      </c>
      <c r="AH145" s="13">
        <v>6254.6103515625</v>
      </c>
      <c r="AI145" s="13">
        <v>3265.012451171875</v>
      </c>
      <c r="AJ145" s="13">
        <v>1975.0611572265625</v>
      </c>
      <c r="AK145" s="13">
        <v>1466.4730224609375</v>
      </c>
      <c r="AL145" s="13">
        <v>1452.318359375</v>
      </c>
      <c r="AM145" s="13">
        <v>4669.3076171875</v>
      </c>
      <c r="AN145" s="13">
        <v>2161.181640625</v>
      </c>
      <c r="AO145" s="13">
        <v>3391.69775390625</v>
      </c>
      <c r="AP145" s="13">
        <v>1452.456787109375</v>
      </c>
      <c r="AQ145" s="13">
        <v>942.63909912109375</v>
      </c>
      <c r="AR145" s="13">
        <v>575.26336669921875</v>
      </c>
      <c r="AS145" s="13">
        <v>1706.862548828125</v>
      </c>
      <c r="AT145" s="13">
        <v>825.1541748046875</v>
      </c>
      <c r="AU145" s="13">
        <v>1083.1263427734375</v>
      </c>
      <c r="AV145" s="13">
        <v>1067.6519775390625</v>
      </c>
      <c r="AW145" s="13">
        <v>479.13302612304688</v>
      </c>
      <c r="AX145" s="13">
        <v>429.75958251953125</v>
      </c>
      <c r="AY145" s="13">
        <v>4212.6455078125</v>
      </c>
      <c r="AZ145" s="13">
        <v>523.0390625</v>
      </c>
      <c r="BA145" s="13">
        <v>2782.599609375</v>
      </c>
      <c r="BB145" s="13">
        <v>2261.53125</v>
      </c>
      <c r="BC145" s="13">
        <v>812.87359619140625</v>
      </c>
      <c r="BD145" s="13">
        <v>3746.38720703125</v>
      </c>
      <c r="BE145" s="13">
        <v>1380.792724609375</v>
      </c>
      <c r="BF145" s="13">
        <v>1509.3974609375</v>
      </c>
      <c r="BG145" s="13">
        <v>2542.378662109375</v>
      </c>
      <c r="BH145" s="13">
        <v>1104.230224609375</v>
      </c>
      <c r="BI145" s="13">
        <v>872.3038330078125</v>
      </c>
      <c r="BJ145" s="13">
        <v>1320.835205078125</v>
      </c>
      <c r="BK145" s="13">
        <v>395.54342651367188</v>
      </c>
      <c r="BL145" s="13">
        <v>830.542236328125</v>
      </c>
      <c r="BM145" s="13">
        <v>2180.555908203125</v>
      </c>
      <c r="BN145" s="13">
        <v>1060.3929443359375</v>
      </c>
      <c r="BO145" s="13">
        <v>823.04803466796875</v>
      </c>
      <c r="BP145" s="13">
        <v>1845.783447265625</v>
      </c>
      <c r="BQ145" s="13"/>
      <c r="BR145" s="13"/>
    </row>
    <row r="146" spans="2:70" x14ac:dyDescent="0.2">
      <c r="B146">
        <v>1941</v>
      </c>
      <c r="C146" s="13">
        <v>2951.60791015625</v>
      </c>
      <c r="D146" s="13">
        <v>4493.744140625</v>
      </c>
      <c r="E146" s="13">
        <v>9308.396484375</v>
      </c>
      <c r="F146" s="13">
        <v>2451.467041015625</v>
      </c>
      <c r="G146" s="13">
        <v>2169.5791015625</v>
      </c>
      <c r="H146" s="13">
        <v>1211.475341796875</v>
      </c>
      <c r="I146" s="13">
        <v>2017.08154296875</v>
      </c>
      <c r="J146" s="13">
        <v>1375.8411865234375</v>
      </c>
      <c r="K146" s="13">
        <v>995.6846923828125</v>
      </c>
      <c r="L146" s="13">
        <v>7417.87646484375</v>
      </c>
      <c r="M146" s="13">
        <v>6470.71142578125</v>
      </c>
      <c r="N146" s="13">
        <v>3241.947021484375</v>
      </c>
      <c r="O146" s="13">
        <v>3692.491943359375</v>
      </c>
      <c r="P146" s="13">
        <v>8060.740234375</v>
      </c>
      <c r="Q146" s="13">
        <v>5972.40185546875</v>
      </c>
      <c r="R146" s="13">
        <v>5189.76416015625</v>
      </c>
      <c r="S146" s="13">
        <v>5676.4892578125</v>
      </c>
      <c r="T146" s="13">
        <v>5229.26318359375</v>
      </c>
      <c r="U146" s="13">
        <v>5198.2626953125</v>
      </c>
      <c r="V146" s="13">
        <v>2182.124755859375</v>
      </c>
      <c r="W146" s="13">
        <v>10143.162109375</v>
      </c>
      <c r="X146" s="13">
        <v>7063.30810546875</v>
      </c>
      <c r="Y146" s="13">
        <v>8729.51953125</v>
      </c>
      <c r="Z146" s="13">
        <v>7723.10693359375</v>
      </c>
      <c r="AA146" s="13">
        <v>1912.68359375</v>
      </c>
      <c r="AB146" s="13">
        <v>5919.05224609375</v>
      </c>
      <c r="AC146" s="13">
        <v>1700.8017578125</v>
      </c>
      <c r="AD146" s="13">
        <v>3318.0849609375</v>
      </c>
      <c r="AE146" s="13">
        <v>1485.94091796875</v>
      </c>
      <c r="AF146" s="13">
        <v>1481.9818115234375</v>
      </c>
      <c r="AG146" s="13">
        <v>1542.7352294921875</v>
      </c>
      <c r="AH146" s="13">
        <v>6818.43798828125</v>
      </c>
      <c r="AI146" s="13">
        <v>3282.593017578125</v>
      </c>
      <c r="AJ146" s="13">
        <v>1969.921142578125</v>
      </c>
      <c r="AK146" s="13">
        <v>1495.1199951171875</v>
      </c>
      <c r="AL146" s="13">
        <v>1482.421142578125</v>
      </c>
      <c r="AM146" s="13">
        <v>4838.83056640625</v>
      </c>
      <c r="AN146" s="13">
        <v>1944.489990234375</v>
      </c>
      <c r="AO146" s="13">
        <v>3302.426513671875</v>
      </c>
      <c r="AP146" s="13">
        <v>1469.5074462890625</v>
      </c>
      <c r="AQ146" s="13">
        <v>1002.5220947265625</v>
      </c>
      <c r="AR146" s="13">
        <v>575.07330322265625</v>
      </c>
      <c r="AS146" s="13">
        <v>1720.3575439453125</v>
      </c>
      <c r="AT146" s="13">
        <v>827.75</v>
      </c>
      <c r="AU146" s="13">
        <v>1096.188720703125</v>
      </c>
      <c r="AV146" s="13">
        <v>1146.56982421875</v>
      </c>
      <c r="AW146" s="13">
        <v>480.38485717773438</v>
      </c>
      <c r="AX146" s="13">
        <v>431.99591064453125</v>
      </c>
      <c r="AY146" s="13">
        <v>4321.412109375</v>
      </c>
      <c r="AZ146" s="13">
        <v>540.82171630859375</v>
      </c>
      <c r="BA146" s="13">
        <v>2589.4833984375</v>
      </c>
      <c r="BB146" s="13">
        <v>2104.577880859375</v>
      </c>
      <c r="BC146" s="13">
        <v>798.0380859375</v>
      </c>
      <c r="BD146" s="13">
        <v>4143.77197265625</v>
      </c>
      <c r="BE146" s="13">
        <v>1471.5396728515625</v>
      </c>
      <c r="BF146" s="13">
        <v>1471.3291015625</v>
      </c>
      <c r="BG146" s="13">
        <v>2660.197509765625</v>
      </c>
      <c r="BH146" s="13">
        <v>1091.57373046875</v>
      </c>
      <c r="BI146" s="13">
        <v>814.65240478515625</v>
      </c>
      <c r="BJ146" s="13">
        <v>1366.2093505859375</v>
      </c>
      <c r="BK146" s="13">
        <v>375.02850341796875</v>
      </c>
      <c r="BL146" s="13">
        <v>826.950439453125</v>
      </c>
      <c r="BM146" s="13">
        <v>1894.4122314453125</v>
      </c>
      <c r="BN146" s="13">
        <v>1058.3319091796875</v>
      </c>
      <c r="BO146" s="13">
        <v>835.35943603515625</v>
      </c>
      <c r="BP146" s="13">
        <v>1776.8524169921875</v>
      </c>
      <c r="BQ146" s="13"/>
      <c r="BR146" s="13"/>
    </row>
    <row r="147" spans="2:70" x14ac:dyDescent="0.2">
      <c r="B147">
        <v>1942</v>
      </c>
      <c r="C147" s="13">
        <v>3206.03369140625</v>
      </c>
      <c r="D147" s="13">
        <v>4635.61572265625</v>
      </c>
      <c r="E147" s="13">
        <v>10850.3515625</v>
      </c>
      <c r="F147" s="13">
        <v>2500.27783203125</v>
      </c>
      <c r="G147" s="13">
        <v>2208.664306640625</v>
      </c>
      <c r="H147" s="13">
        <v>1240.6763916015625</v>
      </c>
      <c r="I147" s="13">
        <v>2181.532958984375</v>
      </c>
      <c r="J147" s="13">
        <v>1464.774658203125</v>
      </c>
      <c r="K147" s="13">
        <v>1014.7020263671875</v>
      </c>
      <c r="L147" s="13">
        <v>7234.60302734375</v>
      </c>
      <c r="M147" s="13">
        <v>7019.529296875</v>
      </c>
      <c r="N147" s="13">
        <v>3451.462158203125</v>
      </c>
      <c r="O147" s="13">
        <v>3582.212646484375</v>
      </c>
      <c r="P147" s="13">
        <v>8730.03515625</v>
      </c>
      <c r="Q147" s="13">
        <v>6400.8935546875</v>
      </c>
      <c r="R147" s="13">
        <v>4817.685546875</v>
      </c>
      <c r="S147" s="13">
        <v>5627.39013671875</v>
      </c>
      <c r="T147" s="13">
        <v>5287.6318359375</v>
      </c>
      <c r="U147" s="13">
        <v>5332.2080078125</v>
      </c>
      <c r="V147" s="13">
        <v>2240.213134765625</v>
      </c>
      <c r="W147" s="13">
        <v>11869.9521484375</v>
      </c>
      <c r="X147" s="13">
        <v>8216.353515625</v>
      </c>
      <c r="Y147" s="13">
        <v>9379.0009765625</v>
      </c>
      <c r="Z147" s="13">
        <v>8582.6474609375</v>
      </c>
      <c r="AA147" s="13">
        <v>2223.036865234375</v>
      </c>
      <c r="AB147" s="13">
        <v>6207.29638671875</v>
      </c>
      <c r="AC147" s="13">
        <v>1683.164306640625</v>
      </c>
      <c r="AD147" s="13">
        <v>3336.265869140625</v>
      </c>
      <c r="AE147" s="13">
        <v>1438.8602294921875</v>
      </c>
      <c r="AF147" s="13">
        <v>1507.4808349609375</v>
      </c>
      <c r="AG147" s="13">
        <v>1581.0867919921875</v>
      </c>
      <c r="AH147" s="13">
        <v>7438.76806640625</v>
      </c>
      <c r="AI147" s="13">
        <v>3305.676025390625</v>
      </c>
      <c r="AJ147" s="13">
        <v>1967.933837890625</v>
      </c>
      <c r="AK147" s="13">
        <v>1538.9002685546875</v>
      </c>
      <c r="AL147" s="13">
        <v>1514.095947265625</v>
      </c>
      <c r="AM147" s="13">
        <v>5031.732421875</v>
      </c>
      <c r="AN147" s="13">
        <v>2006.859619140625</v>
      </c>
      <c r="AO147" s="13">
        <v>3361.8134765625</v>
      </c>
      <c r="AP147" s="13">
        <v>1489.20068359375</v>
      </c>
      <c r="AQ147" s="13">
        <v>1069.7578125</v>
      </c>
      <c r="AR147" s="13">
        <v>575.25067138671875</v>
      </c>
      <c r="AS147" s="13">
        <v>1710.25390625</v>
      </c>
      <c r="AT147" s="13">
        <v>830.87908935546875</v>
      </c>
      <c r="AU147" s="13">
        <v>1110.1202392578125</v>
      </c>
      <c r="AV147" s="13">
        <v>1229.0252685546875</v>
      </c>
      <c r="AW147" s="13">
        <v>481.9466552734375</v>
      </c>
      <c r="AX147" s="13">
        <v>434.95233154296875</v>
      </c>
      <c r="AY147" s="13">
        <v>4372.1171875</v>
      </c>
      <c r="AZ147" s="13">
        <v>555.74981689453125</v>
      </c>
      <c r="BA147" s="13">
        <v>2800.547607421875</v>
      </c>
      <c r="BB147" s="13">
        <v>2276.118408203125</v>
      </c>
      <c r="BC147" s="13">
        <v>783.9381103515625</v>
      </c>
      <c r="BD147" s="13">
        <v>4775.79931640625</v>
      </c>
      <c r="BE147" s="13">
        <v>1150.24072265625</v>
      </c>
      <c r="BF147" s="13">
        <v>1434.9969482421875</v>
      </c>
      <c r="BG147" s="13">
        <v>2874.34326171875</v>
      </c>
      <c r="BH147" s="13">
        <v>1088.0762939453125</v>
      </c>
      <c r="BI147" s="13">
        <v>866.8580322265625</v>
      </c>
      <c r="BJ147" s="13">
        <v>1379.26953125</v>
      </c>
      <c r="BK147" s="13">
        <v>356.2840576171875</v>
      </c>
      <c r="BL147" s="13">
        <v>825.01483154296875</v>
      </c>
      <c r="BM147" s="13">
        <v>1647.929443359375</v>
      </c>
      <c r="BN147" s="13">
        <v>1058.737548828125</v>
      </c>
      <c r="BO147" s="13">
        <v>768.28021240234375</v>
      </c>
      <c r="BP147" s="13">
        <v>1815.821044921875</v>
      </c>
      <c r="BQ147" s="13"/>
      <c r="BR147" s="13"/>
    </row>
    <row r="148" spans="2:70" x14ac:dyDescent="0.2">
      <c r="B148">
        <v>1943</v>
      </c>
      <c r="C148" s="13">
        <v>3389.6328125</v>
      </c>
      <c r="D148" s="13">
        <v>4596.6640625</v>
      </c>
      <c r="E148" s="13">
        <v>12282.47265625</v>
      </c>
      <c r="F148" s="13">
        <v>2648.59521484375</v>
      </c>
      <c r="G148" s="13">
        <v>2151.249755859375</v>
      </c>
      <c r="H148" s="13">
        <v>1196.05419921875</v>
      </c>
      <c r="I148" s="13">
        <v>2087.19873046875</v>
      </c>
      <c r="J148" s="13">
        <v>1525.7701416015625</v>
      </c>
      <c r="K148" s="13">
        <v>1036.1336669921875</v>
      </c>
      <c r="L148" s="13">
        <v>7591.8017578125</v>
      </c>
      <c r="M148" s="13">
        <v>7950.69775390625</v>
      </c>
      <c r="N148" s="13">
        <v>3219.528076171875</v>
      </c>
      <c r="O148" s="13">
        <v>3172.145263671875</v>
      </c>
      <c r="P148" s="13">
        <v>9226.4755859375</v>
      </c>
      <c r="Q148" s="13">
        <v>5171.31201171875</v>
      </c>
      <c r="R148" s="13">
        <v>4644.19873046875</v>
      </c>
      <c r="S148" s="13">
        <v>5645.36328125</v>
      </c>
      <c r="T148" s="13">
        <v>5608.646484375</v>
      </c>
      <c r="U148" s="13">
        <v>5237.58056640625</v>
      </c>
      <c r="V148" s="13">
        <v>2201.137939453125</v>
      </c>
      <c r="W148" s="13">
        <v>13514.0078125</v>
      </c>
      <c r="X148" s="13">
        <v>8533.859375</v>
      </c>
      <c r="Y148" s="13">
        <v>10409.0224609375</v>
      </c>
      <c r="Z148" s="13">
        <v>8837.638671875</v>
      </c>
      <c r="AA148" s="13">
        <v>2512.39111328125</v>
      </c>
      <c r="AB148" s="13">
        <v>6410.21630859375</v>
      </c>
      <c r="AC148" s="13">
        <v>1873.397216796875</v>
      </c>
      <c r="AD148" s="13">
        <v>3334.83349609375</v>
      </c>
      <c r="AE148" s="13">
        <v>1544.98486328125</v>
      </c>
      <c r="AF148" s="13">
        <v>1655.0428466796875</v>
      </c>
      <c r="AG148" s="13">
        <v>1672.5380859375</v>
      </c>
      <c r="AH148" s="13">
        <v>8110.22021484375</v>
      </c>
      <c r="AI148" s="13">
        <v>3324.126953125</v>
      </c>
      <c r="AJ148" s="13">
        <v>1963.184814453125</v>
      </c>
      <c r="AK148" s="13">
        <v>1570.7950439453125</v>
      </c>
      <c r="AL148" s="13">
        <v>1545.5926513671875</v>
      </c>
      <c r="AM148" s="13">
        <v>5216.591796875</v>
      </c>
      <c r="AN148" s="13">
        <v>1802.608154296875</v>
      </c>
      <c r="AO148" s="13">
        <v>3279.494873046875</v>
      </c>
      <c r="AP148" s="13">
        <v>1506.984619140625</v>
      </c>
      <c r="AQ148" s="13">
        <v>1138.17236328125</v>
      </c>
      <c r="AR148" s="13">
        <v>575.10546875</v>
      </c>
      <c r="AS148" s="13">
        <v>1459.043701171875</v>
      </c>
      <c r="AT148" s="13">
        <v>833.55657958984375</v>
      </c>
      <c r="AU148" s="13">
        <v>1123.595703125</v>
      </c>
      <c r="AV148" s="13">
        <v>1053.98681640625</v>
      </c>
      <c r="AW148" s="13">
        <v>483.24346923828125</v>
      </c>
      <c r="AX148" s="13">
        <v>437.30288696289062</v>
      </c>
      <c r="AY148" s="13">
        <v>4381.93359375</v>
      </c>
      <c r="AZ148" s="13">
        <v>529.78515625</v>
      </c>
      <c r="BA148" s="13">
        <v>2679.392333984375</v>
      </c>
      <c r="BB148" s="13">
        <v>2177.650634765625</v>
      </c>
      <c r="BC148" s="13">
        <v>769.687744140625</v>
      </c>
      <c r="BD148" s="13">
        <v>5211.60595703125</v>
      </c>
      <c r="BE148" s="13">
        <v>1150.3695068359375</v>
      </c>
      <c r="BF148" s="13">
        <v>1410.9398193359375</v>
      </c>
      <c r="BG148" s="13">
        <v>2748.407470703125</v>
      </c>
      <c r="BH148" s="13">
        <v>1076.3408203125</v>
      </c>
      <c r="BI148" s="13">
        <v>917.66571044921875</v>
      </c>
      <c r="BJ148" s="13">
        <v>1387.6800537109375</v>
      </c>
      <c r="BK148" s="13">
        <v>337.88726806640625</v>
      </c>
      <c r="BL148" s="13">
        <v>821.64617919921875</v>
      </c>
      <c r="BM148" s="13">
        <v>1431.9024658203125</v>
      </c>
      <c r="BN148" s="13">
        <v>1056.98095703125</v>
      </c>
      <c r="BO148" s="13">
        <v>757.05694580078125</v>
      </c>
      <c r="BP148" s="13">
        <v>1854.0897216796875</v>
      </c>
      <c r="BQ148" s="13"/>
      <c r="BR148" s="13"/>
    </row>
    <row r="149" spans="2:70" x14ac:dyDescent="0.2">
      <c r="B149">
        <v>1944</v>
      </c>
      <c r="C149" s="13">
        <v>3379.614013671875</v>
      </c>
      <c r="D149" s="13">
        <v>4289.8134765625</v>
      </c>
      <c r="E149" s="13">
        <v>12843.5673828125</v>
      </c>
      <c r="F149" s="13">
        <v>3025.779052734375</v>
      </c>
      <c r="G149" s="13">
        <v>2130.873779296875</v>
      </c>
      <c r="H149" s="13">
        <v>1236.62841796875</v>
      </c>
      <c r="I149" s="13">
        <v>2035.618896484375</v>
      </c>
      <c r="J149" s="13">
        <v>1384.8338623046875</v>
      </c>
      <c r="K149" s="13">
        <v>1010.480712890625</v>
      </c>
      <c r="L149" s="13">
        <v>7631.923828125</v>
      </c>
      <c r="M149" s="13">
        <v>8630.3916015625</v>
      </c>
      <c r="N149" s="13">
        <v>3485.217529296875</v>
      </c>
      <c r="O149" s="13">
        <v>2810.18798828125</v>
      </c>
      <c r="P149" s="13">
        <v>9508.2060546875</v>
      </c>
      <c r="Q149" s="13">
        <v>2264.95458984375</v>
      </c>
      <c r="R149" s="13">
        <v>4481.10107421875</v>
      </c>
      <c r="S149" s="13">
        <v>5306.8623046875</v>
      </c>
      <c r="T149" s="13">
        <v>5737.63232421875</v>
      </c>
      <c r="U149" s="13">
        <v>4808.5439453125</v>
      </c>
      <c r="V149" s="13">
        <v>2021.4559326171875</v>
      </c>
      <c r="W149" s="13">
        <v>14175.8173828125</v>
      </c>
      <c r="X149" s="13">
        <v>8934.78515625</v>
      </c>
      <c r="Y149" s="13">
        <v>10032.052734375</v>
      </c>
      <c r="Z149" s="13">
        <v>8803.3955078125</v>
      </c>
      <c r="AA149" s="13">
        <v>2651.057861328125</v>
      </c>
      <c r="AB149" s="13">
        <v>7131.978515625</v>
      </c>
      <c r="AC149" s="13">
        <v>2108.9501953125</v>
      </c>
      <c r="AD149" s="13">
        <v>3304.1083984375</v>
      </c>
      <c r="AE149" s="13">
        <v>1766.4090576171875</v>
      </c>
      <c r="AF149" s="13">
        <v>2212.508544921875</v>
      </c>
      <c r="AG149" s="13">
        <v>1911.4102783203125</v>
      </c>
      <c r="AH149" s="13">
        <v>8842.1728515625</v>
      </c>
      <c r="AI149" s="13">
        <v>3342.5849609375</v>
      </c>
      <c r="AJ149" s="13">
        <v>1958.391357421875</v>
      </c>
      <c r="AK149" s="13">
        <v>1603.0986328125</v>
      </c>
      <c r="AL149" s="13">
        <v>1577.7257080078125</v>
      </c>
      <c r="AM149" s="13">
        <v>5407.93359375</v>
      </c>
      <c r="AN149" s="13">
        <v>1705.1279296875</v>
      </c>
      <c r="AO149" s="13">
        <v>3251.501708984375</v>
      </c>
      <c r="AP149" s="13">
        <v>1524.9384765625</v>
      </c>
      <c r="AQ149" s="13">
        <v>1210.893798828125</v>
      </c>
      <c r="AR149" s="13">
        <v>574.95428466796875</v>
      </c>
      <c r="AS149" s="13">
        <v>1746.17333984375</v>
      </c>
      <c r="AT149" s="13">
        <v>836.23358154296875</v>
      </c>
      <c r="AU149" s="13">
        <v>1137.22216796875</v>
      </c>
      <c r="AV149" s="13">
        <v>1121.404052734375</v>
      </c>
      <c r="AW149" s="13">
        <v>484.53866577148438</v>
      </c>
      <c r="AX149" s="13">
        <v>439.654296875</v>
      </c>
      <c r="AY149" s="13">
        <v>4443.30810546875</v>
      </c>
      <c r="AZ149" s="13">
        <v>549.87701416015625</v>
      </c>
      <c r="BA149" s="13">
        <v>2613.12548828125</v>
      </c>
      <c r="BB149" s="13">
        <v>2123.79296875</v>
      </c>
      <c r="BC149" s="13">
        <v>755.68743896484375</v>
      </c>
      <c r="BD149" s="13">
        <v>4395.5341796875</v>
      </c>
      <c r="BE149" s="13">
        <v>937.61920166015625</v>
      </c>
      <c r="BF149" s="13">
        <v>1370.98681640625</v>
      </c>
      <c r="BG149" s="13">
        <v>2519.868896484375</v>
      </c>
      <c r="BH149" s="13">
        <v>1072.33056640625</v>
      </c>
      <c r="BI149" s="13">
        <v>883.013427734375</v>
      </c>
      <c r="BJ149" s="13">
        <v>1394.9140625</v>
      </c>
      <c r="BK149" s="13">
        <v>318.47958374023438</v>
      </c>
      <c r="BL149" s="13">
        <v>818.26312255859375</v>
      </c>
      <c r="BM149" s="13">
        <v>1244.1676025390625</v>
      </c>
      <c r="BN149" s="13">
        <v>1061.6397705078125</v>
      </c>
      <c r="BO149" s="13">
        <v>750.6695556640625</v>
      </c>
      <c r="BP149" s="13">
        <v>1809.6353759765625</v>
      </c>
      <c r="BQ149" s="13"/>
      <c r="BR149" s="13"/>
    </row>
    <row r="150" spans="2:70" x14ac:dyDescent="0.2">
      <c r="B150">
        <v>1945</v>
      </c>
      <c r="C150" s="13">
        <v>3083.0341796875</v>
      </c>
      <c r="D150" s="13">
        <v>3560.012451171875</v>
      </c>
      <c r="E150" s="13">
        <v>12405.5361328125</v>
      </c>
      <c r="F150" s="13">
        <v>2950.106689453125</v>
      </c>
      <c r="G150" s="13">
        <v>2080.637451171875</v>
      </c>
      <c r="H150" s="13">
        <v>1255.18603515625</v>
      </c>
      <c r="I150" s="13">
        <v>1968.7513427734375</v>
      </c>
      <c r="J150" s="13">
        <v>1076.0169677734375</v>
      </c>
      <c r="K150" s="13">
        <v>991.43719482421875</v>
      </c>
      <c r="L150" s="13">
        <v>3068.6630859375</v>
      </c>
      <c r="M150" s="13">
        <v>8461.8642578125</v>
      </c>
      <c r="N150" s="13">
        <v>3150.9736328125</v>
      </c>
      <c r="O150" s="13">
        <v>3610.099365234375</v>
      </c>
      <c r="P150" s="13">
        <v>9588.01953125</v>
      </c>
      <c r="Q150" s="13">
        <v>2125.98193359375</v>
      </c>
      <c r="R150" s="13">
        <v>5620.81982421875</v>
      </c>
      <c r="S150" s="13">
        <v>6420.36083984375</v>
      </c>
      <c r="T150" s="13">
        <v>5971.2529296875</v>
      </c>
      <c r="U150" s="13">
        <v>4009.303955078125</v>
      </c>
      <c r="V150" s="13">
        <v>1657.97216796875</v>
      </c>
      <c r="W150" s="13">
        <v>13660.310546875</v>
      </c>
      <c r="X150" s="13">
        <v>8774.765625</v>
      </c>
      <c r="Y150" s="13">
        <v>9949.634765625</v>
      </c>
      <c r="Z150" s="13">
        <v>8959.4990234375</v>
      </c>
      <c r="AA150" s="13">
        <v>2577.59375</v>
      </c>
      <c r="AB150" s="13">
        <v>6523.59326171875</v>
      </c>
      <c r="AC150" s="13">
        <v>2101.9208984375</v>
      </c>
      <c r="AD150" s="13">
        <v>3514.9931640625</v>
      </c>
      <c r="AE150" s="13">
        <v>2061.592041015625</v>
      </c>
      <c r="AF150" s="13">
        <v>2241.996337890625</v>
      </c>
      <c r="AG150" s="13">
        <v>1880.4429931640625</v>
      </c>
      <c r="AH150" s="13">
        <v>9664.7451171875</v>
      </c>
      <c r="AI150" s="13">
        <v>3593.928466796875</v>
      </c>
      <c r="AJ150" s="13">
        <v>1960.7955322265625</v>
      </c>
      <c r="AK150" s="13">
        <v>1671.9652099609375</v>
      </c>
      <c r="AL150" s="13">
        <v>1612.8551025390625</v>
      </c>
      <c r="AM150" s="13">
        <v>5650.640625</v>
      </c>
      <c r="AN150" s="13">
        <v>1461.4248046875</v>
      </c>
      <c r="AO150" s="13">
        <v>3164.52587890625</v>
      </c>
      <c r="AP150" s="13">
        <v>1548.980712890625</v>
      </c>
      <c r="AQ150" s="13">
        <v>1298.1173095703125</v>
      </c>
      <c r="AR150" s="13">
        <v>575.65325927734375</v>
      </c>
      <c r="AS150" s="13">
        <v>1674.879150390625</v>
      </c>
      <c r="AT150" s="13">
        <v>840.14447021484375</v>
      </c>
      <c r="AU150" s="13">
        <v>1152.7255859375</v>
      </c>
      <c r="AV150" s="13">
        <v>1197.5723876953125</v>
      </c>
      <c r="AW150" s="13">
        <v>486.55264282226562</v>
      </c>
      <c r="AX150" s="13">
        <v>443.68572998046875</v>
      </c>
      <c r="AY150" s="13">
        <v>4365.19091796875</v>
      </c>
      <c r="AZ150" s="13">
        <v>561.9661865234375</v>
      </c>
      <c r="BA150" s="13">
        <v>2527.236083984375</v>
      </c>
      <c r="BB150" s="13">
        <v>2053.987060546875</v>
      </c>
      <c r="BC150" s="13">
        <v>737.71942138671875</v>
      </c>
      <c r="BD150" s="13">
        <v>2522.947998046875</v>
      </c>
      <c r="BE150" s="13">
        <v>767.0682373046875</v>
      </c>
      <c r="BF150" s="13">
        <v>1334.0748291015625</v>
      </c>
      <c r="BG150" s="13">
        <v>2106.48486328125</v>
      </c>
      <c r="BH150" s="13">
        <v>1069.927001953125</v>
      </c>
      <c r="BI150" s="13">
        <v>861.6531982421875</v>
      </c>
      <c r="BJ150" s="13">
        <v>1403.076416015625</v>
      </c>
      <c r="BK150" s="13">
        <v>303.67657470703125</v>
      </c>
      <c r="BL150" s="13">
        <v>818.66046142578125</v>
      </c>
      <c r="BM150" s="13">
        <v>1084.2470703125</v>
      </c>
      <c r="BN150" s="13">
        <v>1070.200439453125</v>
      </c>
      <c r="BO150" s="13">
        <v>754.1458740234375</v>
      </c>
      <c r="BP150" s="13">
        <v>1714.390625</v>
      </c>
      <c r="BQ150" s="13"/>
      <c r="BR150" s="13"/>
    </row>
    <row r="151" spans="2:70" x14ac:dyDescent="0.2">
      <c r="B151">
        <v>1946</v>
      </c>
      <c r="C151" s="13">
        <v>2955.069580078125</v>
      </c>
      <c r="D151" s="13">
        <v>3917.290771484375</v>
      </c>
      <c r="E151" s="13">
        <v>10846.353515625</v>
      </c>
      <c r="F151" s="13">
        <v>3238.957763671875</v>
      </c>
      <c r="G151" s="13">
        <v>2215.866455078125</v>
      </c>
      <c r="H151" s="13">
        <v>1281.9892578125</v>
      </c>
      <c r="I151" s="13">
        <v>2065.93701171875</v>
      </c>
      <c r="J151" s="13">
        <v>834.38934326171875</v>
      </c>
      <c r="K151" s="13">
        <v>1001.2305908203125</v>
      </c>
      <c r="L151" s="13">
        <v>2682.00927734375</v>
      </c>
      <c r="M151" s="13">
        <v>9019.15234375</v>
      </c>
      <c r="N151" s="13">
        <v>3328.607177734375</v>
      </c>
      <c r="O151" s="13">
        <v>5281.0078125</v>
      </c>
      <c r="P151" s="13">
        <v>9129.111328125</v>
      </c>
      <c r="Q151" s="13">
        <v>4006.977294921875</v>
      </c>
      <c r="R151" s="13">
        <v>5872.2607421875</v>
      </c>
      <c r="S151" s="13">
        <v>8170.9267578125</v>
      </c>
      <c r="T151" s="13">
        <v>6677.82763671875</v>
      </c>
      <c r="U151" s="13">
        <v>4577.404296875</v>
      </c>
      <c r="V151" s="13">
        <v>1839.9595947265625</v>
      </c>
      <c r="W151" s="13">
        <v>11835.2978515625</v>
      </c>
      <c r="X151" s="13">
        <v>8326.6689453125</v>
      </c>
      <c r="Y151" s="13">
        <v>9475.974609375</v>
      </c>
      <c r="Z151" s="13">
        <v>9175.509765625</v>
      </c>
      <c r="AA151" s="13">
        <v>2275.0888671875</v>
      </c>
      <c r="AB151" s="13">
        <v>7264.0791015625</v>
      </c>
      <c r="AC151" s="13">
        <v>2252.033203125</v>
      </c>
      <c r="AD151" s="13">
        <v>3692.845458984375</v>
      </c>
      <c r="AE151" s="13">
        <v>2091.31298828125</v>
      </c>
      <c r="AF151" s="13">
        <v>2581.757080078125</v>
      </c>
      <c r="AG151" s="13">
        <v>2046.293212890625</v>
      </c>
      <c r="AH151" s="13">
        <v>10511.5283203125</v>
      </c>
      <c r="AI151" s="13">
        <v>3589.67529296875</v>
      </c>
      <c r="AJ151" s="13">
        <v>1949.216796875</v>
      </c>
      <c r="AK151" s="13">
        <v>1671.70263671875</v>
      </c>
      <c r="AL151" s="13">
        <v>1644.132080078125</v>
      </c>
      <c r="AM151" s="13">
        <v>5814.4208984375</v>
      </c>
      <c r="AN151" s="13">
        <v>1839.0478515625</v>
      </c>
      <c r="AO151" s="13">
        <v>3365.41796875</v>
      </c>
      <c r="AP151" s="13">
        <v>1561.8101806640625</v>
      </c>
      <c r="AQ151" s="13">
        <v>1371.1361083984375</v>
      </c>
      <c r="AR151" s="13">
        <v>574.697998046875</v>
      </c>
      <c r="AS151" s="13">
        <v>1674.38818359375</v>
      </c>
      <c r="AT151" s="13">
        <v>841.67950439453125</v>
      </c>
      <c r="AU151" s="13">
        <v>1165.0657958984375</v>
      </c>
      <c r="AV151" s="13">
        <v>1269.7056884765625</v>
      </c>
      <c r="AW151" s="13">
        <v>487.17837524414062</v>
      </c>
      <c r="AX151" s="13">
        <v>444.486083984375</v>
      </c>
      <c r="AY151" s="13">
        <v>4394.55615234375</v>
      </c>
      <c r="AZ151" s="13">
        <v>576.7515869140625</v>
      </c>
      <c r="BA151" s="13">
        <v>2651.9365234375</v>
      </c>
      <c r="BB151" s="13">
        <v>2155.3359375</v>
      </c>
      <c r="BC151" s="13">
        <v>723.25628662109375</v>
      </c>
      <c r="BD151" s="13">
        <v>1156.0438232421875</v>
      </c>
      <c r="BE151" s="13">
        <v>623.48016357421875</v>
      </c>
      <c r="BF151" s="13">
        <v>1291.681640625</v>
      </c>
      <c r="BG151" s="13">
        <v>1655.224609375</v>
      </c>
      <c r="BH151" s="13">
        <v>1058.32763671875</v>
      </c>
      <c r="BI151" s="13">
        <v>891.35882568359375</v>
      </c>
      <c r="BJ151" s="13">
        <v>1414.5443115234375</v>
      </c>
      <c r="BK151" s="13">
        <v>286.54107666015625</v>
      </c>
      <c r="BL151" s="13">
        <v>811.73944091796875</v>
      </c>
      <c r="BM151" s="13">
        <v>944.8118896484375</v>
      </c>
      <c r="BN151" s="13">
        <v>1064.4072265625</v>
      </c>
      <c r="BO151" s="13">
        <v>743.074951171875</v>
      </c>
      <c r="BP151" s="13">
        <v>1724.9322509765625</v>
      </c>
      <c r="BQ151" s="13"/>
      <c r="BR151" s="13"/>
    </row>
    <row r="152" spans="2:70" x14ac:dyDescent="0.2">
      <c r="B152">
        <v>1947</v>
      </c>
      <c r="C152" s="13">
        <v>2973.81787109375</v>
      </c>
      <c r="D152" s="13">
        <v>4038.2939453125</v>
      </c>
      <c r="E152" s="13">
        <v>10536.978515625</v>
      </c>
      <c r="F152" s="13">
        <v>3348.1240234375</v>
      </c>
      <c r="G152" s="13">
        <v>2246.059814453125</v>
      </c>
      <c r="H152" s="13">
        <v>1300.03466796875</v>
      </c>
      <c r="I152" s="13">
        <v>2289.53076171875</v>
      </c>
      <c r="J152" s="13">
        <v>861.7857666015625</v>
      </c>
      <c r="K152" s="13">
        <v>973.58624267578125</v>
      </c>
      <c r="L152" s="13">
        <v>3166.367431640625</v>
      </c>
      <c r="M152" s="13">
        <v>9606.4482421875</v>
      </c>
      <c r="N152" s="13">
        <v>3154.603759765625</v>
      </c>
      <c r="O152" s="13">
        <v>5273.40966796875</v>
      </c>
      <c r="P152" s="13">
        <v>8478.5654296875</v>
      </c>
      <c r="Q152" s="13">
        <v>4748.365234375</v>
      </c>
      <c r="R152" s="13">
        <v>6801.34765625</v>
      </c>
      <c r="S152" s="13">
        <v>9431.908203125</v>
      </c>
      <c r="T152" s="13">
        <v>7174.49560546875</v>
      </c>
      <c r="U152" s="13">
        <v>4709.90576171875</v>
      </c>
      <c r="V152" s="13">
        <v>1895.1392822265625</v>
      </c>
      <c r="W152" s="13">
        <v>11443.7216796875</v>
      </c>
      <c r="X152" s="13">
        <v>8464.8388671875</v>
      </c>
      <c r="Y152" s="13">
        <v>9428.3779296875</v>
      </c>
      <c r="Z152" s="13">
        <v>9850.3310546875</v>
      </c>
      <c r="AA152" s="13">
        <v>2215.977294921875</v>
      </c>
      <c r="AB152" s="13">
        <v>8691.0302734375</v>
      </c>
      <c r="AC152" s="13">
        <v>2017.91943359375</v>
      </c>
      <c r="AD152" s="13">
        <v>3203.234375</v>
      </c>
      <c r="AE152" s="13">
        <v>2170.730224609375</v>
      </c>
      <c r="AF152" s="13">
        <v>2457.7734375</v>
      </c>
      <c r="AG152" s="13">
        <v>2109.09814453125</v>
      </c>
      <c r="AH152" s="13">
        <v>11451.630859375</v>
      </c>
      <c r="AI152" s="13">
        <v>3602.926513671875</v>
      </c>
      <c r="AJ152" s="13">
        <v>1941.92724609375</v>
      </c>
      <c r="AK152" s="13">
        <v>1692.8763427734375</v>
      </c>
      <c r="AL152" s="13">
        <v>1677.4515380859375</v>
      </c>
      <c r="AM152" s="13">
        <v>6010.880859375</v>
      </c>
      <c r="AN152" s="13">
        <v>1896.304931640625</v>
      </c>
      <c r="AO152" s="13">
        <v>3411.6669921875</v>
      </c>
      <c r="AP152" s="13">
        <v>1578.2869873046875</v>
      </c>
      <c r="AQ152" s="13">
        <v>1454.80712890625</v>
      </c>
      <c r="AR152" s="13">
        <v>574.2467041015625</v>
      </c>
      <c r="AS152" s="13">
        <v>1677.75439453125</v>
      </c>
      <c r="AT152" s="13">
        <v>843.947021484375</v>
      </c>
      <c r="AU152" s="13">
        <v>1178.57421875</v>
      </c>
      <c r="AV152" s="13">
        <v>1349.1478271484375</v>
      </c>
      <c r="AW152" s="13">
        <v>488.23028564453125</v>
      </c>
      <c r="AX152" s="13">
        <v>446.28091430664062</v>
      </c>
      <c r="AY152" s="13">
        <v>4337.044921875</v>
      </c>
      <c r="AZ152" s="13">
        <v>587.56207275390625</v>
      </c>
      <c r="BA152" s="13">
        <v>2938.890625</v>
      </c>
      <c r="BB152" s="13">
        <v>2388.555419921875</v>
      </c>
      <c r="BC152" s="13">
        <v>709.705810546875</v>
      </c>
      <c r="BD152" s="13">
        <v>1377.445556640625</v>
      </c>
      <c r="BE152" s="13">
        <v>637.43194580078125</v>
      </c>
      <c r="BF152" s="13">
        <v>1253.0291748046875</v>
      </c>
      <c r="BG152" s="13">
        <v>1711.847412109375</v>
      </c>
      <c r="BH152" s="13">
        <v>1053.6129150390625</v>
      </c>
      <c r="BI152" s="13">
        <v>824.84161376953125</v>
      </c>
      <c r="BJ152" s="13">
        <v>1418.4041748046875</v>
      </c>
      <c r="BK152" s="13">
        <v>271.23464965820312</v>
      </c>
      <c r="BL152" s="13">
        <v>807.07220458984375</v>
      </c>
      <c r="BM152" s="13">
        <v>1286.777099609375</v>
      </c>
      <c r="BN152" s="13">
        <v>1067.480224609375</v>
      </c>
      <c r="BO152" s="13">
        <v>739.39544677734375</v>
      </c>
      <c r="BP152" s="13">
        <v>1660.3958740234375</v>
      </c>
      <c r="BQ152" s="13"/>
      <c r="BR152" s="13"/>
    </row>
    <row r="153" spans="2:70" x14ac:dyDescent="0.2">
      <c r="B153">
        <v>1948</v>
      </c>
      <c r="C153" s="13">
        <v>3116.017822265625</v>
      </c>
      <c r="D153" s="13">
        <v>4372.19140625</v>
      </c>
      <c r="E153" s="13">
        <v>10821.4736328125</v>
      </c>
      <c r="F153" s="13">
        <v>3534.446533203125</v>
      </c>
      <c r="G153" s="13">
        <v>2317.427978515625</v>
      </c>
      <c r="H153" s="13">
        <v>1353.18603515625</v>
      </c>
      <c r="I153" s="13">
        <v>2482.451171875</v>
      </c>
      <c r="J153" s="13">
        <v>878.64593505859375</v>
      </c>
      <c r="K153" s="13">
        <v>986.6339111328125</v>
      </c>
      <c r="L153" s="13">
        <v>3792.34375</v>
      </c>
      <c r="M153" s="13">
        <v>10008.8740234375</v>
      </c>
      <c r="N153" s="13">
        <v>3157.741943359375</v>
      </c>
      <c r="O153" s="13">
        <v>5992.654296875</v>
      </c>
      <c r="P153" s="13">
        <v>8498.0673828125</v>
      </c>
      <c r="Q153" s="13">
        <v>5238.9755859375</v>
      </c>
      <c r="R153" s="13">
        <v>7280.07763671875</v>
      </c>
      <c r="S153" s="13">
        <v>10252.541015625</v>
      </c>
      <c r="T153" s="13">
        <v>7463.177734375</v>
      </c>
      <c r="U153" s="13">
        <v>5088.3349609375</v>
      </c>
      <c r="V153" s="13">
        <v>2048.895751953125</v>
      </c>
      <c r="W153" s="13">
        <v>11746.099609375</v>
      </c>
      <c r="X153" s="13">
        <v>8568.6083984375</v>
      </c>
      <c r="Y153" s="13">
        <v>10385.826171875</v>
      </c>
      <c r="Z153" s="13">
        <v>8691.0849609375</v>
      </c>
      <c r="AA153" s="13">
        <v>2263.77783203125</v>
      </c>
      <c r="AB153" s="13">
        <v>9215.3955078125</v>
      </c>
      <c r="AC153" s="13">
        <v>2206.79052734375</v>
      </c>
      <c r="AD153" s="13">
        <v>3633.449951171875</v>
      </c>
      <c r="AE153" s="13">
        <v>2300.87451171875</v>
      </c>
      <c r="AF153" s="13">
        <v>2360.323974609375</v>
      </c>
      <c r="AG153" s="13">
        <v>2287.000732421875</v>
      </c>
      <c r="AH153" s="13">
        <v>12477.5927734375</v>
      </c>
      <c r="AI153" s="13">
        <v>3617.772705078125</v>
      </c>
      <c r="AJ153" s="13">
        <v>1935.0579833984375</v>
      </c>
      <c r="AK153" s="13">
        <v>1716.317626953125</v>
      </c>
      <c r="AL153" s="13">
        <v>1711.5821533203125</v>
      </c>
      <c r="AM153" s="13">
        <v>5411.09619140625</v>
      </c>
      <c r="AN153" s="13">
        <v>2102.973388671875</v>
      </c>
      <c r="AO153" s="13">
        <v>3516.29345703125</v>
      </c>
      <c r="AP153" s="13">
        <v>1595.2677001953125</v>
      </c>
      <c r="AQ153" s="13">
        <v>1544.2347412109375</v>
      </c>
      <c r="AR153" s="13">
        <v>573.8424072265625</v>
      </c>
      <c r="AS153" s="13">
        <v>1681.4522705078125</v>
      </c>
      <c r="AT153" s="13">
        <v>846.2889404296875</v>
      </c>
      <c r="AU153" s="13">
        <v>1192.3360595703125</v>
      </c>
      <c r="AV153" s="13">
        <v>1433.8551025390625</v>
      </c>
      <c r="AW153" s="13">
        <v>489.32424926757812</v>
      </c>
      <c r="AX153" s="13">
        <v>448.17575073242188</v>
      </c>
      <c r="AY153" s="13">
        <v>4563.99609375</v>
      </c>
      <c r="AZ153" s="13">
        <v>613.1279296875</v>
      </c>
      <c r="BA153" s="13">
        <v>3186.46044921875</v>
      </c>
      <c r="BB153" s="13">
        <v>2589.765380859375</v>
      </c>
      <c r="BC153" s="13">
        <v>696.46343994140625</v>
      </c>
      <c r="BD153" s="13">
        <v>1517.0369873046875</v>
      </c>
      <c r="BE153" s="13">
        <v>746.0643310546875</v>
      </c>
      <c r="BF153" s="13">
        <v>1213.794677734375</v>
      </c>
      <c r="BG153" s="13">
        <v>1751.77685546875</v>
      </c>
      <c r="BH153" s="13">
        <v>1049.0478515625</v>
      </c>
      <c r="BI153" s="13">
        <v>839.46624755859375</v>
      </c>
      <c r="BJ153" s="13">
        <v>1417.94970703125</v>
      </c>
      <c r="BK153" s="13">
        <v>256.8211669921875</v>
      </c>
      <c r="BL153" s="13">
        <v>802.632080078125</v>
      </c>
      <c r="BM153" s="13">
        <v>1460.205078125</v>
      </c>
      <c r="BN153" s="13">
        <v>1071.1033935546875</v>
      </c>
      <c r="BO153" s="13">
        <v>731.3658447265625</v>
      </c>
      <c r="BP153" s="13">
        <v>1675.093017578125</v>
      </c>
      <c r="BQ153" s="13"/>
      <c r="BR153" s="13"/>
    </row>
    <row r="154" spans="2:70" x14ac:dyDescent="0.2">
      <c r="B154">
        <v>1949</v>
      </c>
      <c r="C154" s="13">
        <v>3173.026611328125</v>
      </c>
      <c r="D154" s="13">
        <v>4710.677734375</v>
      </c>
      <c r="E154" s="13">
        <v>10567.033203125</v>
      </c>
      <c r="F154" s="13">
        <v>3523.381591796875</v>
      </c>
      <c r="G154" s="13">
        <v>2278.039306640625</v>
      </c>
      <c r="H154" s="13">
        <v>1374.8685302734375</v>
      </c>
      <c r="I154" s="13">
        <v>2616.01513671875</v>
      </c>
      <c r="J154" s="13">
        <v>866.27508544921875</v>
      </c>
      <c r="K154" s="13">
        <v>974.314208984375</v>
      </c>
      <c r="L154" s="13">
        <v>4444.20703125</v>
      </c>
      <c r="M154" s="13">
        <v>10273.2451171875</v>
      </c>
      <c r="N154" s="13">
        <v>3216.875</v>
      </c>
      <c r="O154" s="13">
        <v>6301.34326171875</v>
      </c>
      <c r="P154" s="13">
        <v>9069.447265625</v>
      </c>
      <c r="Q154" s="13">
        <v>5457.5078125</v>
      </c>
      <c r="R154" s="13">
        <v>8216.16015625</v>
      </c>
      <c r="S154" s="13">
        <v>10845.609375</v>
      </c>
      <c r="T154" s="13">
        <v>7599.6953125</v>
      </c>
      <c r="U154" s="13">
        <v>5486.5302734375</v>
      </c>
      <c r="V154" s="13">
        <v>2211.803955078125</v>
      </c>
      <c r="W154" s="13">
        <v>11393.2822265625</v>
      </c>
      <c r="X154" s="13">
        <v>8890.0927734375</v>
      </c>
      <c r="Y154" s="13">
        <v>10603.541015625</v>
      </c>
      <c r="Z154" s="13">
        <v>9392.5263671875</v>
      </c>
      <c r="AA154" s="13">
        <v>2224.3837890625</v>
      </c>
      <c r="AB154" s="13">
        <v>8440.67578125</v>
      </c>
      <c r="AC154" s="13">
        <v>2404.29052734375</v>
      </c>
      <c r="AD154" s="13">
        <v>3456.402099609375</v>
      </c>
      <c r="AE154" s="13">
        <v>2579.561279296875</v>
      </c>
      <c r="AF154" s="13">
        <v>2473.07080078125</v>
      </c>
      <c r="AG154" s="13">
        <v>2344.31689453125</v>
      </c>
      <c r="AH154" s="13">
        <v>13591.69140625</v>
      </c>
      <c r="AI154" s="13">
        <v>3630.4296875</v>
      </c>
      <c r="AJ154" s="13">
        <v>1927.0084228515625</v>
      </c>
      <c r="AK154" s="13">
        <v>1733.3634033203125</v>
      </c>
      <c r="AL154" s="13">
        <v>1745.9775390625</v>
      </c>
      <c r="AM154" s="13">
        <v>5984.25244140625</v>
      </c>
      <c r="AN154" s="13">
        <v>1948.303466796875</v>
      </c>
      <c r="AO154" s="13">
        <v>3461.1982421875</v>
      </c>
      <c r="AP154" s="13">
        <v>1611.3729248046875</v>
      </c>
      <c r="AQ154" s="13">
        <v>1637.0191650390625</v>
      </c>
      <c r="AR154" s="13">
        <v>573.29345703125</v>
      </c>
      <c r="AS154" s="13">
        <v>1684.6048583984375</v>
      </c>
      <c r="AT154" s="13">
        <v>848.42657470703125</v>
      </c>
      <c r="AU154" s="13">
        <v>1205.9508056640625</v>
      </c>
      <c r="AV154" s="13">
        <v>1522.915283203125</v>
      </c>
      <c r="AW154" s="13">
        <v>490.29757690429688</v>
      </c>
      <c r="AX154" s="13">
        <v>449.78768920898438</v>
      </c>
      <c r="AY154" s="13">
        <v>4511.40869140625</v>
      </c>
      <c r="AZ154" s="13">
        <v>625.97119140625</v>
      </c>
      <c r="BA154" s="13">
        <v>3357.831298828125</v>
      </c>
      <c r="BB154" s="13">
        <v>2729.04541015625</v>
      </c>
      <c r="BC154" s="13">
        <v>683.2872314453125</v>
      </c>
      <c r="BD154" s="13">
        <v>1445.43359375</v>
      </c>
      <c r="BE154" s="13">
        <v>805.62628173828125</v>
      </c>
      <c r="BF154" s="13">
        <v>1175.38525390625</v>
      </c>
      <c r="BG154" s="13">
        <v>1719.0938720703125</v>
      </c>
      <c r="BH154" s="13">
        <v>1044.0987548828125</v>
      </c>
      <c r="BI154" s="13">
        <v>928.88983154296875</v>
      </c>
      <c r="BJ154" s="13">
        <v>981.3404541015625</v>
      </c>
      <c r="BK154" s="13">
        <v>242.94670104980469</v>
      </c>
      <c r="BL154" s="13">
        <v>802.87725830078125</v>
      </c>
      <c r="BM154" s="13">
        <v>1517.5501708984375</v>
      </c>
      <c r="BN154" s="13">
        <v>1074.7755126953125</v>
      </c>
      <c r="BO154" s="13">
        <v>731.73712158203125</v>
      </c>
      <c r="BP154" s="13">
        <v>1661.6851806640625</v>
      </c>
      <c r="BQ154" s="13"/>
      <c r="BR154" s="13"/>
    </row>
    <row r="155" spans="2:70" x14ac:dyDescent="0.2">
      <c r="B155">
        <v>1950</v>
      </c>
      <c r="C155" s="13">
        <v>3378.90576171875</v>
      </c>
      <c r="D155" s="13">
        <v>5076.59814453125</v>
      </c>
      <c r="E155" s="13">
        <v>11349.796875</v>
      </c>
      <c r="F155" s="13">
        <v>3461.7646484375</v>
      </c>
      <c r="G155" s="13">
        <v>2348.073486328125</v>
      </c>
      <c r="H155" s="13">
        <v>1440.2388916015625</v>
      </c>
      <c r="I155" s="13">
        <v>2774.9169921875</v>
      </c>
      <c r="J155" s="13">
        <v>949.056884765625</v>
      </c>
      <c r="K155" s="13">
        <v>951.30499267578125</v>
      </c>
      <c r="L155" s="13">
        <v>5145.0732421875</v>
      </c>
      <c r="M155" s="13">
        <v>10998.53125</v>
      </c>
      <c r="N155" s="13">
        <v>3555.75732421875</v>
      </c>
      <c r="O155" s="13">
        <v>6707.1396484375</v>
      </c>
      <c r="P155" s="13">
        <v>9385.01171875</v>
      </c>
      <c r="Q155" s="13">
        <v>6158.5205078125</v>
      </c>
      <c r="R155" s="13">
        <v>8065.6748046875</v>
      </c>
      <c r="S155" s="13">
        <v>11251.2041015625</v>
      </c>
      <c r="T155" s="13">
        <v>8267.4765625</v>
      </c>
      <c r="U155" s="13">
        <v>5879.0537109375</v>
      </c>
      <c r="V155" s="13">
        <v>2362.46484375</v>
      </c>
      <c r="W155" s="13">
        <v>12248.98828125</v>
      </c>
      <c r="X155" s="13">
        <v>9432.119140625</v>
      </c>
      <c r="Y155" s="13">
        <v>11213.765625</v>
      </c>
      <c r="Z155" s="13">
        <v>10709.4462890625</v>
      </c>
      <c r="AA155" s="13">
        <v>2590.72216796875</v>
      </c>
      <c r="AB155" s="13">
        <v>7353.43212890625</v>
      </c>
      <c r="AC155" s="13">
        <v>2498.66650390625</v>
      </c>
      <c r="AD155" s="13">
        <v>3483.103515625</v>
      </c>
      <c r="AE155" s="13">
        <v>2791.769287109375</v>
      </c>
      <c r="AF155" s="13">
        <v>2686.6591796875</v>
      </c>
      <c r="AG155" s="13">
        <v>2384.166259765625</v>
      </c>
      <c r="AH155" s="13">
        <v>14769.8671875</v>
      </c>
      <c r="AI155" s="13">
        <v>3626.670654296875</v>
      </c>
      <c r="AJ155" s="13">
        <v>2022.9437255859375</v>
      </c>
      <c r="AK155" s="13">
        <v>1846.50439453125</v>
      </c>
      <c r="AL155" s="13">
        <v>1776.1351318359375</v>
      </c>
      <c r="AM155" s="13">
        <v>3947.447509765625</v>
      </c>
      <c r="AN155" s="13">
        <v>2074.30126953125</v>
      </c>
      <c r="AO155" s="13">
        <v>3572.481689453125</v>
      </c>
      <c r="AP155" s="13">
        <v>1615.6124267578125</v>
      </c>
      <c r="AQ155" s="13">
        <v>1709.7322998046875</v>
      </c>
      <c r="AR155" s="13">
        <v>575.58489990234375</v>
      </c>
      <c r="AS155" s="13">
        <v>1615.87646484375</v>
      </c>
      <c r="AT155" s="13">
        <v>834.73193359375</v>
      </c>
      <c r="AU155" s="13">
        <v>1225.8121337890625</v>
      </c>
      <c r="AV155" s="13">
        <v>1605.9273681640625</v>
      </c>
      <c r="AW155" s="13">
        <v>501.139404296875</v>
      </c>
      <c r="AX155" s="13">
        <v>448.11239624023438</v>
      </c>
      <c r="AY155" s="13">
        <v>4931.11865234375</v>
      </c>
      <c r="AZ155" s="13">
        <v>657.74847412109375</v>
      </c>
      <c r="BA155" s="13">
        <v>3561.715576171875</v>
      </c>
      <c r="BB155" s="13">
        <v>2894.75048828125</v>
      </c>
      <c r="BC155" s="13">
        <v>679.55255126953125</v>
      </c>
      <c r="BD155" s="13">
        <v>2057.468017578125</v>
      </c>
      <c r="BE155" s="13">
        <v>673.33270263671875</v>
      </c>
      <c r="BF155" s="13">
        <v>1135.4293212890625</v>
      </c>
      <c r="BG155" s="13">
        <v>1805.821044921875</v>
      </c>
      <c r="BH155" s="13">
        <v>1034.6522216796875</v>
      </c>
      <c r="BI155" s="13">
        <v>877.32098388671875</v>
      </c>
      <c r="BJ155" s="13">
        <v>1052.8310546875</v>
      </c>
      <c r="BK155" s="13">
        <v>231.29841613769531</v>
      </c>
      <c r="BL155" s="13">
        <v>792.12420654296875</v>
      </c>
      <c r="BM155" s="13">
        <v>1592.4215087890625</v>
      </c>
      <c r="BN155" s="13">
        <v>1077.240478515625</v>
      </c>
      <c r="BO155" s="13">
        <v>711.1556396484375</v>
      </c>
      <c r="BP155" s="13">
        <v>1589.7196044921875</v>
      </c>
      <c r="BQ155" s="13"/>
      <c r="BR155" s="13"/>
    </row>
    <row r="156" spans="2:70" x14ac:dyDescent="0.2">
      <c r="B156">
        <v>1951</v>
      </c>
      <c r="C156" s="13">
        <v>3565.315673828125</v>
      </c>
      <c r="D156" s="13">
        <v>5279.41259765625</v>
      </c>
      <c r="E156" s="13">
        <v>12054.587890625</v>
      </c>
      <c r="F156" s="13">
        <v>3713.858642578125</v>
      </c>
      <c r="G156" s="13">
        <v>2409.727294921875</v>
      </c>
      <c r="H156" s="13">
        <v>1509.5208740234375</v>
      </c>
      <c r="I156" s="13">
        <v>2912.691650390625</v>
      </c>
      <c r="J156" s="13">
        <v>1105.5426025390625</v>
      </c>
      <c r="K156" s="13">
        <v>957.8245849609375</v>
      </c>
      <c r="L156" s="13">
        <v>5830.63623046875</v>
      </c>
      <c r="M156" s="13">
        <v>10480.17578125</v>
      </c>
      <c r="N156" s="13">
        <v>4194.09716796875</v>
      </c>
      <c r="O156" s="13">
        <v>7177.22802734375</v>
      </c>
      <c r="P156" s="13">
        <v>8924.2470703125</v>
      </c>
      <c r="Q156" s="13">
        <v>6350.48095703125</v>
      </c>
      <c r="R156" s="13">
        <v>8089.59814453125</v>
      </c>
      <c r="S156" s="13">
        <v>11979.8603515625</v>
      </c>
      <c r="T156" s="13">
        <v>8773.9912109375</v>
      </c>
      <c r="U156" s="13">
        <v>6162.94580078125</v>
      </c>
      <c r="V156" s="13">
        <v>2473.141845703125</v>
      </c>
      <c r="W156" s="13">
        <v>13053.0791015625</v>
      </c>
      <c r="X156" s="13">
        <v>9752.59375</v>
      </c>
      <c r="Y156" s="13">
        <v>11997.1591796875</v>
      </c>
      <c r="Z156" s="13">
        <v>9677.03125</v>
      </c>
      <c r="AA156" s="13">
        <v>2741.933837890625</v>
      </c>
      <c r="AB156" s="13">
        <v>7781.61572265625</v>
      </c>
      <c r="AC156" s="13">
        <v>2683.883544921875</v>
      </c>
      <c r="AD156" s="13">
        <v>3554.062744140625</v>
      </c>
      <c r="AE156" s="13">
        <v>2833.01318359375</v>
      </c>
      <c r="AF156" s="13">
        <v>3093.370361328125</v>
      </c>
      <c r="AG156" s="13">
        <v>2552.2861328125</v>
      </c>
      <c r="AH156" s="13">
        <v>15619.8056640625</v>
      </c>
      <c r="AI156" s="13">
        <v>3570.124267578125</v>
      </c>
      <c r="AJ156" s="13">
        <v>2011.08642578125</v>
      </c>
      <c r="AK156" s="13">
        <v>1796.0137939453125</v>
      </c>
      <c r="AL156" s="13">
        <v>1779.4029541015625</v>
      </c>
      <c r="AM156" s="13">
        <v>4130.83837890625</v>
      </c>
      <c r="AN156" s="13">
        <v>2297.251708984375</v>
      </c>
      <c r="AO156" s="13">
        <v>3645.1171875</v>
      </c>
      <c r="AP156" s="13">
        <v>1788.030517578125</v>
      </c>
      <c r="AQ156" s="13">
        <v>1734.833984375</v>
      </c>
      <c r="AR156" s="13">
        <v>582.55267333984375</v>
      </c>
      <c r="AS156" s="13">
        <v>1968.2000732421875</v>
      </c>
      <c r="AT156" s="13">
        <v>847.82708740234375</v>
      </c>
      <c r="AU156" s="13">
        <v>1264.610107421875</v>
      </c>
      <c r="AV156" s="13">
        <v>1705.77978515625</v>
      </c>
      <c r="AW156" s="13">
        <v>520.07958984375</v>
      </c>
      <c r="AX156" s="13">
        <v>456.03561401367188</v>
      </c>
      <c r="AY156" s="13">
        <v>4957.28564453125</v>
      </c>
      <c r="AZ156" s="13">
        <v>692.39801025390625</v>
      </c>
      <c r="BA156" s="13">
        <v>3738.808349609375</v>
      </c>
      <c r="BB156" s="13">
        <v>3038.659912109375</v>
      </c>
      <c r="BC156" s="13">
        <v>807.87841796875</v>
      </c>
      <c r="BD156" s="13">
        <v>2366.56884765625</v>
      </c>
      <c r="BE156" s="13">
        <v>658.9456787109375</v>
      </c>
      <c r="BF156" s="13">
        <v>1174.6151123046875</v>
      </c>
      <c r="BG156" s="13">
        <v>2080.87353515625</v>
      </c>
      <c r="BH156" s="13">
        <v>1035.289794921875</v>
      </c>
      <c r="BI156" s="13">
        <v>869.627685546875</v>
      </c>
      <c r="BJ156" s="13">
        <v>1103.4481201171875</v>
      </c>
      <c r="BK156" s="13">
        <v>262.21066284179688</v>
      </c>
      <c r="BL156" s="13">
        <v>748.5728759765625</v>
      </c>
      <c r="BM156" s="13">
        <v>1697.5386962890625</v>
      </c>
      <c r="BN156" s="13">
        <v>1128.7371826171875</v>
      </c>
      <c r="BO156" s="13">
        <v>735.72064208984375</v>
      </c>
      <c r="BP156" s="13">
        <v>1590.688720703125</v>
      </c>
      <c r="BQ156" s="13"/>
      <c r="BR156" s="13"/>
    </row>
    <row r="157" spans="2:70" x14ac:dyDescent="0.2">
      <c r="B157">
        <v>1952</v>
      </c>
      <c r="C157" s="13">
        <v>3656.808349609375</v>
      </c>
      <c r="D157" s="13">
        <v>5549.57861328125</v>
      </c>
      <c r="E157" s="13">
        <v>12299.3974609375</v>
      </c>
      <c r="F157" s="13">
        <v>3455.550048828125</v>
      </c>
      <c r="G157" s="13">
        <v>2488.939208984375</v>
      </c>
      <c r="H157" s="13">
        <v>1544.6671142578125</v>
      </c>
      <c r="I157" s="13">
        <v>3101.69091796875</v>
      </c>
      <c r="J157" s="13">
        <v>1203.2060546875</v>
      </c>
      <c r="K157" s="13">
        <v>915.9827880859375</v>
      </c>
      <c r="L157" s="13">
        <v>6478.7568359375</v>
      </c>
      <c r="M157" s="13">
        <v>10655.34375</v>
      </c>
      <c r="N157" s="13">
        <v>4701.9033203125</v>
      </c>
      <c r="O157" s="13">
        <v>7381.9482421875</v>
      </c>
      <c r="P157" s="13">
        <v>9107.205078125</v>
      </c>
      <c r="Q157" s="13">
        <v>6698.46630859375</v>
      </c>
      <c r="R157" s="13">
        <v>8335.935546875</v>
      </c>
      <c r="S157" s="13">
        <v>11964.5771484375</v>
      </c>
      <c r="T157" s="13">
        <v>8984.6181640625</v>
      </c>
      <c r="U157" s="13">
        <v>6483.1943359375</v>
      </c>
      <c r="V157" s="13">
        <v>2608.69140625</v>
      </c>
      <c r="W157" s="13">
        <v>13366.83984375</v>
      </c>
      <c r="X157" s="13">
        <v>10476.70703125</v>
      </c>
      <c r="Y157" s="13">
        <v>10667.2529296875</v>
      </c>
      <c r="Z157" s="13">
        <v>9903.966796875</v>
      </c>
      <c r="AA157" s="13">
        <v>2807.12548828125</v>
      </c>
      <c r="AB157" s="13">
        <v>6225.66357421875</v>
      </c>
      <c r="AC157" s="13">
        <v>2623.907958984375</v>
      </c>
      <c r="AD157" s="13">
        <v>3721.29541015625</v>
      </c>
      <c r="AE157" s="13">
        <v>2788.15185546875</v>
      </c>
      <c r="AF157" s="13">
        <v>3318.093505859375</v>
      </c>
      <c r="AG157" s="13">
        <v>2378.18212890625</v>
      </c>
      <c r="AH157" s="13">
        <v>16094.42578125</v>
      </c>
      <c r="AI157" s="13">
        <v>3649.5595703125</v>
      </c>
      <c r="AJ157" s="13">
        <v>2000.9337158203125</v>
      </c>
      <c r="AK157" s="13">
        <v>1758.89794921875</v>
      </c>
      <c r="AL157" s="13">
        <v>1782.451171875</v>
      </c>
      <c r="AM157" s="13">
        <v>4373.9765625</v>
      </c>
      <c r="AN157" s="13">
        <v>2525.187255859375</v>
      </c>
      <c r="AO157" s="13">
        <v>3744.6044921875</v>
      </c>
      <c r="AP157" s="13">
        <v>1935.6986083984375</v>
      </c>
      <c r="AQ157" s="13">
        <v>1767.9315185546875</v>
      </c>
      <c r="AR157" s="13">
        <v>587.99957275390625</v>
      </c>
      <c r="AS157" s="13">
        <v>1692.5621337890625</v>
      </c>
      <c r="AT157" s="13">
        <v>862.20513916015625</v>
      </c>
      <c r="AU157" s="13">
        <v>1302.2349853515625</v>
      </c>
      <c r="AV157" s="13">
        <v>1809.64892578125</v>
      </c>
      <c r="AW157" s="13">
        <v>526.18890380859375</v>
      </c>
      <c r="AX157" s="13">
        <v>466.2484130859375</v>
      </c>
      <c r="AY157" s="13">
        <v>4948.857421875</v>
      </c>
      <c r="AZ157" s="13">
        <v>710.76513671875</v>
      </c>
      <c r="BA157" s="13">
        <v>3981.685791015625</v>
      </c>
      <c r="BB157" s="13">
        <v>3236.048095703125</v>
      </c>
      <c r="BC157" s="13">
        <v>891.154541015625</v>
      </c>
      <c r="BD157" s="13">
        <v>2537.889892578125</v>
      </c>
      <c r="BE157" s="13">
        <v>688.74346923828125</v>
      </c>
      <c r="BF157" s="13">
        <v>1274.585693359375</v>
      </c>
      <c r="BG157" s="13">
        <v>2268.59521484375</v>
      </c>
      <c r="BH157" s="13">
        <v>1051.76025390625</v>
      </c>
      <c r="BI157" s="13">
        <v>780.28076171875</v>
      </c>
      <c r="BJ157" s="13">
        <v>1131.02099609375</v>
      </c>
      <c r="BK157" s="13">
        <v>265.83175659179688</v>
      </c>
      <c r="BL157" s="13">
        <v>736.68865966796875</v>
      </c>
      <c r="BM157" s="13">
        <v>1740.25830078125</v>
      </c>
      <c r="BN157" s="13">
        <v>1164.490966796875</v>
      </c>
      <c r="BO157" s="13">
        <v>756.0491943359375</v>
      </c>
      <c r="BP157" s="13">
        <v>1517.274169921875</v>
      </c>
      <c r="BQ157" s="13"/>
      <c r="BR157" s="13"/>
    </row>
    <row r="158" spans="2:70" x14ac:dyDescent="0.2">
      <c r="B158">
        <v>1953</v>
      </c>
      <c r="C158" s="13">
        <v>3820.489501953125</v>
      </c>
      <c r="D158" s="13">
        <v>5919.47021484375</v>
      </c>
      <c r="E158" s="13">
        <v>12665.7568359375</v>
      </c>
      <c r="F158" s="13">
        <v>3527.035400390625</v>
      </c>
      <c r="G158" s="13">
        <v>2573.597412109375</v>
      </c>
      <c r="H158" s="13">
        <v>1579.2130126953125</v>
      </c>
      <c r="I158" s="13">
        <v>3232.587890625</v>
      </c>
      <c r="J158" s="13">
        <v>1304.166015625</v>
      </c>
      <c r="K158" s="13">
        <v>1018.9902954101562</v>
      </c>
      <c r="L158" s="13">
        <v>7045.8642578125</v>
      </c>
      <c r="M158" s="13">
        <v>11131.888671875</v>
      </c>
      <c r="N158" s="13">
        <v>4978.39794921875</v>
      </c>
      <c r="O158" s="13">
        <v>7711.8642578125</v>
      </c>
      <c r="P158" s="13">
        <v>9846.9384765625</v>
      </c>
      <c r="Q158" s="13">
        <v>7273.3994140625</v>
      </c>
      <c r="R158" s="13">
        <v>8905.5478515625</v>
      </c>
      <c r="S158" s="13">
        <v>11745.8984375</v>
      </c>
      <c r="T158" s="13">
        <v>8857.689453125</v>
      </c>
      <c r="U158" s="13">
        <v>6898.74658203125</v>
      </c>
      <c r="V158" s="13">
        <v>2782.959228515625</v>
      </c>
      <c r="W158" s="13">
        <v>13767.77734375</v>
      </c>
      <c r="X158" s="13">
        <v>10689.7841796875</v>
      </c>
      <c r="Y158" s="13">
        <v>11293.61328125</v>
      </c>
      <c r="Z158" s="13">
        <v>9985.4130859375</v>
      </c>
      <c r="AA158" s="13">
        <v>2899.794677734375</v>
      </c>
      <c r="AB158" s="13">
        <v>6787.4228515625</v>
      </c>
      <c r="AC158" s="13">
        <v>2616.733642578125</v>
      </c>
      <c r="AD158" s="13">
        <v>3939.4052734375</v>
      </c>
      <c r="AE158" s="13">
        <v>2839.804443359375</v>
      </c>
      <c r="AF158" s="13">
        <v>3154.906005859375</v>
      </c>
      <c r="AG158" s="13">
        <v>2431.4306640625</v>
      </c>
      <c r="AH158" s="13">
        <v>17229.779296875</v>
      </c>
      <c r="AI158" s="13">
        <v>3625.545654296875</v>
      </c>
      <c r="AJ158" s="13">
        <v>1987.5159912109375</v>
      </c>
      <c r="AK158" s="13">
        <v>1720.404052734375</v>
      </c>
      <c r="AL158" s="13">
        <v>1792.78564453125</v>
      </c>
      <c r="AM158" s="13">
        <v>4778.2509765625</v>
      </c>
      <c r="AN158" s="13">
        <v>2754.965576171875</v>
      </c>
      <c r="AO158" s="13">
        <v>3860.319580078125</v>
      </c>
      <c r="AP158" s="13">
        <v>2026.1092529296875</v>
      </c>
      <c r="AQ158" s="13">
        <v>1798.1278076171875</v>
      </c>
      <c r="AR158" s="13">
        <v>613.13275146484375</v>
      </c>
      <c r="AS158" s="13">
        <v>1611.7938232421875</v>
      </c>
      <c r="AT158" s="13">
        <v>877.40826416015625</v>
      </c>
      <c r="AU158" s="13">
        <v>1340.2877197265625</v>
      </c>
      <c r="AV158" s="13">
        <v>1829.097900390625</v>
      </c>
      <c r="AW158" s="13">
        <v>535.41455078125</v>
      </c>
      <c r="AX158" s="13">
        <v>474.71005249023438</v>
      </c>
      <c r="AY158" s="13">
        <v>5109.73876953125</v>
      </c>
      <c r="AZ158" s="13">
        <v>724.43829345703125</v>
      </c>
      <c r="BA158" s="13">
        <v>4150.00146484375</v>
      </c>
      <c r="BB158" s="13">
        <v>3372.8408203125</v>
      </c>
      <c r="BC158" s="13">
        <v>984.5198974609375</v>
      </c>
      <c r="BD158" s="13">
        <v>2652.97705078125</v>
      </c>
      <c r="BE158" s="13">
        <v>887.5875244140625</v>
      </c>
      <c r="BF158" s="13">
        <v>1340.838134765625</v>
      </c>
      <c r="BG158" s="13">
        <v>2478.291748046875</v>
      </c>
      <c r="BH158" s="13">
        <v>1049.979736328125</v>
      </c>
      <c r="BI158" s="13">
        <v>926.00372314453125</v>
      </c>
      <c r="BJ158" s="13">
        <v>1157.486083984375</v>
      </c>
      <c r="BK158" s="13">
        <v>268.43768310546875</v>
      </c>
      <c r="BL158" s="13">
        <v>796.30975341796875</v>
      </c>
      <c r="BM158" s="13">
        <v>1832.82861328125</v>
      </c>
      <c r="BN158" s="13">
        <v>1268.36962890625</v>
      </c>
      <c r="BO158" s="13">
        <v>776.46453857421875</v>
      </c>
      <c r="BP158" s="13">
        <v>1694.8624267578125</v>
      </c>
      <c r="BQ158" s="13"/>
      <c r="BR158" s="13"/>
    </row>
    <row r="159" spans="2:70" x14ac:dyDescent="0.2">
      <c r="B159">
        <v>1954</v>
      </c>
      <c r="C159" s="13">
        <v>3830.179443359375</v>
      </c>
      <c r="D159" s="13">
        <v>6194.05126953125</v>
      </c>
      <c r="E159" s="13">
        <v>12374.3505859375</v>
      </c>
      <c r="F159" s="13">
        <v>3810.90673828125</v>
      </c>
      <c r="G159" s="13">
        <v>2550.580322265625</v>
      </c>
      <c r="H159" s="13">
        <v>1641.9315185546875</v>
      </c>
      <c r="I159" s="13">
        <v>3442.50732421875</v>
      </c>
      <c r="J159" s="13">
        <v>1238.2861328125</v>
      </c>
      <c r="K159" s="13">
        <v>903.24200439453125</v>
      </c>
      <c r="L159" s="13">
        <v>7454.5458984375</v>
      </c>
      <c r="M159" s="13">
        <v>11456.5302734375</v>
      </c>
      <c r="N159" s="13">
        <v>5524.76611328125</v>
      </c>
      <c r="O159" s="13">
        <v>8052.216796875</v>
      </c>
      <c r="P159" s="13">
        <v>10197.17578125</v>
      </c>
      <c r="Q159" s="13">
        <v>7455.0615234375</v>
      </c>
      <c r="R159" s="13">
        <v>9584.9599609375</v>
      </c>
      <c r="S159" s="13">
        <v>12075.892578125</v>
      </c>
      <c r="T159" s="13">
        <v>9339.4296875</v>
      </c>
      <c r="U159" s="13">
        <v>7254.50146484375</v>
      </c>
      <c r="V159" s="13">
        <v>2917.66650390625</v>
      </c>
      <c r="W159" s="13">
        <v>13411.384765625</v>
      </c>
      <c r="X159" s="13">
        <v>10254.99609375</v>
      </c>
      <c r="Y159" s="13">
        <v>11930.517578125</v>
      </c>
      <c r="Z159" s="13">
        <v>11101.8857421875</v>
      </c>
      <c r="AA159" s="13">
        <v>2848.407958984375</v>
      </c>
      <c r="AB159" s="13">
        <v>7084.1455078125</v>
      </c>
      <c r="AC159" s="13">
        <v>2853.6572265625</v>
      </c>
      <c r="AD159" s="13">
        <v>3686.60302734375</v>
      </c>
      <c r="AE159" s="13">
        <v>3099.86962890625</v>
      </c>
      <c r="AF159" s="13">
        <v>3718.757080078125</v>
      </c>
      <c r="AG159" s="13">
        <v>2621.969482421875</v>
      </c>
      <c r="AH159" s="13">
        <v>18667.4609375</v>
      </c>
      <c r="AI159" s="13">
        <v>3804.08056640625</v>
      </c>
      <c r="AJ159" s="13">
        <v>1975.8128662109375</v>
      </c>
      <c r="AK159" s="13">
        <v>1671.87841796875</v>
      </c>
      <c r="AL159" s="13">
        <v>1802.3507080078125</v>
      </c>
      <c r="AM159" s="13">
        <v>5193.11572265625</v>
      </c>
      <c r="AN159" s="13">
        <v>2600.535400390625</v>
      </c>
      <c r="AO159" s="13">
        <v>3825.113525390625</v>
      </c>
      <c r="AP159" s="13">
        <v>2124.065185546875</v>
      </c>
      <c r="AQ159" s="13">
        <v>1825.33447265625</v>
      </c>
      <c r="AR159" s="13">
        <v>600.56719970703125</v>
      </c>
      <c r="AS159" s="13">
        <v>1781.240966796875</v>
      </c>
      <c r="AT159" s="13">
        <v>891.7891845703125</v>
      </c>
      <c r="AU159" s="13">
        <v>1381.2271728515625</v>
      </c>
      <c r="AV159" s="13">
        <v>1929.6705322265625</v>
      </c>
      <c r="AW159" s="13">
        <v>553.9228515625</v>
      </c>
      <c r="AX159" s="13">
        <v>483.96966552734375</v>
      </c>
      <c r="AY159" s="13">
        <v>5289.4619140625</v>
      </c>
      <c r="AZ159" s="13">
        <v>753.969970703125</v>
      </c>
      <c r="BA159" s="13">
        <v>4419.79296875</v>
      </c>
      <c r="BB159" s="13">
        <v>3592.0791015625</v>
      </c>
      <c r="BC159" s="13">
        <v>886.57061767578125</v>
      </c>
      <c r="BD159" s="13">
        <v>2736.914306640625</v>
      </c>
      <c r="BE159" s="13">
        <v>920.38873291015625</v>
      </c>
      <c r="BF159" s="13">
        <v>1412.4049072265625</v>
      </c>
      <c r="BG159" s="13">
        <v>2348.437744140625</v>
      </c>
      <c r="BH159" s="13">
        <v>1050.593017578125</v>
      </c>
      <c r="BI159" s="13">
        <v>716.268310546875</v>
      </c>
      <c r="BJ159" s="13">
        <v>1196.562744140625</v>
      </c>
      <c r="BK159" s="13">
        <v>246.96086120605469</v>
      </c>
      <c r="BL159" s="13">
        <v>797.61993408203125</v>
      </c>
      <c r="BM159" s="13">
        <v>1883.6795654296875</v>
      </c>
      <c r="BN159" s="13">
        <v>1213.19677734375</v>
      </c>
      <c r="BO159" s="13">
        <v>804.214599609375</v>
      </c>
      <c r="BP159" s="13">
        <v>1487.6807861328125</v>
      </c>
      <c r="BQ159" s="13"/>
      <c r="BR159" s="13"/>
    </row>
    <row r="160" spans="2:70" x14ac:dyDescent="0.2">
      <c r="B160">
        <v>1955</v>
      </c>
      <c r="C160" s="13">
        <v>4026.904052734375</v>
      </c>
      <c r="D160" s="13">
        <v>6556.4384765625</v>
      </c>
      <c r="E160" s="13">
        <v>13074.6650390625</v>
      </c>
      <c r="F160" s="13">
        <v>3949.64990234375</v>
      </c>
      <c r="G160" s="13">
        <v>2596.379638671875</v>
      </c>
      <c r="H160" s="13">
        <v>1680.2802734375</v>
      </c>
      <c r="I160" s="13">
        <v>3606.679931640625</v>
      </c>
      <c r="J160" s="13">
        <v>1329.9888916015625</v>
      </c>
      <c r="K160" s="13">
        <v>993.72528076171875</v>
      </c>
      <c r="L160" s="13">
        <v>8472.966796875</v>
      </c>
      <c r="M160" s="13">
        <v>11134.8037109375</v>
      </c>
      <c r="N160" s="13">
        <v>5702.8984375</v>
      </c>
      <c r="O160" s="13">
        <v>8468.6455078125</v>
      </c>
      <c r="P160" s="13">
        <v>10263.068359375</v>
      </c>
      <c r="Q160" s="13">
        <v>7932.85009765625</v>
      </c>
      <c r="R160" s="13">
        <v>10371.0751953125</v>
      </c>
      <c r="S160" s="13">
        <v>12550.970703125</v>
      </c>
      <c r="T160" s="13">
        <v>9654.1298828125</v>
      </c>
      <c r="U160" s="13">
        <v>7706.40185546875</v>
      </c>
      <c r="V160" s="13">
        <v>3097.19091796875</v>
      </c>
      <c r="W160" s="13">
        <v>14200.080078125</v>
      </c>
      <c r="X160" s="13">
        <v>10941.1845703125</v>
      </c>
      <c r="Y160" s="13">
        <v>12107.7998046875</v>
      </c>
      <c r="Z160" s="13">
        <v>11436.150390625</v>
      </c>
      <c r="AA160" s="13">
        <v>3004.499755859375</v>
      </c>
      <c r="AB160" s="13">
        <v>7383.49365234375</v>
      </c>
      <c r="AC160" s="13">
        <v>2739.66455078125</v>
      </c>
      <c r="AD160" s="13">
        <v>3748.128662109375</v>
      </c>
      <c r="AE160" s="13">
        <v>2925.93359375</v>
      </c>
      <c r="AF160" s="13">
        <v>4336.76708984375</v>
      </c>
      <c r="AG160" s="13">
        <v>2700.2900390625</v>
      </c>
      <c r="AH160" s="13">
        <v>18415.474609375</v>
      </c>
      <c r="AI160" s="13">
        <v>3813.543701171875</v>
      </c>
      <c r="AJ160" s="13">
        <v>1968.2733154296875</v>
      </c>
      <c r="AK160" s="13">
        <v>1627.54638671875</v>
      </c>
      <c r="AL160" s="13">
        <v>1811.373779296875</v>
      </c>
      <c r="AM160" s="13">
        <v>5625.60791015625</v>
      </c>
      <c r="AN160" s="13">
        <v>2751.57861328125</v>
      </c>
      <c r="AO160" s="13">
        <v>3883.28076171875</v>
      </c>
      <c r="AP160" s="13">
        <v>2186.050048828125</v>
      </c>
      <c r="AQ160" s="13">
        <v>1857.02294921875</v>
      </c>
      <c r="AR160" s="13">
        <v>623.0357666015625</v>
      </c>
      <c r="AS160" s="13">
        <v>1886.515380859375</v>
      </c>
      <c r="AT160" s="13">
        <v>907.280029296875</v>
      </c>
      <c r="AU160" s="13">
        <v>1420.849609375</v>
      </c>
      <c r="AV160" s="13">
        <v>1946.6439208984375</v>
      </c>
      <c r="AW160" s="13">
        <v>559.084716796875</v>
      </c>
      <c r="AX160" s="13">
        <v>493.87237548828125</v>
      </c>
      <c r="AY160" s="13">
        <v>5433.03662109375</v>
      </c>
      <c r="AZ160" s="13">
        <v>769.5018310546875</v>
      </c>
      <c r="BA160" s="13">
        <v>4630.880859375</v>
      </c>
      <c r="BB160" s="13">
        <v>3763.655029296875</v>
      </c>
      <c r="BC160" s="13">
        <v>942.37347412109375</v>
      </c>
      <c r="BD160" s="13">
        <v>3020.850830078125</v>
      </c>
      <c r="BE160" s="13">
        <v>951.43536376953125</v>
      </c>
      <c r="BF160" s="13">
        <v>1463.783447265625</v>
      </c>
      <c r="BG160" s="13">
        <v>2524.38525390625</v>
      </c>
      <c r="BH160" s="13">
        <v>971.29620361328125</v>
      </c>
      <c r="BI160" s="13">
        <v>874.88507080078125</v>
      </c>
      <c r="BJ160" s="13">
        <v>1201.5438232421875</v>
      </c>
      <c r="BK160" s="13">
        <v>276.949462890625</v>
      </c>
      <c r="BL160" s="13">
        <v>797.9547119140625</v>
      </c>
      <c r="BM160" s="13">
        <v>1947.384033203125</v>
      </c>
      <c r="BN160" s="13">
        <v>1282.7369384765625</v>
      </c>
      <c r="BO160" s="13">
        <v>777.00555419921875</v>
      </c>
      <c r="BP160" s="13">
        <v>1581.2431640625</v>
      </c>
      <c r="BQ160" s="13"/>
      <c r="BR160" s="13"/>
    </row>
    <row r="161" spans="2:70" x14ac:dyDescent="0.2">
      <c r="B161">
        <v>1956</v>
      </c>
      <c r="C161" s="13">
        <v>4136.31298828125</v>
      </c>
      <c r="D161" s="13">
        <v>6808.32275390625</v>
      </c>
      <c r="E161" s="13">
        <v>13125.375</v>
      </c>
      <c r="F161" s="13">
        <v>4199.61572265625</v>
      </c>
      <c r="G161" s="13">
        <v>2712.3291015625</v>
      </c>
      <c r="H161" s="13">
        <v>1703.5223388671875</v>
      </c>
      <c r="I161" s="13">
        <v>3850.607177734375</v>
      </c>
      <c r="J161" s="13">
        <v>1427.887451171875</v>
      </c>
      <c r="K161" s="13">
        <v>1089.4520263671875</v>
      </c>
      <c r="L161" s="13">
        <v>8840.521484375</v>
      </c>
      <c r="M161" s="13">
        <v>11120.955078125</v>
      </c>
      <c r="N161" s="13">
        <v>6511.109375</v>
      </c>
      <c r="O161" s="13">
        <v>8853.3916015625</v>
      </c>
      <c r="P161" s="13">
        <v>10304.7080078125</v>
      </c>
      <c r="Q161" s="13">
        <v>8342.931640625</v>
      </c>
      <c r="R161" s="13">
        <v>10707.958984375</v>
      </c>
      <c r="S161" s="13">
        <v>13511.3779296875</v>
      </c>
      <c r="T161" s="13">
        <v>9972.00390625</v>
      </c>
      <c r="U161" s="13">
        <v>8024.73193359375</v>
      </c>
      <c r="V161" s="13">
        <v>3223.51123046875</v>
      </c>
      <c r="W161" s="13">
        <v>14204.734375</v>
      </c>
      <c r="X161" s="13">
        <v>11773.439453125</v>
      </c>
      <c r="Y161" s="13">
        <v>11964.5703125</v>
      </c>
      <c r="Z161" s="13">
        <v>11780.1865234375</v>
      </c>
      <c r="AA161" s="13">
        <v>3026.504150390625</v>
      </c>
      <c r="AB161" s="13">
        <v>8354.0751953125</v>
      </c>
      <c r="AC161" s="13">
        <v>2760.250244140625</v>
      </c>
      <c r="AD161" s="13">
        <v>3702.590576171875</v>
      </c>
      <c r="AE161" s="13">
        <v>2930.927490234375</v>
      </c>
      <c r="AF161" s="13">
        <v>4653.0322265625</v>
      </c>
      <c r="AG161" s="13">
        <v>2865.66455078125</v>
      </c>
      <c r="AH161" s="13">
        <v>19064.0078125</v>
      </c>
      <c r="AI161" s="13">
        <v>4095.609619140625</v>
      </c>
      <c r="AJ161" s="13">
        <v>2008.403564453125</v>
      </c>
      <c r="AK161" s="13">
        <v>1724.909423828125</v>
      </c>
      <c r="AL161" s="13">
        <v>1848.6707763671875</v>
      </c>
      <c r="AM161" s="13">
        <v>5788.353515625</v>
      </c>
      <c r="AN161" s="13">
        <v>2770.482666015625</v>
      </c>
      <c r="AO161" s="13">
        <v>4167.01708984375</v>
      </c>
      <c r="AP161" s="13">
        <v>2312.742431640625</v>
      </c>
      <c r="AQ161" s="13">
        <v>1880.8526611328125</v>
      </c>
      <c r="AR161" s="13">
        <v>631.4349365234375</v>
      </c>
      <c r="AS161" s="13">
        <v>1953.4161376953125</v>
      </c>
      <c r="AT161" s="13">
        <v>920.02825927734375</v>
      </c>
      <c r="AU161" s="13">
        <v>1462.7208251953125</v>
      </c>
      <c r="AV161" s="13">
        <v>1859.7098388671875</v>
      </c>
      <c r="AW161" s="13">
        <v>567.5784912109375</v>
      </c>
      <c r="AX161" s="13">
        <v>532.48944091796875</v>
      </c>
      <c r="AY161" s="13">
        <v>5614.2470703125</v>
      </c>
      <c r="AZ161" s="13">
        <v>774.630126953125</v>
      </c>
      <c r="BA161" s="13">
        <v>4944.4951171875</v>
      </c>
      <c r="BB161" s="13">
        <v>4018.450927734375</v>
      </c>
      <c r="BC161" s="13">
        <v>1002.180908203125</v>
      </c>
      <c r="BD161" s="13">
        <v>3336.40966796875</v>
      </c>
      <c r="BE161" s="13">
        <v>931.119873046875</v>
      </c>
      <c r="BF161" s="13">
        <v>1480.853515625</v>
      </c>
      <c r="BG161" s="13">
        <v>2704.3291015625</v>
      </c>
      <c r="BH161" s="13">
        <v>1059.7347412109375</v>
      </c>
      <c r="BI161" s="13">
        <v>1023.601806640625</v>
      </c>
      <c r="BJ161" s="13">
        <v>1190.2056884765625</v>
      </c>
      <c r="BK161" s="13">
        <v>292.85409545898438</v>
      </c>
      <c r="BL161" s="13">
        <v>790.73321533203125</v>
      </c>
      <c r="BM161" s="13">
        <v>2013.7559814453125</v>
      </c>
      <c r="BN161" s="13">
        <v>1260.58447265625</v>
      </c>
      <c r="BO161" s="13">
        <v>787.9049072265625</v>
      </c>
      <c r="BP161" s="13">
        <v>1734.3709716796875</v>
      </c>
      <c r="BQ161" s="13"/>
      <c r="BR161" s="13"/>
    </row>
    <row r="162" spans="2:70" x14ac:dyDescent="0.2">
      <c r="B162">
        <v>1957</v>
      </c>
      <c r="C162" s="13">
        <v>4211.857421875</v>
      </c>
      <c r="D162" s="13">
        <v>7112.13818359375</v>
      </c>
      <c r="E162" s="13">
        <v>13125.60546875</v>
      </c>
      <c r="F162" s="13">
        <v>4327.8974609375</v>
      </c>
      <c r="G162" s="13">
        <v>2846.0048828125</v>
      </c>
      <c r="H162" s="13">
        <v>1727.3734130859375</v>
      </c>
      <c r="I162" s="13">
        <v>4038.778564453125</v>
      </c>
      <c r="J162" s="13">
        <v>1491.1322021484375</v>
      </c>
      <c r="K162" s="13">
        <v>1027.011962890625</v>
      </c>
      <c r="L162" s="13">
        <v>9280.6767578125</v>
      </c>
      <c r="M162" s="13">
        <v>11437.33203125</v>
      </c>
      <c r="N162" s="13">
        <v>6767.74169921875</v>
      </c>
      <c r="O162" s="13">
        <v>9599.666015625</v>
      </c>
      <c r="P162" s="13">
        <v>10557.87109375</v>
      </c>
      <c r="Q162" s="13">
        <v>8807.8427734375</v>
      </c>
      <c r="R162" s="13">
        <v>10795.5029296875</v>
      </c>
      <c r="S162" s="13">
        <v>13809.48046875</v>
      </c>
      <c r="T162" s="13">
        <v>10146.9580078125</v>
      </c>
      <c r="U162" s="13">
        <v>8398.24609375</v>
      </c>
      <c r="V162" s="13">
        <v>3376.76416015625</v>
      </c>
      <c r="W162" s="13">
        <v>14209.9453125</v>
      </c>
      <c r="X162" s="13">
        <v>11539.9609375</v>
      </c>
      <c r="Y162" s="13">
        <v>12361.7900390625</v>
      </c>
      <c r="Z162" s="13">
        <v>11818.3505859375</v>
      </c>
      <c r="AA162" s="13">
        <v>3042.73779296875</v>
      </c>
      <c r="AB162" s="13">
        <v>8489.36328125</v>
      </c>
      <c r="AC162" s="13">
        <v>2729.22607421875</v>
      </c>
      <c r="AD162" s="13">
        <v>4029.357666015625</v>
      </c>
      <c r="AE162" s="13">
        <v>3139.27685546875</v>
      </c>
      <c r="AF162" s="13">
        <v>5030.36669921875</v>
      </c>
      <c r="AG162" s="13">
        <v>2951.244140625</v>
      </c>
      <c r="AH162" s="13">
        <v>18932.720703125</v>
      </c>
      <c r="AI162" s="13">
        <v>4472.54052734375</v>
      </c>
      <c r="AJ162" s="13">
        <v>2083.009765625</v>
      </c>
      <c r="AK162" s="13">
        <v>1928.4049072265625</v>
      </c>
      <c r="AL162" s="13">
        <v>1809.1407470703125</v>
      </c>
      <c r="AM162" s="13">
        <v>5882.62744140625</v>
      </c>
      <c r="AN162" s="13">
        <v>2921.344482421875</v>
      </c>
      <c r="AO162" s="13">
        <v>4262.24658203125</v>
      </c>
      <c r="AP162" s="13">
        <v>2363.810791015625</v>
      </c>
      <c r="AQ162" s="13">
        <v>1911.3973388671875</v>
      </c>
      <c r="AR162" s="13">
        <v>614.2747802734375</v>
      </c>
      <c r="AS162" s="13">
        <v>1977.9532470703125</v>
      </c>
      <c r="AT162" s="13">
        <v>935.355224609375</v>
      </c>
      <c r="AU162" s="13">
        <v>1503.1158447265625</v>
      </c>
      <c r="AV162" s="13">
        <v>1902.3839111328125</v>
      </c>
      <c r="AW162" s="13">
        <v>575.94976806640625</v>
      </c>
      <c r="AX162" s="13">
        <v>507.97869873046875</v>
      </c>
      <c r="AY162" s="13">
        <v>5689.87646484375</v>
      </c>
      <c r="AZ162" s="13">
        <v>786.32855224609375</v>
      </c>
      <c r="BA162" s="13">
        <v>5186.5556640625</v>
      </c>
      <c r="BB162" s="13">
        <v>4215.17724609375</v>
      </c>
      <c r="BC162" s="13">
        <v>1010.6852416992188</v>
      </c>
      <c r="BD162" s="13">
        <v>3693.16259765625</v>
      </c>
      <c r="BE162" s="13">
        <v>990.08624267578125</v>
      </c>
      <c r="BF162" s="13">
        <v>1534.1881103515625</v>
      </c>
      <c r="BG162" s="13">
        <v>2811.8173828125</v>
      </c>
      <c r="BH162" s="13">
        <v>1017.2056884765625</v>
      </c>
      <c r="BI162" s="13">
        <v>904.31756591796875</v>
      </c>
      <c r="BJ162" s="13">
        <v>1242.4229736328125</v>
      </c>
      <c r="BK162" s="13">
        <v>304.57269287109375</v>
      </c>
      <c r="BL162" s="13">
        <v>795.33331298828125</v>
      </c>
      <c r="BM162" s="13">
        <v>2053.06884765625</v>
      </c>
      <c r="BN162" s="13">
        <v>1232.436279296875</v>
      </c>
      <c r="BO162" s="13">
        <v>799.5703125</v>
      </c>
      <c r="BP162" s="13">
        <v>1627.06005859375</v>
      </c>
      <c r="BQ162" s="13"/>
      <c r="BR162" s="13"/>
    </row>
    <row r="163" spans="2:70" x14ac:dyDescent="0.2">
      <c r="B163">
        <v>1958</v>
      </c>
      <c r="C163" s="13">
        <v>4202.4619140625</v>
      </c>
      <c r="D163" s="13">
        <v>7230.15478515625</v>
      </c>
      <c r="E163" s="13">
        <v>12762.51953125</v>
      </c>
      <c r="F163" s="13">
        <v>4539.75830078125</v>
      </c>
      <c r="G163" s="13">
        <v>2927.123291015625</v>
      </c>
      <c r="H163" s="13">
        <v>1704.479736328125</v>
      </c>
      <c r="I163" s="13">
        <v>4250.23486328125</v>
      </c>
      <c r="J163" s="13">
        <v>1499.7421875</v>
      </c>
      <c r="K163" s="13">
        <v>1034.4334716796875</v>
      </c>
      <c r="L163" s="13">
        <v>9602.1298828125</v>
      </c>
      <c r="M163" s="13">
        <v>11741.58203125</v>
      </c>
      <c r="N163" s="13">
        <v>7130.59521484375</v>
      </c>
      <c r="O163" s="13">
        <v>9535.068359375</v>
      </c>
      <c r="P163" s="13">
        <v>10635.0810546875</v>
      </c>
      <c r="Q163" s="13">
        <v>9171.6025390625</v>
      </c>
      <c r="R163" s="13">
        <v>10627.009765625</v>
      </c>
      <c r="S163" s="13">
        <v>12940.57421875</v>
      </c>
      <c r="T163" s="13">
        <v>10040.4814453125</v>
      </c>
      <c r="U163" s="13">
        <v>8546.13671875</v>
      </c>
      <c r="V163" s="13">
        <v>3438.714599609375</v>
      </c>
      <c r="W163" s="13">
        <v>13794.8955078125</v>
      </c>
      <c r="X163" s="13">
        <v>11398.677734375</v>
      </c>
      <c r="Y163" s="13">
        <v>12143.58203125</v>
      </c>
      <c r="Z163" s="13">
        <v>12002.173828125</v>
      </c>
      <c r="AA163" s="13">
        <v>2977.0986328125</v>
      </c>
      <c r="AB163" s="13">
        <v>8939.3115234375</v>
      </c>
      <c r="AC163" s="13">
        <v>2861.52001953125</v>
      </c>
      <c r="AD163" s="13">
        <v>4164.8203125</v>
      </c>
      <c r="AE163" s="13">
        <v>3287.459228515625</v>
      </c>
      <c r="AF163" s="13">
        <v>5307.84130859375</v>
      </c>
      <c r="AG163" s="13">
        <v>3090.066650390625</v>
      </c>
      <c r="AH163" s="13">
        <v>18985.216796875</v>
      </c>
      <c r="AI163" s="13">
        <v>4525.28662109375</v>
      </c>
      <c r="AJ163" s="13">
        <v>2134.348876953125</v>
      </c>
      <c r="AK163" s="13">
        <v>2102.666259765625</v>
      </c>
      <c r="AL163" s="13">
        <v>1770.27880859375</v>
      </c>
      <c r="AM163" s="13">
        <v>6045.91552734375</v>
      </c>
      <c r="AN163" s="13">
        <v>2976.32568359375</v>
      </c>
      <c r="AO163" s="13">
        <v>4387.5390625</v>
      </c>
      <c r="AP163" s="13">
        <v>2262.42822265625</v>
      </c>
      <c r="AQ163" s="13">
        <v>1939.87255859375</v>
      </c>
      <c r="AR163" s="13">
        <v>622.7265625</v>
      </c>
      <c r="AS163" s="13">
        <v>1960.9273681640625</v>
      </c>
      <c r="AT163" s="13">
        <v>951.89727783203125</v>
      </c>
      <c r="AU163" s="13">
        <v>1546.322509765625</v>
      </c>
      <c r="AV163" s="13">
        <v>1842.4384765625</v>
      </c>
      <c r="AW163" s="13">
        <v>578.25579833984375</v>
      </c>
      <c r="AX163" s="13">
        <v>514.709228515625</v>
      </c>
      <c r="AY163" s="13">
        <v>5651.8408203125</v>
      </c>
      <c r="AZ163" s="13">
        <v>774.43804931640625</v>
      </c>
      <c r="BA163" s="13">
        <v>5458.66650390625</v>
      </c>
      <c r="BB163" s="13">
        <v>4436.3251953125</v>
      </c>
      <c r="BC163" s="13">
        <v>1000.9857177734375</v>
      </c>
      <c r="BD163" s="13">
        <v>3816.302490234375</v>
      </c>
      <c r="BE163" s="13">
        <v>1022.2586669921875</v>
      </c>
      <c r="BF163" s="13">
        <v>1578.835693359375</v>
      </c>
      <c r="BG163" s="13">
        <v>2810.581298828125</v>
      </c>
      <c r="BH163" s="13">
        <v>975.48931884765625</v>
      </c>
      <c r="BI163" s="13">
        <v>943.47705078125</v>
      </c>
      <c r="BJ163" s="13">
        <v>1156.0606689453125</v>
      </c>
      <c r="BK163" s="13">
        <v>286.23886108398438</v>
      </c>
      <c r="BL163" s="13">
        <v>779.31878662109375</v>
      </c>
      <c r="BM163" s="13">
        <v>2048.148681640625</v>
      </c>
      <c r="BN163" s="13">
        <v>1237.10693359375</v>
      </c>
      <c r="BO163" s="13">
        <v>810.13568115234375</v>
      </c>
      <c r="BP163" s="13">
        <v>1651.150390625</v>
      </c>
      <c r="BQ163" s="13"/>
      <c r="BR163" s="13"/>
    </row>
    <row r="164" spans="2:70" x14ac:dyDescent="0.2">
      <c r="B164">
        <v>1959</v>
      </c>
      <c r="C164" s="13">
        <v>4352.16015625</v>
      </c>
      <c r="D164" s="13">
        <v>7521.68798828125</v>
      </c>
      <c r="E164" s="13">
        <v>13461.23046875</v>
      </c>
      <c r="F164" s="13">
        <v>4555.57177734375</v>
      </c>
      <c r="G164" s="13">
        <v>3080.502197265625</v>
      </c>
      <c r="H164" s="13">
        <v>1744.8775634765625</v>
      </c>
      <c r="I164" s="13">
        <v>4417.095703125</v>
      </c>
      <c r="J164" s="13">
        <v>1528.7718505859375</v>
      </c>
      <c r="K164" s="13">
        <v>1021.1613159179688</v>
      </c>
      <c r="L164" s="13">
        <v>10258.2978515625</v>
      </c>
      <c r="M164" s="13">
        <v>12684.2392578125</v>
      </c>
      <c r="N164" s="13">
        <v>6889.53955078125</v>
      </c>
      <c r="O164" s="13">
        <v>9693.2255859375</v>
      </c>
      <c r="P164" s="13">
        <v>11038.0029296875</v>
      </c>
      <c r="Q164" s="13">
        <v>9713.841796875</v>
      </c>
      <c r="R164" s="13">
        <v>11216.8984375</v>
      </c>
      <c r="S164" s="13">
        <v>13309.4326171875</v>
      </c>
      <c r="T164" s="13">
        <v>10433.666015625</v>
      </c>
      <c r="U164" s="13">
        <v>8864.439453125</v>
      </c>
      <c r="V164" s="13">
        <v>3571.27685546875</v>
      </c>
      <c r="W164" s="13">
        <v>14603.1357421875</v>
      </c>
      <c r="X164" s="13">
        <v>11662.2607421875</v>
      </c>
      <c r="Y164" s="13">
        <v>12585.916015625</v>
      </c>
      <c r="Z164" s="13">
        <v>12531.263671875</v>
      </c>
      <c r="AA164" s="13">
        <v>3126.996337890625</v>
      </c>
      <c r="AB164" s="13">
        <v>7862.60107421875</v>
      </c>
      <c r="AC164" s="13">
        <v>3309.1416015625</v>
      </c>
      <c r="AD164" s="13">
        <v>3777.769287109375</v>
      </c>
      <c r="AE164" s="13">
        <v>3438.776123046875</v>
      </c>
      <c r="AF164" s="13">
        <v>5442.91015625</v>
      </c>
      <c r="AG164" s="13">
        <v>3111.558349609375</v>
      </c>
      <c r="AH164" s="13">
        <v>20018.509765625</v>
      </c>
      <c r="AI164" s="13">
        <v>5288.6533203125</v>
      </c>
      <c r="AJ164" s="13">
        <v>2184.130615234375</v>
      </c>
      <c r="AK164" s="13">
        <v>2222.90625</v>
      </c>
      <c r="AL164" s="13">
        <v>1731.297119140625</v>
      </c>
      <c r="AM164" s="13">
        <v>6557.79833984375</v>
      </c>
      <c r="AN164" s="13">
        <v>3036.395751953125</v>
      </c>
      <c r="AO164" s="13">
        <v>4609.21923828125</v>
      </c>
      <c r="AP164" s="13">
        <v>2321.009033203125</v>
      </c>
      <c r="AQ164" s="13">
        <v>1958.5665283203125</v>
      </c>
      <c r="AR164" s="13">
        <v>628.70062255859375</v>
      </c>
      <c r="AS164" s="13">
        <v>1968.7869873046875</v>
      </c>
      <c r="AT164" s="13">
        <v>969.8037109375</v>
      </c>
      <c r="AU164" s="13">
        <v>1586.6162109375</v>
      </c>
      <c r="AV164" s="13">
        <v>1890.3084716796875</v>
      </c>
      <c r="AW164" s="13">
        <v>598.13720703125</v>
      </c>
      <c r="AX164" s="13">
        <v>563.25445556640625</v>
      </c>
      <c r="AY164" s="13">
        <v>5762.27880859375</v>
      </c>
      <c r="AZ164" s="13">
        <v>791.8690185546875</v>
      </c>
      <c r="BA164" s="13">
        <v>5673.77978515625</v>
      </c>
      <c r="BB164" s="13">
        <v>4611.14697265625</v>
      </c>
      <c r="BC164" s="13">
        <v>956.8245849609375</v>
      </c>
      <c r="BD164" s="13">
        <v>4218.06298828125</v>
      </c>
      <c r="BE164" s="13">
        <v>1043.4642333984375</v>
      </c>
      <c r="BF164" s="13">
        <v>1626.8714599609375</v>
      </c>
      <c r="BG164" s="13">
        <v>2838.0029296875</v>
      </c>
      <c r="BH164" s="13">
        <v>1007.2256469726562</v>
      </c>
      <c r="BI164" s="13">
        <v>895.80914306640625</v>
      </c>
      <c r="BJ164" s="13">
        <v>1173.7724609375</v>
      </c>
      <c r="BK164" s="13">
        <v>330.685546875</v>
      </c>
      <c r="BL164" s="13">
        <v>757.45831298828125</v>
      </c>
      <c r="BM164" s="13">
        <v>2115.805419921875</v>
      </c>
      <c r="BN164" s="13">
        <v>1349.06640625</v>
      </c>
      <c r="BO164" s="13">
        <v>816.831787109375</v>
      </c>
      <c r="BP164" s="13">
        <v>1627.128662109375</v>
      </c>
      <c r="BQ164" s="13"/>
      <c r="BR164" s="13"/>
    </row>
    <row r="165" spans="2:70" x14ac:dyDescent="0.2">
      <c r="B165">
        <v>1960</v>
      </c>
      <c r="C165" s="13">
        <v>4525.50341796875</v>
      </c>
      <c r="D165" s="13">
        <v>8075.56298828125</v>
      </c>
      <c r="E165" s="13">
        <v>13574.6298828125</v>
      </c>
      <c r="F165" s="13">
        <v>4878.9453125</v>
      </c>
      <c r="G165" s="13">
        <v>3222.283203125</v>
      </c>
      <c r="H165" s="13">
        <v>1781.89599609375</v>
      </c>
      <c r="I165" s="13">
        <v>4596.35546875</v>
      </c>
      <c r="J165" s="13">
        <v>1591.7083740234375</v>
      </c>
      <c r="K165" s="13">
        <v>1050.6085205078125</v>
      </c>
      <c r="L165" s="13">
        <v>11431.1240234375</v>
      </c>
      <c r="M165" s="13">
        <v>14271.923828125</v>
      </c>
      <c r="N165" s="13">
        <v>6892.65380859375</v>
      </c>
      <c r="O165" s="13">
        <v>10262.00390625</v>
      </c>
      <c r="P165" s="13">
        <v>11394.837890625</v>
      </c>
      <c r="Q165" s="13">
        <v>10343.2412109375</v>
      </c>
      <c r="R165" s="13">
        <v>13038.248046875</v>
      </c>
      <c r="S165" s="13">
        <v>14330.3583984375</v>
      </c>
      <c r="T165" s="13">
        <v>13151.3681640625</v>
      </c>
      <c r="U165" s="13">
        <v>9391.7138671875</v>
      </c>
      <c r="V165" s="13">
        <v>3849.250244140625</v>
      </c>
      <c r="W165" s="13">
        <v>14714.2734375</v>
      </c>
      <c r="X165" s="13">
        <v>11666.6845703125</v>
      </c>
      <c r="Y165" s="13">
        <v>13308.8544921875</v>
      </c>
      <c r="Z165" s="13">
        <v>12191.505859375</v>
      </c>
      <c r="AA165" s="13">
        <v>3343.893310546875</v>
      </c>
      <c r="AB165" s="13">
        <v>8009.8583984375</v>
      </c>
      <c r="AC165" s="13">
        <v>3657.576171875</v>
      </c>
      <c r="AD165" s="13">
        <v>4161.7060546875</v>
      </c>
      <c r="AE165" s="13">
        <v>3531.247802734375</v>
      </c>
      <c r="AF165" s="13">
        <v>5969.03125</v>
      </c>
      <c r="AG165" s="13">
        <v>3326.0654296875</v>
      </c>
      <c r="AH165" s="13">
        <v>20908.740234375</v>
      </c>
      <c r="AI165" s="13">
        <v>5535.91845703125</v>
      </c>
      <c r="AJ165" s="13">
        <v>2229.917724609375</v>
      </c>
      <c r="AK165" s="13">
        <v>2570.824951171875</v>
      </c>
      <c r="AL165" s="13">
        <v>1684.5850830078125</v>
      </c>
      <c r="AM165" s="13">
        <v>7781.16455078125</v>
      </c>
      <c r="AN165" s="13">
        <v>3045.053466796875</v>
      </c>
      <c r="AO165" s="13">
        <v>4830.71875</v>
      </c>
      <c r="AP165" s="13">
        <v>2405.992919921875</v>
      </c>
      <c r="AQ165" s="13">
        <v>2059.045166015625</v>
      </c>
      <c r="AR165" s="13">
        <v>646.9393310546875</v>
      </c>
      <c r="AS165" s="13">
        <v>2005.7515869140625</v>
      </c>
      <c r="AT165" s="13">
        <v>975.267333984375</v>
      </c>
      <c r="AU165" s="13">
        <v>1672.9027099609375</v>
      </c>
      <c r="AV165" s="13">
        <v>1935.2998046875</v>
      </c>
      <c r="AW165" s="13">
        <v>593.39288330078125</v>
      </c>
      <c r="AX165" s="13">
        <v>574.68719482421875</v>
      </c>
      <c r="AY165" s="13">
        <v>5838.7060546875</v>
      </c>
      <c r="AZ165" s="13">
        <v>806.96484375</v>
      </c>
      <c r="BA165" s="13">
        <v>5905.02734375</v>
      </c>
      <c r="BB165" s="13">
        <v>4798.82568359375</v>
      </c>
      <c r="BC165" s="13">
        <v>905.4061279296875</v>
      </c>
      <c r="BD165" s="13">
        <v>4843.93505859375</v>
      </c>
      <c r="BE165" s="13">
        <v>1041.321533203125</v>
      </c>
      <c r="BF165" s="13">
        <v>1653.304443359375</v>
      </c>
      <c r="BG165" s="13">
        <v>2918.049072265625</v>
      </c>
      <c r="BH165" s="13">
        <v>1044.10302734375</v>
      </c>
      <c r="BI165" s="13">
        <v>932.30523681640625</v>
      </c>
      <c r="BJ165" s="13">
        <v>1192.2354736328125</v>
      </c>
      <c r="BK165" s="13">
        <v>331.40924072265625</v>
      </c>
      <c r="BL165" s="13">
        <v>758.06536865234375</v>
      </c>
      <c r="BM165" s="13">
        <v>2062.851318359375</v>
      </c>
      <c r="BN165" s="13">
        <v>1470.8338623046875</v>
      </c>
      <c r="BO165" s="13">
        <v>817.15521240234375</v>
      </c>
      <c r="BP165" s="13">
        <v>1669.901123046875</v>
      </c>
      <c r="BQ165" s="13"/>
      <c r="BR165" s="13"/>
    </row>
    <row r="166" spans="2:70" x14ac:dyDescent="0.2">
      <c r="B166">
        <v>1961</v>
      </c>
      <c r="C166" s="13">
        <v>4587.3212890625</v>
      </c>
      <c r="D166" s="13">
        <v>8450.98046875</v>
      </c>
      <c r="E166" s="13">
        <v>13657.720703125</v>
      </c>
      <c r="F166" s="13">
        <v>5045.4423828125</v>
      </c>
      <c r="G166" s="13">
        <v>3148.712646484375</v>
      </c>
      <c r="H166" s="13">
        <v>1741.017822265625</v>
      </c>
      <c r="I166" s="13">
        <v>4838.44873046875</v>
      </c>
      <c r="J166" s="13">
        <v>1428.8614501953125</v>
      </c>
      <c r="K166" s="13">
        <v>1072.1212158203125</v>
      </c>
      <c r="L166" s="13">
        <v>12009.4345703125</v>
      </c>
      <c r="M166" s="13">
        <v>15164.267578125</v>
      </c>
      <c r="N166" s="13">
        <v>7669.26416015625</v>
      </c>
      <c r="O166" s="13">
        <v>10643.521484375</v>
      </c>
      <c r="P166" s="13">
        <v>11602.3427734375</v>
      </c>
      <c r="Q166" s="13">
        <v>11141.7255859375</v>
      </c>
      <c r="R166" s="13">
        <v>12919.2509765625</v>
      </c>
      <c r="S166" s="13">
        <v>15168.70703125</v>
      </c>
      <c r="T166" s="13">
        <v>13776.935546875</v>
      </c>
      <c r="U166" s="13">
        <v>9868.470703125</v>
      </c>
      <c r="V166" s="13">
        <v>4046.755615234375</v>
      </c>
      <c r="W166" s="13">
        <v>14799.17578125</v>
      </c>
      <c r="X166" s="13">
        <v>11802.0576171875</v>
      </c>
      <c r="Y166" s="13">
        <v>13348.8564453125</v>
      </c>
      <c r="Z166" s="13">
        <v>12566.1884765625</v>
      </c>
      <c r="AA166" s="13">
        <v>3364.814208984375</v>
      </c>
      <c r="AB166" s="13">
        <v>8304.4921875</v>
      </c>
      <c r="AC166" s="13">
        <v>3862.22802734375</v>
      </c>
      <c r="AD166" s="13">
        <v>4282.5361328125</v>
      </c>
      <c r="AE166" s="13">
        <v>3628.732421875</v>
      </c>
      <c r="AF166" s="13">
        <v>6073.69384765625</v>
      </c>
      <c r="AG166" s="13">
        <v>3437.44775390625</v>
      </c>
      <c r="AH166" s="13">
        <v>21589.314453125</v>
      </c>
      <c r="AI166" s="13">
        <v>4646.77392578125</v>
      </c>
      <c r="AJ166" s="13">
        <v>2285.256591796875</v>
      </c>
      <c r="AK166" s="13">
        <v>2752.4091796875</v>
      </c>
      <c r="AL166" s="13">
        <v>1603.5067138671875</v>
      </c>
      <c r="AM166" s="13">
        <v>8522.580078125</v>
      </c>
      <c r="AN166" s="13">
        <v>2992.407958984375</v>
      </c>
      <c r="AO166" s="13">
        <v>4514.849609375</v>
      </c>
      <c r="AP166" s="13">
        <v>2065.7138671875</v>
      </c>
      <c r="AQ166" s="13">
        <v>2207.7939453125</v>
      </c>
      <c r="AR166" s="13">
        <v>665.80291748046875</v>
      </c>
      <c r="AS166" s="13">
        <v>1759.4449462890625</v>
      </c>
      <c r="AT166" s="13">
        <v>961.91064453125</v>
      </c>
      <c r="AU166" s="13">
        <v>1696.6773681640625</v>
      </c>
      <c r="AV166" s="13">
        <v>1896.8900146484375</v>
      </c>
      <c r="AW166" s="13">
        <v>551.021728515625</v>
      </c>
      <c r="AX166" s="13">
        <v>555.5023193359375</v>
      </c>
      <c r="AY166" s="13">
        <v>5889.6875</v>
      </c>
      <c r="AZ166" s="13">
        <v>789.44769287109375</v>
      </c>
      <c r="BA166" s="13">
        <v>6217.02001953125</v>
      </c>
      <c r="BB166" s="13">
        <v>5052.3330078125</v>
      </c>
      <c r="BC166" s="13">
        <v>593.038818359375</v>
      </c>
      <c r="BD166" s="13">
        <v>5353.16015625</v>
      </c>
      <c r="BE166" s="13">
        <v>1090.515625</v>
      </c>
      <c r="BF166" s="13">
        <v>1710.0037841796875</v>
      </c>
      <c r="BG166" s="13">
        <v>2629.055419921875</v>
      </c>
      <c r="BH166" s="13">
        <v>1077.449951171875</v>
      </c>
      <c r="BI166" s="13">
        <v>944.665283203125</v>
      </c>
      <c r="BJ166" s="13">
        <v>1230.500732421875</v>
      </c>
      <c r="BK166" s="13">
        <v>323.60989379882812</v>
      </c>
      <c r="BL166" s="13">
        <v>779.884033203125</v>
      </c>
      <c r="BM166" s="13">
        <v>2119.74755859375</v>
      </c>
      <c r="BN166" s="13">
        <v>1515.2166748046875</v>
      </c>
      <c r="BO166" s="13">
        <v>829.0472412109375</v>
      </c>
      <c r="BP166" s="13">
        <v>1700.9320068359375</v>
      </c>
      <c r="BQ166" s="13"/>
      <c r="BR166" s="13"/>
    </row>
    <row r="167" spans="2:70" x14ac:dyDescent="0.2">
      <c r="B167">
        <v>1962</v>
      </c>
      <c r="C167" s="13">
        <v>4751.64892578125</v>
      </c>
      <c r="D167" s="13">
        <v>8780.857421875</v>
      </c>
      <c r="E167" s="13">
        <v>14270.1044921875</v>
      </c>
      <c r="F167" s="13">
        <v>5083.435546875</v>
      </c>
      <c r="G167" s="13">
        <v>3167.147216796875</v>
      </c>
      <c r="H167" s="13">
        <v>1822.775146484375</v>
      </c>
      <c r="I167" s="13">
        <v>5123.09912109375</v>
      </c>
      <c r="J167" s="13">
        <v>1520.6336669921875</v>
      </c>
      <c r="K167" s="13">
        <v>1082.978515625</v>
      </c>
      <c r="L167" s="13">
        <v>12474.0576171875</v>
      </c>
      <c r="M167" s="13">
        <v>15770.779296875</v>
      </c>
      <c r="N167" s="13">
        <v>8404.224609375</v>
      </c>
      <c r="O167" s="13">
        <v>11244.51171875</v>
      </c>
      <c r="P167" s="13">
        <v>11656.3134765625</v>
      </c>
      <c r="Q167" s="13">
        <v>11735.2626953125</v>
      </c>
      <c r="R167" s="13">
        <v>13475.3154296875</v>
      </c>
      <c r="S167" s="13">
        <v>15440.9208984375</v>
      </c>
      <c r="T167" s="13">
        <v>14240.298828125</v>
      </c>
      <c r="U167" s="13">
        <v>10266</v>
      </c>
      <c r="V167" s="13">
        <v>4199.30859375</v>
      </c>
      <c r="W167" s="13">
        <v>15479.1337890625</v>
      </c>
      <c r="X167" s="13">
        <v>12656.4619140625</v>
      </c>
      <c r="Y167" s="13">
        <v>13277.2412109375</v>
      </c>
      <c r="Z167" s="13">
        <v>12609.654296875</v>
      </c>
      <c r="AA167" s="13">
        <v>3491.573974609375</v>
      </c>
      <c r="AB167" s="13">
        <v>8055.080078125</v>
      </c>
      <c r="AC167" s="13">
        <v>4003.0185546875</v>
      </c>
      <c r="AD167" s="13">
        <v>4339.74365234375</v>
      </c>
      <c r="AE167" s="13">
        <v>3708.180419921875</v>
      </c>
      <c r="AF167" s="13">
        <v>6146.580078125</v>
      </c>
      <c r="AG167" s="13">
        <v>3472.52197265625</v>
      </c>
      <c r="AH167" s="13">
        <v>22543.46875</v>
      </c>
      <c r="AI167" s="13">
        <v>3614.348388671875</v>
      </c>
      <c r="AJ167" s="13">
        <v>2310.046630859375</v>
      </c>
      <c r="AK167" s="13">
        <v>2889.16455078125</v>
      </c>
      <c r="AL167" s="13">
        <v>1751.47314453125</v>
      </c>
      <c r="AM167" s="13">
        <v>9163.3603515625</v>
      </c>
      <c r="AN167" s="13">
        <v>3077.43017578125</v>
      </c>
      <c r="AO167" s="13">
        <v>4530.359375</v>
      </c>
      <c r="AP167" s="13">
        <v>2475.0478515625</v>
      </c>
      <c r="AQ167" s="13">
        <v>2116.334228515625</v>
      </c>
      <c r="AR167" s="13">
        <v>677.06182861328125</v>
      </c>
      <c r="AS167" s="13">
        <v>1863.611083984375</v>
      </c>
      <c r="AT167" s="13">
        <v>944.88653564453125</v>
      </c>
      <c r="AU167" s="13">
        <v>1821.8734130859375</v>
      </c>
      <c r="AV167" s="13">
        <v>1932.1126708984375</v>
      </c>
      <c r="AW167" s="13">
        <v>602.5633544921875</v>
      </c>
      <c r="AX167" s="13">
        <v>576.8447265625</v>
      </c>
      <c r="AY167" s="13">
        <v>6073.69384765625</v>
      </c>
      <c r="AZ167" s="13">
        <v>821.78460693359375</v>
      </c>
      <c r="BA167" s="13">
        <v>6584.0458984375</v>
      </c>
      <c r="BB167" s="13">
        <v>5350.3603515625</v>
      </c>
      <c r="BC167" s="13">
        <v>629.21954345703125</v>
      </c>
      <c r="BD167" s="13">
        <v>5741.78369140625</v>
      </c>
      <c r="BE167" s="13">
        <v>1098.951416015625</v>
      </c>
      <c r="BF167" s="13">
        <v>1778.3270263671875</v>
      </c>
      <c r="BG167" s="13">
        <v>2788.953857421875</v>
      </c>
      <c r="BH167" s="13">
        <v>1102.9805908203125</v>
      </c>
      <c r="BI167" s="13">
        <v>946.54852294921875</v>
      </c>
      <c r="BJ167" s="13">
        <v>1217.32373046875</v>
      </c>
      <c r="BK167" s="13">
        <v>331.28759765625</v>
      </c>
      <c r="BL167" s="13">
        <v>794.6009521484375</v>
      </c>
      <c r="BM167" s="13">
        <v>2145.735107421875</v>
      </c>
      <c r="BN167" s="13">
        <v>1583.5723876953125</v>
      </c>
      <c r="BO167" s="13">
        <v>904.17974853515625</v>
      </c>
      <c r="BP167" s="13">
        <v>1713.6119384765625</v>
      </c>
      <c r="BQ167" s="13"/>
      <c r="BR167" s="13"/>
    </row>
    <row r="168" spans="2:70" x14ac:dyDescent="0.2">
      <c r="B168">
        <v>1963</v>
      </c>
      <c r="C168" s="13">
        <v>4878.3994140625</v>
      </c>
      <c r="D168" s="13">
        <v>9095.4609375</v>
      </c>
      <c r="E168" s="13">
        <v>14695.3427734375</v>
      </c>
      <c r="F168" s="13">
        <v>5007.49853515625</v>
      </c>
      <c r="G168" s="13">
        <v>3440.12939453125</v>
      </c>
      <c r="H168" s="13">
        <v>1917.0693359375</v>
      </c>
      <c r="I168" s="13">
        <v>5237.4599609375</v>
      </c>
      <c r="J168" s="13">
        <v>1640.459228515625</v>
      </c>
      <c r="K168" s="13">
        <v>1102.3743896484375</v>
      </c>
      <c r="L168" s="13">
        <v>12618.203125</v>
      </c>
      <c r="M168" s="13">
        <v>15480.087890625</v>
      </c>
      <c r="N168" s="13">
        <v>9186.7099609375</v>
      </c>
      <c r="O168" s="13">
        <v>11809.287109375</v>
      </c>
      <c r="P168" s="13">
        <v>12119.4306640625</v>
      </c>
      <c r="Q168" s="13">
        <v>12257.78125</v>
      </c>
      <c r="R168" s="13">
        <v>13791.6669921875</v>
      </c>
      <c r="S168" s="13">
        <v>15815.1982421875</v>
      </c>
      <c r="T168" s="13">
        <v>14904.396484375</v>
      </c>
      <c r="U168" s="13">
        <v>10643.9052734375</v>
      </c>
      <c r="V168" s="13">
        <v>4364.263671875</v>
      </c>
      <c r="W168" s="13">
        <v>15926.51953125</v>
      </c>
      <c r="X168" s="13">
        <v>13078.0537109375</v>
      </c>
      <c r="Y168" s="13">
        <v>13870.8505859375</v>
      </c>
      <c r="Z168" s="13">
        <v>13180.8076171875</v>
      </c>
      <c r="AA168" s="13">
        <v>3578.333740234375</v>
      </c>
      <c r="AB168" s="13">
        <v>7392.8232421875</v>
      </c>
      <c r="AC168" s="13">
        <v>3908.797119140625</v>
      </c>
      <c r="AD168" s="13">
        <v>4487.01318359375</v>
      </c>
      <c r="AE168" s="13">
        <v>3702.5302734375</v>
      </c>
      <c r="AF168" s="13">
        <v>6441.47509765625</v>
      </c>
      <c r="AG168" s="13">
        <v>3423.804443359375</v>
      </c>
      <c r="AH168" s="13">
        <v>23191.251953125</v>
      </c>
      <c r="AI168" s="13">
        <v>4741.673828125</v>
      </c>
      <c r="AJ168" s="13">
        <v>2484.703125</v>
      </c>
      <c r="AK168" s="13">
        <v>2966.701171875</v>
      </c>
      <c r="AL168" s="13">
        <v>1801.4254150390625</v>
      </c>
      <c r="AM168" s="13">
        <v>10862.3603515625</v>
      </c>
      <c r="AN168" s="13">
        <v>3276.677978515625</v>
      </c>
      <c r="AO168" s="13">
        <v>4890.7939453125</v>
      </c>
      <c r="AP168" s="13">
        <v>2539.23388671875</v>
      </c>
      <c r="AQ168" s="13">
        <v>2356.9091796875</v>
      </c>
      <c r="AR168" s="13">
        <v>755.21502685546875</v>
      </c>
      <c r="AS168" s="13">
        <v>1954.478759765625</v>
      </c>
      <c r="AT168" s="13">
        <v>990.1871337890625</v>
      </c>
      <c r="AU168" s="13">
        <v>1941.0894775390625</v>
      </c>
      <c r="AV168" s="13">
        <v>2078.229248046875</v>
      </c>
      <c r="AW168" s="13">
        <v>528.5853271484375</v>
      </c>
      <c r="AX168" s="13">
        <v>540.27410888671875</v>
      </c>
      <c r="AY168" s="13">
        <v>6329.25244140625</v>
      </c>
      <c r="AZ168" s="13">
        <v>862.55596923828125</v>
      </c>
      <c r="BA168" s="13">
        <v>6732.47998046875</v>
      </c>
      <c r="BB168" s="13">
        <v>5470.7060546875</v>
      </c>
      <c r="BC168" s="13">
        <v>709.34375</v>
      </c>
      <c r="BD168" s="13">
        <v>6139.203125</v>
      </c>
      <c r="BE168" s="13">
        <v>1171.4722900390625</v>
      </c>
      <c r="BF168" s="13">
        <v>1876.200927734375</v>
      </c>
      <c r="BG168" s="13">
        <v>3010.17041015625</v>
      </c>
      <c r="BH168" s="13">
        <v>1060.6671142578125</v>
      </c>
      <c r="BI168" s="13">
        <v>979.5081787109375</v>
      </c>
      <c r="BJ168" s="13">
        <v>1156.163330078125</v>
      </c>
      <c r="BK168" s="13">
        <v>369.01602172851562</v>
      </c>
      <c r="BL168" s="13">
        <v>840.417724609375</v>
      </c>
      <c r="BM168" s="13">
        <v>2245.344970703125</v>
      </c>
      <c r="BN168" s="13">
        <v>1662.5826416015625</v>
      </c>
      <c r="BO168" s="13">
        <v>895.15692138671875</v>
      </c>
      <c r="BP168" s="13">
        <v>1738.66748046875</v>
      </c>
      <c r="BQ168" s="13"/>
      <c r="BR168" s="13"/>
    </row>
    <row r="169" spans="2:70" x14ac:dyDescent="0.2">
      <c r="B169">
        <v>1964</v>
      </c>
      <c r="C169" s="13">
        <v>5090.970703125</v>
      </c>
      <c r="D169" s="13">
        <v>9540.2900390625</v>
      </c>
      <c r="E169" s="13">
        <v>15353.77734375</v>
      </c>
      <c r="F169" s="13">
        <v>5270.744140625</v>
      </c>
      <c r="G169" s="13">
        <v>3600.7705078125</v>
      </c>
      <c r="H169" s="13">
        <v>1962.240966796875</v>
      </c>
      <c r="I169" s="13">
        <v>5531.30322265625</v>
      </c>
      <c r="J169" s="13">
        <v>1793.6326904296875</v>
      </c>
      <c r="K169" s="13">
        <v>1142.6727294921875</v>
      </c>
      <c r="L169" s="13">
        <v>13382.091796875</v>
      </c>
      <c r="M169" s="13">
        <v>16978.623046875</v>
      </c>
      <c r="N169" s="13">
        <v>9527.53515625</v>
      </c>
      <c r="O169" s="13">
        <v>12454.53515625</v>
      </c>
      <c r="P169" s="13">
        <v>12701.29296875</v>
      </c>
      <c r="Q169" s="13">
        <v>12418.1533203125</v>
      </c>
      <c r="R169" s="13">
        <v>14831.4638671875</v>
      </c>
      <c r="S169" s="13">
        <v>16557.453125</v>
      </c>
      <c r="T169" s="13">
        <v>15833.3046875</v>
      </c>
      <c r="U169" s="13">
        <v>11161.3515625</v>
      </c>
      <c r="V169" s="13">
        <v>4578.07666015625</v>
      </c>
      <c r="W169" s="13">
        <v>16644.140625</v>
      </c>
      <c r="X169" s="13">
        <v>13697.62109375</v>
      </c>
      <c r="Y169" s="13">
        <v>14459.029296875</v>
      </c>
      <c r="Z169" s="13">
        <v>13700.5400390625</v>
      </c>
      <c r="AA169" s="13">
        <v>3729.451416015625</v>
      </c>
      <c r="AB169" s="13">
        <v>8061.33984375</v>
      </c>
      <c r="AC169" s="13">
        <v>3908.1806640625</v>
      </c>
      <c r="AD169" s="13">
        <v>4696.78173828125</v>
      </c>
      <c r="AE169" s="13">
        <v>3870.524658203125</v>
      </c>
      <c r="AF169" s="13">
        <v>7010.5732421875</v>
      </c>
      <c r="AG169" s="13">
        <v>3584.585205078125</v>
      </c>
      <c r="AH169" s="13">
        <v>23740.2734375</v>
      </c>
      <c r="AI169" s="13">
        <v>4926.482421875</v>
      </c>
      <c r="AJ169" s="13">
        <v>2698.1435546875</v>
      </c>
      <c r="AK169" s="13">
        <v>3129.2919921875</v>
      </c>
      <c r="AL169" s="13">
        <v>1777.600830078125</v>
      </c>
      <c r="AM169" s="13">
        <v>11406.1123046875</v>
      </c>
      <c r="AN169" s="13">
        <v>3366.991943359375</v>
      </c>
      <c r="AO169" s="13">
        <v>5130.43994140625</v>
      </c>
      <c r="AP169" s="13">
        <v>2401.530029296875</v>
      </c>
      <c r="AQ169" s="13">
        <v>2662.04541015625</v>
      </c>
      <c r="AR169" s="13">
        <v>774.12554931640625</v>
      </c>
      <c r="AS169" s="13">
        <v>1966.8670654296875</v>
      </c>
      <c r="AT169" s="13">
        <v>1025.7706298828125</v>
      </c>
      <c r="AU169" s="13">
        <v>1882.2998046875</v>
      </c>
      <c r="AV169" s="13">
        <v>2132.990966796875</v>
      </c>
      <c r="AW169" s="13">
        <v>448.683837890625</v>
      </c>
      <c r="AX169" s="13">
        <v>515.81036376953125</v>
      </c>
      <c r="AY169" s="13">
        <v>6620.89501953125</v>
      </c>
      <c r="AZ169" s="13">
        <v>885.2095947265625</v>
      </c>
      <c r="BA169" s="13">
        <v>7111.8330078125</v>
      </c>
      <c r="BB169" s="13">
        <v>5778.73583984375</v>
      </c>
      <c r="BC169" s="13">
        <v>795.39813232421875</v>
      </c>
      <c r="BD169" s="13">
        <v>6707.3466796875</v>
      </c>
      <c r="BE169" s="13">
        <v>1256.1378173828125</v>
      </c>
      <c r="BF169" s="13">
        <v>2036.580078125</v>
      </c>
      <c r="BG169" s="13">
        <v>3304.236083984375</v>
      </c>
      <c r="BH169" s="13">
        <v>1147.9698486328125</v>
      </c>
      <c r="BI169" s="13">
        <v>1029.50732421875</v>
      </c>
      <c r="BJ169" s="13">
        <v>1163.91162109375</v>
      </c>
      <c r="BK169" s="13">
        <v>337.07223510742188</v>
      </c>
      <c r="BL169" s="13">
        <v>883.2208251953125</v>
      </c>
      <c r="BM169" s="13">
        <v>2235.589111328125</v>
      </c>
      <c r="BN169" s="13">
        <v>1714.0059814453125</v>
      </c>
      <c r="BO169" s="13">
        <v>907.238037109375</v>
      </c>
      <c r="BP169" s="13">
        <v>1796.7437744140625</v>
      </c>
      <c r="BQ169" s="13"/>
      <c r="BR169" s="13"/>
    </row>
    <row r="170" spans="2:70" x14ac:dyDescent="0.2">
      <c r="B170">
        <v>1965</v>
      </c>
      <c r="C170" s="13">
        <v>5257.40087890625</v>
      </c>
      <c r="D170" s="13">
        <v>9871.2451171875</v>
      </c>
      <c r="E170" s="13">
        <v>16117.06640625</v>
      </c>
      <c r="F170" s="13">
        <v>5438.9755859375</v>
      </c>
      <c r="G170" s="13">
        <v>3784.927490234375</v>
      </c>
      <c r="H170" s="13">
        <v>1998.1051025390625</v>
      </c>
      <c r="I170" s="13">
        <v>5735.91455078125</v>
      </c>
      <c r="J170" s="13">
        <v>1881.9051513671875</v>
      </c>
      <c r="K170" s="13">
        <v>1125.15625</v>
      </c>
      <c r="L170" s="13">
        <v>13958.7197265625</v>
      </c>
      <c r="M170" s="13">
        <v>17734.970703125</v>
      </c>
      <c r="N170" s="13">
        <v>10059.19921875</v>
      </c>
      <c r="O170" s="13">
        <v>12915.021484375</v>
      </c>
      <c r="P170" s="13">
        <v>12876.4912109375</v>
      </c>
      <c r="Q170" s="13">
        <v>12715.2314453125</v>
      </c>
      <c r="R170" s="13">
        <v>15866.4912109375</v>
      </c>
      <c r="S170" s="13">
        <v>17227.3984375</v>
      </c>
      <c r="T170" s="13">
        <v>16257.4072265625</v>
      </c>
      <c r="U170" s="13">
        <v>11547.439453125</v>
      </c>
      <c r="V170" s="13">
        <v>4737.4326171875</v>
      </c>
      <c r="W170" s="13">
        <v>17499.548828125</v>
      </c>
      <c r="X170" s="13">
        <v>14299.8837890625</v>
      </c>
      <c r="Y170" s="13">
        <v>15005.791015625</v>
      </c>
      <c r="Z170" s="13">
        <v>14070.37890625</v>
      </c>
      <c r="AA170" s="13">
        <v>3787.453857421875</v>
      </c>
      <c r="AB170" s="13">
        <v>8898.2451171875</v>
      </c>
      <c r="AC170" s="13">
        <v>3872.769775390625</v>
      </c>
      <c r="AD170" s="13">
        <v>4462.5439453125</v>
      </c>
      <c r="AE170" s="13">
        <v>3881.343017578125</v>
      </c>
      <c r="AF170" s="13">
        <v>7270.7392578125</v>
      </c>
      <c r="AG170" s="13">
        <v>3686.467529296875</v>
      </c>
      <c r="AH170" s="13">
        <v>24145.44140625</v>
      </c>
      <c r="AI170" s="13">
        <v>5142.1005859375</v>
      </c>
      <c r="AJ170" s="13">
        <v>2758.595458984375</v>
      </c>
      <c r="AK170" s="13">
        <v>3497.12158203125</v>
      </c>
      <c r="AL170" s="13">
        <v>1762.83251953125</v>
      </c>
      <c r="AM170" s="13">
        <v>12394.2470703125</v>
      </c>
      <c r="AN170" s="13">
        <v>3371.190185546875</v>
      </c>
      <c r="AO170" s="13">
        <v>5405.62060546875</v>
      </c>
      <c r="AP170" s="13">
        <v>2357.20458984375</v>
      </c>
      <c r="AQ170" s="13">
        <v>2448.47802734375</v>
      </c>
      <c r="AR170" s="13">
        <v>803.22021484375</v>
      </c>
      <c r="AS170" s="13">
        <v>1914.1380615234375</v>
      </c>
      <c r="AT170" s="13">
        <v>1016.7147216796875</v>
      </c>
      <c r="AU170" s="13">
        <v>1962.2603759765625</v>
      </c>
      <c r="AV170" s="13">
        <v>2187.720947265625</v>
      </c>
      <c r="AW170" s="13">
        <v>469.62936401367188</v>
      </c>
      <c r="AX170" s="13">
        <v>534.9813232421875</v>
      </c>
      <c r="AY170" s="13">
        <v>6795.67529296875</v>
      </c>
      <c r="AZ170" s="13">
        <v>901.58740234375</v>
      </c>
      <c r="BA170" s="13">
        <v>7376.6669921875</v>
      </c>
      <c r="BB170" s="13">
        <v>5993.697265625</v>
      </c>
      <c r="BC170" s="13">
        <v>857.7071533203125</v>
      </c>
      <c r="BD170" s="13">
        <v>6991.36474609375</v>
      </c>
      <c r="BE170" s="13">
        <v>1315.3779296875</v>
      </c>
      <c r="BF170" s="13">
        <v>2189.859130859375</v>
      </c>
      <c r="BG170" s="13">
        <v>3465.90771484375</v>
      </c>
      <c r="BH170" s="13">
        <v>1130.1513671875</v>
      </c>
      <c r="BI170" s="13">
        <v>980.2833251953125</v>
      </c>
      <c r="BJ170" s="13">
        <v>1152.5543212890625</v>
      </c>
      <c r="BK170" s="13">
        <v>369.49185180664062</v>
      </c>
      <c r="BL170" s="13">
        <v>994.61480712890625</v>
      </c>
      <c r="BM170" s="13">
        <v>2290.4228515625</v>
      </c>
      <c r="BN170" s="13">
        <v>1794.1015625</v>
      </c>
      <c r="BO170" s="13">
        <v>887.18701171875</v>
      </c>
      <c r="BP170" s="13">
        <v>1759.4744873046875</v>
      </c>
      <c r="BQ170" s="13"/>
      <c r="BR170" s="13"/>
    </row>
    <row r="171" spans="2:70" x14ac:dyDescent="0.2">
      <c r="B171">
        <v>1966</v>
      </c>
      <c r="C171" s="13">
        <v>5429.88037109375</v>
      </c>
      <c r="D171" s="13">
        <v>10135.314453125</v>
      </c>
      <c r="E171" s="13">
        <v>16910.37109375</v>
      </c>
      <c r="F171" s="13">
        <v>5541.4306640625</v>
      </c>
      <c r="G171" s="13">
        <v>4005.133544921875</v>
      </c>
      <c r="H171" s="13">
        <v>2001.353515625</v>
      </c>
      <c r="I171" s="13">
        <v>6097.1064453125</v>
      </c>
      <c r="J171" s="13">
        <v>2017.553466796875</v>
      </c>
      <c r="K171" s="13">
        <v>1123.857177734375</v>
      </c>
      <c r="L171" s="13">
        <v>14132.6806640625</v>
      </c>
      <c r="M171" s="13">
        <v>17986.78515625</v>
      </c>
      <c r="N171" s="13">
        <v>10714.3330078125</v>
      </c>
      <c r="O171" s="13">
        <v>13459.8330078125</v>
      </c>
      <c r="P171" s="13">
        <v>12955.7587890625</v>
      </c>
      <c r="Q171" s="13">
        <v>13431.83203125</v>
      </c>
      <c r="R171" s="13">
        <v>15997.896484375</v>
      </c>
      <c r="S171" s="13">
        <v>17681.220703125</v>
      </c>
      <c r="T171" s="13">
        <v>16386.130859375</v>
      </c>
      <c r="U171" s="13">
        <v>11853.2177734375</v>
      </c>
      <c r="V171" s="13">
        <v>4886.6923828125</v>
      </c>
      <c r="W171" s="13">
        <v>18407.833984375</v>
      </c>
      <c r="X171" s="13">
        <v>14999.689453125</v>
      </c>
      <c r="Y171" s="13">
        <v>15103.8515625</v>
      </c>
      <c r="Z171" s="13">
        <v>14424.583984375</v>
      </c>
      <c r="AA171" s="13">
        <v>3958.030517578125</v>
      </c>
      <c r="AB171" s="13">
        <v>8625.3681640625</v>
      </c>
      <c r="AC171" s="13">
        <v>4029.260986328125</v>
      </c>
      <c r="AD171" s="13">
        <v>5075.7421875</v>
      </c>
      <c r="AE171" s="13">
        <v>3952.70703125</v>
      </c>
      <c r="AF171" s="13">
        <v>7468.86572265625</v>
      </c>
      <c r="AG171" s="13">
        <v>3757.096923828125</v>
      </c>
      <c r="AH171" s="13">
        <v>24418.9140625</v>
      </c>
      <c r="AI171" s="13">
        <v>4755.177734375</v>
      </c>
      <c r="AJ171" s="13">
        <v>2825.861083984375</v>
      </c>
      <c r="AK171" s="13">
        <v>3818.404296875</v>
      </c>
      <c r="AL171" s="13">
        <v>1691.6004638671875</v>
      </c>
      <c r="AM171" s="13">
        <v>13836.6435546875</v>
      </c>
      <c r="AN171" s="13">
        <v>3670.55810546875</v>
      </c>
      <c r="AO171" s="13">
        <v>5701.515625</v>
      </c>
      <c r="AP171" s="13">
        <v>2455.547607421875</v>
      </c>
      <c r="AQ171" s="13">
        <v>2659.171875</v>
      </c>
      <c r="AR171" s="13">
        <v>816.958251953125</v>
      </c>
      <c r="AS171" s="13">
        <v>2126.106201171875</v>
      </c>
      <c r="AT171" s="13">
        <v>1036.982666015625</v>
      </c>
      <c r="AU171" s="13">
        <v>1899.1796875</v>
      </c>
      <c r="AV171" s="13">
        <v>2049.344970703125</v>
      </c>
      <c r="AW171" s="13">
        <v>489.49566650390625</v>
      </c>
      <c r="AX171" s="13">
        <v>497.10806274414062</v>
      </c>
      <c r="AY171" s="13">
        <v>6844.59814453125</v>
      </c>
      <c r="AZ171" s="13">
        <v>898.57366943359375</v>
      </c>
      <c r="BA171" s="13">
        <v>7843.06884765625</v>
      </c>
      <c r="BB171" s="13">
        <v>6372.51123046875</v>
      </c>
      <c r="BC171" s="13">
        <v>904.02557373046875</v>
      </c>
      <c r="BD171" s="13">
        <v>7675.3388671875</v>
      </c>
      <c r="BE171" s="13">
        <v>1443.99267578125</v>
      </c>
      <c r="BF171" s="13">
        <v>2306.6259765625</v>
      </c>
      <c r="BG171" s="13">
        <v>3697.579345703125</v>
      </c>
      <c r="BH171" s="13">
        <v>1125.20849609375</v>
      </c>
      <c r="BI171" s="13">
        <v>955.08465576171875</v>
      </c>
      <c r="BJ171" s="13">
        <v>1161.5411376953125</v>
      </c>
      <c r="BK171" s="13">
        <v>342.66632080078125</v>
      </c>
      <c r="BL171" s="13">
        <v>1030.2197265625</v>
      </c>
      <c r="BM171" s="13">
        <v>2311.82861328125</v>
      </c>
      <c r="BN171" s="13">
        <v>1945.837646484375</v>
      </c>
      <c r="BO171" s="13">
        <v>879.40386962890625</v>
      </c>
      <c r="BP171" s="13">
        <v>1844.482421875</v>
      </c>
      <c r="BQ171" s="13"/>
      <c r="BR171" s="13"/>
    </row>
    <row r="172" spans="2:70" x14ac:dyDescent="0.2">
      <c r="B172">
        <v>1967</v>
      </c>
      <c r="C172" s="13">
        <v>5497.82958984375</v>
      </c>
      <c r="D172" s="13">
        <v>10402.0439453125</v>
      </c>
      <c r="E172" s="13">
        <v>17067.154296875</v>
      </c>
      <c r="F172" s="13">
        <v>5628.65771484375</v>
      </c>
      <c r="G172" s="13">
        <v>4182.35791015625</v>
      </c>
      <c r="H172" s="13">
        <v>1941.488525390625</v>
      </c>
      <c r="I172" s="13">
        <v>6458.75732421875</v>
      </c>
      <c r="J172" s="13">
        <v>2039.222900390625</v>
      </c>
      <c r="K172" s="13">
        <v>1147.312255859375</v>
      </c>
      <c r="L172" s="13">
        <v>13981.58984375</v>
      </c>
      <c r="M172" s="13">
        <v>18816.1796875</v>
      </c>
      <c r="N172" s="13">
        <v>11122.810546875</v>
      </c>
      <c r="O172" s="13">
        <v>14021.8134765625</v>
      </c>
      <c r="P172" s="13">
        <v>13215.2314453125</v>
      </c>
      <c r="Q172" s="13">
        <v>14333.8427734375</v>
      </c>
      <c r="R172" s="13">
        <v>16663.658203125</v>
      </c>
      <c r="S172" s="13">
        <v>18395.94921875</v>
      </c>
      <c r="T172" s="13">
        <v>16799.4296875</v>
      </c>
      <c r="U172" s="13">
        <v>12144.873046875</v>
      </c>
      <c r="V172" s="13">
        <v>5053.9638671875</v>
      </c>
      <c r="W172" s="13">
        <v>18575.416015625</v>
      </c>
      <c r="X172" s="13">
        <v>15137.5166015625</v>
      </c>
      <c r="Y172" s="13">
        <v>15667.6943359375</v>
      </c>
      <c r="Z172" s="13">
        <v>13536.68359375</v>
      </c>
      <c r="AA172" s="13">
        <v>3986.169677734375</v>
      </c>
      <c r="AB172" s="13">
        <v>8717.9443359375</v>
      </c>
      <c r="AC172" s="13">
        <v>4065.322021484375</v>
      </c>
      <c r="AD172" s="13">
        <v>5268.6435546875</v>
      </c>
      <c r="AE172" s="13">
        <v>3997.314208984375</v>
      </c>
      <c r="AF172" s="13">
        <v>7656.0244140625</v>
      </c>
      <c r="AG172" s="13">
        <v>3812.73779296875</v>
      </c>
      <c r="AH172" s="13">
        <v>24448.546875</v>
      </c>
      <c r="AI172" s="13">
        <v>5078.1240234375</v>
      </c>
      <c r="AJ172" s="13">
        <v>2776.84033203125</v>
      </c>
      <c r="AK172" s="13">
        <v>4026.184814453125</v>
      </c>
      <c r="AL172" s="13">
        <v>1810.802490234375</v>
      </c>
      <c r="AM172" s="13">
        <v>14319.556640625</v>
      </c>
      <c r="AN172" s="13">
        <v>3745.93310546875</v>
      </c>
      <c r="AO172" s="13">
        <v>6028.14697265625</v>
      </c>
      <c r="AP172" s="13">
        <v>2354.0302734375</v>
      </c>
      <c r="AQ172" s="13">
        <v>2667.898193359375</v>
      </c>
      <c r="AR172" s="13">
        <v>833.78369140625</v>
      </c>
      <c r="AS172" s="13">
        <v>2098.447265625</v>
      </c>
      <c r="AT172" s="13">
        <v>1047.7811279296875</v>
      </c>
      <c r="AU172" s="13">
        <v>1798.0709228515625</v>
      </c>
      <c r="AV172" s="13">
        <v>1663.548583984375</v>
      </c>
      <c r="AW172" s="13">
        <v>494.33688354492188</v>
      </c>
      <c r="AX172" s="13">
        <v>487.33761596679688</v>
      </c>
      <c r="AY172" s="13">
        <v>7111.271484375</v>
      </c>
      <c r="AZ172" s="13">
        <v>861.17437744140625</v>
      </c>
      <c r="BA172" s="13">
        <v>8310.4580078125</v>
      </c>
      <c r="BB172" s="13">
        <v>6751.837890625</v>
      </c>
      <c r="BC172" s="13">
        <v>803.90264892578125</v>
      </c>
      <c r="BD172" s="13">
        <v>8421.4443359375</v>
      </c>
      <c r="BE172" s="13">
        <v>1534.40869140625</v>
      </c>
      <c r="BF172" s="13">
        <v>2483.808349609375</v>
      </c>
      <c r="BG172" s="13">
        <v>3688.440673828125</v>
      </c>
      <c r="BH172" s="13">
        <v>1066.968994140625</v>
      </c>
      <c r="BI172" s="13">
        <v>1005.5543823242188</v>
      </c>
      <c r="BJ172" s="13">
        <v>1135.47119140625</v>
      </c>
      <c r="BK172" s="13">
        <v>317.11666870117188</v>
      </c>
      <c r="BL172" s="13">
        <v>1035.2725830078125</v>
      </c>
      <c r="BM172" s="13">
        <v>2359.785888671875</v>
      </c>
      <c r="BN172" s="13">
        <v>2022.8541259765625</v>
      </c>
      <c r="BO172" s="13">
        <v>746.0281982421875</v>
      </c>
      <c r="BP172" s="13">
        <v>1976.9893798828125</v>
      </c>
      <c r="BQ172" s="13"/>
      <c r="BR172" s="13"/>
    </row>
    <row r="173" spans="2:70" x14ac:dyDescent="0.2">
      <c r="B173">
        <v>1968</v>
      </c>
      <c r="C173" s="13">
        <v>5698.314453125</v>
      </c>
      <c r="D173" s="13">
        <v>10923.9091796875</v>
      </c>
      <c r="E173" s="13">
        <v>17663.92578125</v>
      </c>
      <c r="F173" s="13">
        <v>5926.5244140625</v>
      </c>
      <c r="G173" s="13">
        <v>4487.48046875</v>
      </c>
      <c r="H173" s="13">
        <v>1952.4349365234375</v>
      </c>
      <c r="I173" s="13">
        <v>6815.529296875</v>
      </c>
      <c r="J173" s="13">
        <v>2131.00390625</v>
      </c>
      <c r="K173" s="13">
        <v>1185.662109375</v>
      </c>
      <c r="L173" s="13">
        <v>14891.1904296875</v>
      </c>
      <c r="M173" s="13">
        <v>19767.67578125</v>
      </c>
      <c r="N173" s="13">
        <v>11654.904296875</v>
      </c>
      <c r="O173" s="13">
        <v>14478.9365234375</v>
      </c>
      <c r="P173" s="13">
        <v>13848.3544921875</v>
      </c>
      <c r="Q173" s="13">
        <v>15198.5888671875</v>
      </c>
      <c r="R173" s="13">
        <v>17540.76171875</v>
      </c>
      <c r="S173" s="13">
        <v>18781.330078125</v>
      </c>
      <c r="T173" s="13">
        <v>17454.994140625</v>
      </c>
      <c r="U173" s="13">
        <v>12749.693359375</v>
      </c>
      <c r="V173" s="13">
        <v>5307.37255859375</v>
      </c>
      <c r="W173" s="13">
        <v>19241.32421875</v>
      </c>
      <c r="X173" s="13">
        <v>15675.6142578125</v>
      </c>
      <c r="Y173" s="13">
        <v>16033.134765625</v>
      </c>
      <c r="Z173" s="13">
        <v>13598.2626953125</v>
      </c>
      <c r="AA173" s="13">
        <v>4108.15869140625</v>
      </c>
      <c r="AB173" s="13">
        <v>8998.6943359375</v>
      </c>
      <c r="AC173" s="13">
        <v>4364.03369140625</v>
      </c>
      <c r="AD173" s="13">
        <v>5202.2265625</v>
      </c>
      <c r="AE173" s="13">
        <v>4126.74755859375</v>
      </c>
      <c r="AF173" s="13">
        <v>8151.02880859375</v>
      </c>
      <c r="AG173" s="13">
        <v>4004.499755859375</v>
      </c>
      <c r="AH173" s="13">
        <v>24258.06640625</v>
      </c>
      <c r="AI173" s="13">
        <v>5505.89404296875</v>
      </c>
      <c r="AJ173" s="13">
        <v>2666.26611328125</v>
      </c>
      <c r="AK173" s="13">
        <v>4463.658203125</v>
      </c>
      <c r="AL173" s="13">
        <v>1937.5201416015625</v>
      </c>
      <c r="AM173" s="13">
        <v>15833.8720703125</v>
      </c>
      <c r="AN173" s="13">
        <v>3909.430419921875</v>
      </c>
      <c r="AO173" s="13">
        <v>6569.98486328125</v>
      </c>
      <c r="AP173" s="13">
        <v>2389.023193359375</v>
      </c>
      <c r="AQ173" s="13">
        <v>2890.350341796875</v>
      </c>
      <c r="AR173" s="13">
        <v>827.42840576171875</v>
      </c>
      <c r="AS173" s="13">
        <v>2182.403076171875</v>
      </c>
      <c r="AT173" s="13">
        <v>1070.1778564453125</v>
      </c>
      <c r="AU173" s="13">
        <v>1760.1773681640625</v>
      </c>
      <c r="AV173" s="13">
        <v>1604.508544921875</v>
      </c>
      <c r="AW173" s="13">
        <v>512.98681640625</v>
      </c>
      <c r="AX173" s="13">
        <v>480.5166015625</v>
      </c>
      <c r="AY173" s="13">
        <v>7178.56591796875</v>
      </c>
      <c r="AZ173" s="13">
        <v>863.141357421875</v>
      </c>
      <c r="BA173" s="13">
        <v>8771.751953125</v>
      </c>
      <c r="BB173" s="13">
        <v>7126.552734375</v>
      </c>
      <c r="BC173" s="13">
        <v>746.33392333984375</v>
      </c>
      <c r="BD173" s="13">
        <v>9398.6611328125</v>
      </c>
      <c r="BE173" s="13">
        <v>1692.1749267578125</v>
      </c>
      <c r="BF173" s="13">
        <v>2645.027099609375</v>
      </c>
      <c r="BG173" s="13">
        <v>3802.133056640625</v>
      </c>
      <c r="BH173" s="13">
        <v>1141.473876953125</v>
      </c>
      <c r="BI173" s="13">
        <v>1019.2543334960938</v>
      </c>
      <c r="BJ173" s="13">
        <v>1232.068359375</v>
      </c>
      <c r="BK173" s="13">
        <v>351.65774536132812</v>
      </c>
      <c r="BL173" s="13">
        <v>1084.5343017578125</v>
      </c>
      <c r="BM173" s="13">
        <v>2403.37060546875</v>
      </c>
      <c r="BN173" s="13">
        <v>2110.68310546875</v>
      </c>
      <c r="BO173" s="13">
        <v>721.74249267578125</v>
      </c>
      <c r="BP173" s="13">
        <v>2054.3662109375</v>
      </c>
      <c r="BQ173" s="13"/>
      <c r="BR173" s="13"/>
    </row>
    <row r="174" spans="2:70" x14ac:dyDescent="0.2">
      <c r="B174">
        <v>1969</v>
      </c>
      <c r="C174" s="13">
        <v>5905.5791015625</v>
      </c>
      <c r="D174" s="13">
        <v>11575.1552734375</v>
      </c>
      <c r="E174" s="13">
        <v>17988.361328125</v>
      </c>
      <c r="F174" s="13">
        <v>6200.314453125</v>
      </c>
      <c r="G174" s="13">
        <v>4751.6875</v>
      </c>
      <c r="H174" s="13">
        <v>2079.797607421875</v>
      </c>
      <c r="I174" s="13">
        <v>6970.20703125</v>
      </c>
      <c r="J174" s="13">
        <v>2327.910888671875</v>
      </c>
      <c r="K174" s="13">
        <v>1227.44091796875</v>
      </c>
      <c r="L174" s="13">
        <v>16223.4287109375</v>
      </c>
      <c r="M174" s="13">
        <v>21064.09375</v>
      </c>
      <c r="N174" s="13">
        <v>12577.08984375</v>
      </c>
      <c r="O174" s="13">
        <v>15397.5830078125</v>
      </c>
      <c r="P174" s="13">
        <v>14140.5009765625</v>
      </c>
      <c r="Q174" s="13">
        <v>16036.513671875</v>
      </c>
      <c r="R174" s="13">
        <v>18580.51953125</v>
      </c>
      <c r="S174" s="13">
        <v>19550.66015625</v>
      </c>
      <c r="T174" s="13">
        <v>18262.408203125</v>
      </c>
      <c r="U174" s="13">
        <v>13514.5576171875</v>
      </c>
      <c r="V174" s="13">
        <v>5631.638671875</v>
      </c>
      <c r="W174" s="13">
        <v>19564.51953125</v>
      </c>
      <c r="X174" s="13">
        <v>16134.1298828125</v>
      </c>
      <c r="Y174" s="13">
        <v>16489.734375</v>
      </c>
      <c r="Z174" s="13">
        <v>14772.9111328125</v>
      </c>
      <c r="AA174" s="13">
        <v>4201.52734375</v>
      </c>
      <c r="AB174" s="13">
        <v>9770.5732421875</v>
      </c>
      <c r="AC174" s="13">
        <v>4656.22802734375</v>
      </c>
      <c r="AD174" s="13">
        <v>5499.97998046875</v>
      </c>
      <c r="AE174" s="13">
        <v>4284.3271484375</v>
      </c>
      <c r="AF174" s="13">
        <v>8173.0556640625</v>
      </c>
      <c r="AG174" s="13">
        <v>4185.90478515625</v>
      </c>
      <c r="AH174" s="13">
        <v>23582.337890625</v>
      </c>
      <c r="AI174" s="13">
        <v>5847.8349609375</v>
      </c>
      <c r="AJ174" s="13">
        <v>2742.03564453125</v>
      </c>
      <c r="AK174" s="13">
        <v>4950.232421875</v>
      </c>
      <c r="AL174" s="13">
        <v>2045.9962158203125</v>
      </c>
      <c r="AM174" s="13">
        <v>15342.4296875</v>
      </c>
      <c r="AN174" s="13">
        <v>3977.49658203125</v>
      </c>
      <c r="AO174" s="13">
        <v>7111.197265625</v>
      </c>
      <c r="AP174" s="13">
        <v>2575.0615234375</v>
      </c>
      <c r="AQ174" s="13">
        <v>3054.572998046875</v>
      </c>
      <c r="AR174" s="13">
        <v>840.94122314453125</v>
      </c>
      <c r="AS174" s="13">
        <v>2277.2177734375</v>
      </c>
      <c r="AT174" s="13">
        <v>1057.9603271484375</v>
      </c>
      <c r="AU174" s="13">
        <v>1618.6588134765625</v>
      </c>
      <c r="AV174" s="13">
        <v>1985.8211669921875</v>
      </c>
      <c r="AW174" s="13">
        <v>554.32891845703125</v>
      </c>
      <c r="AX174" s="13">
        <v>470.89572143554688</v>
      </c>
      <c r="AY174" s="13">
        <v>7331.087890625</v>
      </c>
      <c r="AZ174" s="13">
        <v>924.11907958984375</v>
      </c>
      <c r="BA174" s="13">
        <v>8972.8271484375</v>
      </c>
      <c r="BB174" s="13">
        <v>7290.26611328125</v>
      </c>
      <c r="BC174" s="13">
        <v>826.4683837890625</v>
      </c>
      <c r="BD174" s="13">
        <v>10304.9140625</v>
      </c>
      <c r="BE174" s="13">
        <v>1899.8162841796875</v>
      </c>
      <c r="BF174" s="13">
        <v>2812.4677734375</v>
      </c>
      <c r="BG174" s="13">
        <v>4182.78369140625</v>
      </c>
      <c r="BH174" s="13">
        <v>1124.614501953125</v>
      </c>
      <c r="BI174" s="13">
        <v>1063.3040771484375</v>
      </c>
      <c r="BJ174" s="13">
        <v>1280.647705078125</v>
      </c>
      <c r="BK174" s="13">
        <v>356.07266235351562</v>
      </c>
      <c r="BL174" s="13">
        <v>1126.840576171875</v>
      </c>
      <c r="BM174" s="13">
        <v>2444.048095703125</v>
      </c>
      <c r="BN174" s="13">
        <v>2177.133056640625</v>
      </c>
      <c r="BO174" s="13">
        <v>780.13970947265625</v>
      </c>
      <c r="BP174" s="13">
        <v>2138.751953125</v>
      </c>
      <c r="BQ174" s="13"/>
      <c r="BR174" s="13"/>
    </row>
    <row r="175" spans="2:70" x14ac:dyDescent="0.2">
      <c r="B175">
        <v>1970</v>
      </c>
      <c r="C175" s="13">
        <v>6651.8857421875</v>
      </c>
      <c r="D175" s="13">
        <v>14481.9267578125</v>
      </c>
      <c r="E175" s="13">
        <v>19179.248046875</v>
      </c>
      <c r="F175" s="13">
        <v>6818.62060546875</v>
      </c>
      <c r="G175" s="13">
        <v>5984.60400390625</v>
      </c>
      <c r="H175" s="13">
        <v>2476.528076171875</v>
      </c>
      <c r="I175" s="13">
        <v>9138.099609375</v>
      </c>
      <c r="J175" s="13">
        <v>2425.09375</v>
      </c>
      <c r="K175" s="13">
        <v>1289.3017578125</v>
      </c>
      <c r="L175" s="13">
        <v>18103.361328125</v>
      </c>
      <c r="M175" s="13">
        <v>21712.744140625</v>
      </c>
      <c r="N175" s="13">
        <v>13325.8525390625</v>
      </c>
      <c r="O175" s="13">
        <v>16587.93359375</v>
      </c>
      <c r="P175" s="13">
        <v>15260.94140625</v>
      </c>
      <c r="Q175" s="13">
        <v>17179.8515625</v>
      </c>
      <c r="R175" s="13">
        <v>20723.48046875</v>
      </c>
      <c r="S175" s="13">
        <v>20032.744140625</v>
      </c>
      <c r="T175" s="13">
        <v>19820.015625</v>
      </c>
      <c r="U175" s="13">
        <v>16752.966796875</v>
      </c>
      <c r="V175" s="13">
        <v>7001.572265625</v>
      </c>
      <c r="W175" s="13">
        <v>19657.548828125</v>
      </c>
      <c r="X175" s="13">
        <v>18764.2734375</v>
      </c>
      <c r="Y175" s="13">
        <v>17701.26171875</v>
      </c>
      <c r="Z175" s="13">
        <v>14597.5263671875</v>
      </c>
      <c r="AA175" s="13">
        <v>4019.91162109375</v>
      </c>
      <c r="AB175" s="13">
        <v>14396.1142578125</v>
      </c>
      <c r="AC175" s="13">
        <v>5102.99267578125</v>
      </c>
      <c r="AD175" s="13">
        <v>5780.45556640625</v>
      </c>
      <c r="AE175" s="13">
        <v>4658.56689453125</v>
      </c>
      <c r="AF175" s="13">
        <v>8866.83984375</v>
      </c>
      <c r="AG175" s="13">
        <v>5788.8017578125</v>
      </c>
      <c r="AH175" s="13">
        <v>22094.203125</v>
      </c>
      <c r="AI175" s="13">
        <v>6097.5771484375</v>
      </c>
      <c r="AJ175" s="13">
        <v>3283.305908203125</v>
      </c>
      <c r="AK175" s="13">
        <v>7861.61767578125</v>
      </c>
      <c r="AL175" s="13">
        <v>2061.358642578125</v>
      </c>
      <c r="AM175" s="13">
        <v>15751.9501953125</v>
      </c>
      <c r="AN175" s="13">
        <v>5586.82861328125</v>
      </c>
      <c r="AO175" s="13">
        <v>7429.02490234375</v>
      </c>
      <c r="AP175" s="13">
        <v>2724.30810546875</v>
      </c>
      <c r="AQ175" s="13">
        <v>3498.621826171875</v>
      </c>
      <c r="AR175" s="13">
        <v>1033.08154296875</v>
      </c>
      <c r="AS175" s="13">
        <v>2189.6474609375</v>
      </c>
      <c r="AT175" s="13">
        <v>1153.7838134765625</v>
      </c>
      <c r="AU175" s="13">
        <v>1664.714111328125</v>
      </c>
      <c r="AV175" s="13">
        <v>2823.007080078125</v>
      </c>
      <c r="AW175" s="13">
        <v>638.61846923828125</v>
      </c>
      <c r="AX175" s="13">
        <v>803.0032958984375</v>
      </c>
      <c r="AY175" s="13">
        <v>7624.419921875</v>
      </c>
      <c r="AZ175" s="13">
        <v>1604.8441162109375</v>
      </c>
      <c r="BA175" s="13">
        <v>10096.4794921875</v>
      </c>
      <c r="BB175" s="13">
        <v>8205.3505859375</v>
      </c>
      <c r="BC175" s="13">
        <v>911.5028076171875</v>
      </c>
      <c r="BD175" s="13">
        <v>10876.1396484375</v>
      </c>
      <c r="BE175" s="13">
        <v>2111.97802734375</v>
      </c>
      <c r="BF175" s="13">
        <v>3114.54296875</v>
      </c>
      <c r="BG175" s="13">
        <v>3930.5908203125</v>
      </c>
      <c r="BH175" s="13">
        <v>1263.7642822265625</v>
      </c>
      <c r="BI175" s="13">
        <v>1106.270263671875</v>
      </c>
      <c r="BJ175" s="13">
        <v>1361.665283203125</v>
      </c>
      <c r="BK175" s="13">
        <v>401.11080932617188</v>
      </c>
      <c r="BL175" s="13">
        <v>1255.73583984375</v>
      </c>
      <c r="BM175" s="13">
        <v>2308.9150390625</v>
      </c>
      <c r="BN175" s="13">
        <v>2377.308349609375</v>
      </c>
      <c r="BO175" s="13">
        <v>890.4412841796875</v>
      </c>
      <c r="BP175" s="13">
        <v>2100.564208984375</v>
      </c>
      <c r="BQ175" s="13"/>
      <c r="BR175" s="13"/>
    </row>
    <row r="176" spans="2:70" x14ac:dyDescent="0.2">
      <c r="B176">
        <v>1971</v>
      </c>
      <c r="C176" s="13">
        <v>6784.63427734375</v>
      </c>
      <c r="D176" s="13">
        <v>14884.607421875</v>
      </c>
      <c r="E176" s="13">
        <v>19558.2890625</v>
      </c>
      <c r="F176" s="13">
        <v>7079.20947265625</v>
      </c>
      <c r="G176" s="13">
        <v>6548.30908203125</v>
      </c>
      <c r="H176" s="13">
        <v>2537.404052734375</v>
      </c>
      <c r="I176" s="13">
        <v>9398.9345703125</v>
      </c>
      <c r="J176" s="13">
        <v>2478.448486328125</v>
      </c>
      <c r="K176" s="13">
        <v>1299.0906982421875</v>
      </c>
      <c r="L176" s="13">
        <v>18454.91796875</v>
      </c>
      <c r="M176" s="13">
        <v>22235.998046875</v>
      </c>
      <c r="N176" s="13">
        <v>13838.580078125</v>
      </c>
      <c r="O176" s="13">
        <v>17204.7109375</v>
      </c>
      <c r="P176" s="13">
        <v>15674.236328125</v>
      </c>
      <c r="Q176" s="13">
        <v>17405.771484375</v>
      </c>
      <c r="R176" s="13">
        <v>21126.12109375</v>
      </c>
      <c r="S176" s="13">
        <v>21197.884765625</v>
      </c>
      <c r="T176" s="13">
        <v>19796.583984375</v>
      </c>
      <c r="U176" s="13">
        <v>17309.33984375</v>
      </c>
      <c r="V176" s="13">
        <v>7422.333984375</v>
      </c>
      <c r="W176" s="13">
        <v>20051.830078125</v>
      </c>
      <c r="X176" s="13">
        <v>18973.16796875</v>
      </c>
      <c r="Y176" s="13">
        <v>18006.091796875</v>
      </c>
      <c r="Z176" s="13">
        <v>16141.806640625</v>
      </c>
      <c r="AA176" s="13">
        <v>4435.47314453125</v>
      </c>
      <c r="AB176" s="13">
        <v>14735.5947265625</v>
      </c>
      <c r="AC176" s="13">
        <v>5549.083984375</v>
      </c>
      <c r="AD176" s="13">
        <v>6197.42919921875</v>
      </c>
      <c r="AE176" s="13">
        <v>4807.2119140625</v>
      </c>
      <c r="AF176" s="13">
        <v>8972.2861328125</v>
      </c>
      <c r="AG176" s="13">
        <v>5949.10302734375</v>
      </c>
      <c r="AH176" s="13">
        <v>25092.375</v>
      </c>
      <c r="AI176" s="13">
        <v>5617.92138671875</v>
      </c>
      <c r="AJ176" s="13">
        <v>3392.751953125</v>
      </c>
      <c r="AK176" s="13">
        <v>8826.2587890625</v>
      </c>
      <c r="AL176" s="13">
        <v>2100.43798828125</v>
      </c>
      <c r="AM176" s="13">
        <v>25861.919921875</v>
      </c>
      <c r="AN176" s="13">
        <v>5793.94921875</v>
      </c>
      <c r="AO176" s="13">
        <v>7814.68896484375</v>
      </c>
      <c r="AP176" s="13">
        <v>2791.642333984375</v>
      </c>
      <c r="AQ176" s="13">
        <v>3649.371826171875</v>
      </c>
      <c r="AR176" s="13">
        <v>1029.9544677734375</v>
      </c>
      <c r="AS176" s="13">
        <v>2274.522216796875</v>
      </c>
      <c r="AT176" s="13">
        <v>1169.4764404296875</v>
      </c>
      <c r="AU176" s="13">
        <v>1725.951904296875</v>
      </c>
      <c r="AV176" s="13">
        <v>3196.180908203125</v>
      </c>
      <c r="AW176" s="13">
        <v>627.17742919921875</v>
      </c>
      <c r="AX176" s="13">
        <v>800.5087890625</v>
      </c>
      <c r="AY176" s="13">
        <v>7689.2080078125</v>
      </c>
      <c r="AZ176" s="13">
        <v>1629.1898193359375</v>
      </c>
      <c r="BA176" s="13">
        <v>10413.2802734375</v>
      </c>
      <c r="BB176" s="13">
        <v>8415.861328125</v>
      </c>
      <c r="BC176" s="13">
        <v>925.799072265625</v>
      </c>
      <c r="BD176" s="13">
        <v>11212.1533203125</v>
      </c>
      <c r="BE176" s="13">
        <v>2247.99658203125</v>
      </c>
      <c r="BF176" s="13">
        <v>3449.998291015625</v>
      </c>
      <c r="BG176" s="13">
        <v>4100.974609375</v>
      </c>
      <c r="BH176" s="13">
        <v>1113.4498291015625</v>
      </c>
      <c r="BI176" s="13">
        <v>1091.21826171875</v>
      </c>
      <c r="BJ176" s="13">
        <v>1423.1396484375</v>
      </c>
      <c r="BK176" s="13">
        <v>408.26138305664062</v>
      </c>
      <c r="BL176" s="13">
        <v>1294.8272705078125</v>
      </c>
      <c r="BM176" s="13">
        <v>2408.658935546875</v>
      </c>
      <c r="BN176" s="13">
        <v>2333.73583984375</v>
      </c>
      <c r="BO176" s="13">
        <v>904.47552490234375</v>
      </c>
      <c r="BP176" s="13">
        <v>2252.464599609375</v>
      </c>
      <c r="BQ176" s="13"/>
      <c r="BR176" s="13"/>
    </row>
    <row r="177" spans="2:70" x14ac:dyDescent="0.2">
      <c r="B177">
        <v>1972</v>
      </c>
      <c r="C177" s="13">
        <v>7004.53515625</v>
      </c>
      <c r="D177" s="13">
        <v>15456.6611328125</v>
      </c>
      <c r="E177" s="13">
        <v>20346.94140625</v>
      </c>
      <c r="F177" s="13">
        <v>7397.5791015625</v>
      </c>
      <c r="G177" s="13">
        <v>7189.888671875</v>
      </c>
      <c r="H177" s="13">
        <v>2523.819091796875</v>
      </c>
      <c r="I177" s="13">
        <v>9571.4208984375</v>
      </c>
      <c r="J177" s="13">
        <v>2588.825439453125</v>
      </c>
      <c r="K177" s="13">
        <v>1306.6988525390625</v>
      </c>
      <c r="L177" s="13">
        <v>19113.466796875</v>
      </c>
      <c r="M177" s="13">
        <v>22939.349609375</v>
      </c>
      <c r="N177" s="13">
        <v>14966.484375</v>
      </c>
      <c r="O177" s="13">
        <v>17825.767578125</v>
      </c>
      <c r="P177" s="13">
        <v>16308.7021484375</v>
      </c>
      <c r="Q177" s="13">
        <v>17903.498046875</v>
      </c>
      <c r="R177" s="13">
        <v>21449.224609375</v>
      </c>
      <c r="S177" s="13">
        <v>22112.4296875</v>
      </c>
      <c r="T177" s="13">
        <v>20160.23046875</v>
      </c>
      <c r="U177" s="13">
        <v>18086.005859375</v>
      </c>
      <c r="V177" s="13">
        <v>7747.9541015625</v>
      </c>
      <c r="W177" s="13">
        <v>20910.755859375</v>
      </c>
      <c r="X177" s="13">
        <v>19712.064453125</v>
      </c>
      <c r="Y177" s="13">
        <v>18143.337890625</v>
      </c>
      <c r="Z177" s="13">
        <v>16310.1982421875</v>
      </c>
      <c r="AA177" s="13">
        <v>4575.04150390625</v>
      </c>
      <c r="AB177" s="13">
        <v>14836.8291015625</v>
      </c>
      <c r="AC177" s="13">
        <v>6061.5146484375</v>
      </c>
      <c r="AD177" s="13">
        <v>6042.9580078125</v>
      </c>
      <c r="AE177" s="13">
        <v>5043.51611328125</v>
      </c>
      <c r="AF177" s="13">
        <v>9428.6611328125</v>
      </c>
      <c r="AG177" s="13">
        <v>6108.26025390625</v>
      </c>
      <c r="AH177" s="13">
        <v>30525.16015625</v>
      </c>
      <c r="AI177" s="13">
        <v>6730.5771484375</v>
      </c>
      <c r="AJ177" s="13">
        <v>3381.9052734375</v>
      </c>
      <c r="AK177" s="13">
        <v>10172.8212890625</v>
      </c>
      <c r="AL177" s="13">
        <v>2128.55712890625</v>
      </c>
      <c r="AM177" s="13">
        <v>32485.30859375</v>
      </c>
      <c r="AN177" s="13">
        <v>6110.474609375</v>
      </c>
      <c r="AO177" s="13">
        <v>8103.60888671875</v>
      </c>
      <c r="AP177" s="13">
        <v>2686.51904296875</v>
      </c>
      <c r="AQ177" s="13">
        <v>3651.29833984375</v>
      </c>
      <c r="AR177" s="13">
        <v>1096.2681884765625</v>
      </c>
      <c r="AS177" s="13">
        <v>2343.789794921875</v>
      </c>
      <c r="AT177" s="13">
        <v>1222.365234375</v>
      </c>
      <c r="AU177" s="13">
        <v>1599.0631103515625</v>
      </c>
      <c r="AV177" s="13">
        <v>3291.143310546875</v>
      </c>
      <c r="AW177" s="13">
        <v>610.831787109375</v>
      </c>
      <c r="AX177" s="13">
        <v>783.1505126953125</v>
      </c>
      <c r="AY177" s="13">
        <v>7521.9658203125</v>
      </c>
      <c r="AZ177" s="13">
        <v>1625.580322265625</v>
      </c>
      <c r="BA177" s="13">
        <v>10564.9560546875</v>
      </c>
      <c r="BB177" s="13">
        <v>8648.5048828125</v>
      </c>
      <c r="BC177" s="13">
        <v>935.11944580078125</v>
      </c>
      <c r="BD177" s="13">
        <v>11964.619140625</v>
      </c>
      <c r="BE177" s="13">
        <v>2360.75146484375</v>
      </c>
      <c r="BF177" s="13">
        <v>3830.963623046875</v>
      </c>
      <c r="BG177" s="13">
        <v>4397.42626953125</v>
      </c>
      <c r="BH177" s="13">
        <v>1027.5028076171875</v>
      </c>
      <c r="BI177" s="13">
        <v>1065.6124267578125</v>
      </c>
      <c r="BJ177" s="13">
        <v>1507.4130859375</v>
      </c>
      <c r="BK177" s="13">
        <v>401.50234985351562</v>
      </c>
      <c r="BL177" s="13">
        <v>1302.7740478515625</v>
      </c>
      <c r="BM177" s="13">
        <v>2485.973876953125</v>
      </c>
      <c r="BN177" s="13">
        <v>2473.219970703125</v>
      </c>
      <c r="BO177" s="13">
        <v>901.0777587890625</v>
      </c>
      <c r="BP177" s="13">
        <v>2308.929443359375</v>
      </c>
      <c r="BQ177" s="13"/>
      <c r="BR177" s="13"/>
    </row>
    <row r="178" spans="2:70" x14ac:dyDescent="0.2">
      <c r="B178">
        <v>1973</v>
      </c>
      <c r="C178" s="13">
        <v>7308.8740234375</v>
      </c>
      <c r="D178" s="13">
        <v>16273.4501953125</v>
      </c>
      <c r="E178" s="13">
        <v>21334.357421875</v>
      </c>
      <c r="F178" s="13">
        <v>7777.2041015625</v>
      </c>
      <c r="G178" s="13">
        <v>7455.97412109375</v>
      </c>
      <c r="H178" s="13">
        <v>2561.873291015625</v>
      </c>
      <c r="I178" s="13">
        <v>10227.0673828125</v>
      </c>
      <c r="J178" s="13">
        <v>2745.724365234375</v>
      </c>
      <c r="K178" s="13">
        <v>1354.09228515625</v>
      </c>
      <c r="L178" s="13">
        <v>19981.7265625</v>
      </c>
      <c r="M178" s="13">
        <v>23880.328125</v>
      </c>
      <c r="N178" s="13">
        <v>16033.3203125</v>
      </c>
      <c r="O178" s="13">
        <v>18787.5</v>
      </c>
      <c r="P178" s="13">
        <v>17366.546875</v>
      </c>
      <c r="Q178" s="13">
        <v>18947.697265625</v>
      </c>
      <c r="R178" s="13">
        <v>22595.28515625</v>
      </c>
      <c r="S178" s="13">
        <v>23065.98046875</v>
      </c>
      <c r="T178" s="13">
        <v>20977.359375</v>
      </c>
      <c r="U178" s="13">
        <v>19038.529296875</v>
      </c>
      <c r="V178" s="13">
        <v>8090.859375</v>
      </c>
      <c r="W178" s="13">
        <v>21938.103515625</v>
      </c>
      <c r="X178" s="13">
        <v>20798.66015625</v>
      </c>
      <c r="Y178" s="13">
        <v>18728.755859375</v>
      </c>
      <c r="Z178" s="13">
        <v>17413.05859375</v>
      </c>
      <c r="AA178" s="13">
        <v>4547.74658203125</v>
      </c>
      <c r="AB178" s="13">
        <v>15187.4111328125</v>
      </c>
      <c r="AC178" s="13">
        <v>6739.18359375</v>
      </c>
      <c r="AD178" s="13">
        <v>5484.27294921875</v>
      </c>
      <c r="AE178" s="13">
        <v>5259.70556640625</v>
      </c>
      <c r="AF178" s="13">
        <v>9931.009765625</v>
      </c>
      <c r="AG178" s="13">
        <v>6251.412109375</v>
      </c>
      <c r="AH178" s="13">
        <v>45669.43359375</v>
      </c>
      <c r="AI178" s="13">
        <v>6767.2412109375</v>
      </c>
      <c r="AJ178" s="13">
        <v>3354.7587890625</v>
      </c>
      <c r="AK178" s="13">
        <v>11042.0439453125</v>
      </c>
      <c r="AL178" s="13">
        <v>2155.864013671875</v>
      </c>
      <c r="AM178" s="13">
        <v>33763.5390625</v>
      </c>
      <c r="AN178" s="13">
        <v>6234.56591796875</v>
      </c>
      <c r="AO178" s="13">
        <v>8053.2529296875</v>
      </c>
      <c r="AP178" s="13">
        <v>2838.105712890625</v>
      </c>
      <c r="AQ178" s="13">
        <v>3723.150146484375</v>
      </c>
      <c r="AR178" s="13">
        <v>1061.92724609375</v>
      </c>
      <c r="AS178" s="13">
        <v>2413.833984375</v>
      </c>
      <c r="AT178" s="13">
        <v>1186.0189208984375</v>
      </c>
      <c r="AU178" s="13">
        <v>1283.58935546875</v>
      </c>
      <c r="AV178" s="13">
        <v>3403.20458984375</v>
      </c>
      <c r="AW178" s="13">
        <v>612.99029541015625</v>
      </c>
      <c r="AX178" s="13">
        <v>759.46771240234375</v>
      </c>
      <c r="AY178" s="13">
        <v>7697.623046875</v>
      </c>
      <c r="AZ178" s="13">
        <v>1639.9024658203125</v>
      </c>
      <c r="BA178" s="13">
        <v>11321.9033203125</v>
      </c>
      <c r="BB178" s="13">
        <v>9209.7099609375</v>
      </c>
      <c r="BC178" s="13">
        <v>970.4232177734375</v>
      </c>
      <c r="BD178" s="13">
        <v>12838.095703125</v>
      </c>
      <c r="BE178" s="13">
        <v>2648.999755859375</v>
      </c>
      <c r="BF178" s="13">
        <v>4239.9658203125</v>
      </c>
      <c r="BG178" s="13">
        <v>4795.45947265625</v>
      </c>
      <c r="BH178" s="13">
        <v>1073.8524169921875</v>
      </c>
      <c r="BI178" s="13">
        <v>1067.258544921875</v>
      </c>
      <c r="BJ178" s="13">
        <v>1640.529296875</v>
      </c>
      <c r="BK178" s="13">
        <v>400.09854125976562</v>
      </c>
      <c r="BL178" s="13">
        <v>1348.3292236328125</v>
      </c>
      <c r="BM178" s="13">
        <v>2703.5458984375</v>
      </c>
      <c r="BN178" s="13">
        <v>2686.4833984375</v>
      </c>
      <c r="BO178" s="13">
        <v>866.3299560546875</v>
      </c>
      <c r="BP178" s="13">
        <v>2383.046142578125</v>
      </c>
      <c r="BQ178" s="13"/>
      <c r="BR178" s="13"/>
    </row>
    <row r="179" spans="2:70" x14ac:dyDescent="0.2">
      <c r="B179">
        <v>1974</v>
      </c>
      <c r="C179" s="13">
        <v>7354.16650390625</v>
      </c>
      <c r="D179" s="13">
        <v>16512.515625</v>
      </c>
      <c r="E179" s="13">
        <v>20949.125</v>
      </c>
      <c r="F179" s="13">
        <v>8069.55908203125</v>
      </c>
      <c r="G179" s="13">
        <v>9628.505859375</v>
      </c>
      <c r="H179" s="13">
        <v>2625.445556640625</v>
      </c>
      <c r="I179" s="13">
        <v>10467.744140625</v>
      </c>
      <c r="J179" s="13">
        <v>2702.133056640625</v>
      </c>
      <c r="K179" s="13">
        <v>1380.2828369140625</v>
      </c>
      <c r="L179" s="13">
        <v>20038.1875</v>
      </c>
      <c r="M179" s="13">
        <v>22895.3515625</v>
      </c>
      <c r="N179" s="13">
        <v>16808.068359375</v>
      </c>
      <c r="O179" s="13">
        <v>19404.19140625</v>
      </c>
      <c r="P179" s="13">
        <v>16734.068359375</v>
      </c>
      <c r="Q179" s="13">
        <v>19598.572265625</v>
      </c>
      <c r="R179" s="13">
        <v>23394.990234375</v>
      </c>
      <c r="S179" s="13">
        <v>23638.845703125</v>
      </c>
      <c r="T179" s="13">
        <v>21470.46875</v>
      </c>
      <c r="U179" s="13">
        <v>19334.9453125</v>
      </c>
      <c r="V179" s="13">
        <v>8587.46484375</v>
      </c>
      <c r="W179" s="13">
        <v>21427.056640625</v>
      </c>
      <c r="X179" s="13">
        <v>21193.703125</v>
      </c>
      <c r="Y179" s="13">
        <v>19076.96484375</v>
      </c>
      <c r="Z179" s="13">
        <v>18152.537109375</v>
      </c>
      <c r="AA179" s="13">
        <v>4536.97314453125</v>
      </c>
      <c r="AB179" s="13">
        <v>15824.2255859375</v>
      </c>
      <c r="AC179" s="13">
        <v>7134.50537109375</v>
      </c>
      <c r="AD179" s="13">
        <v>5411.228515625</v>
      </c>
      <c r="AE179" s="13">
        <v>5455.896484375</v>
      </c>
      <c r="AF179" s="13">
        <v>10202.8095703125</v>
      </c>
      <c r="AG179" s="13">
        <v>6424.9755859375</v>
      </c>
      <c r="AH179" s="13">
        <v>106215.09375</v>
      </c>
      <c r="AI179" s="13">
        <v>6964.68408203125</v>
      </c>
      <c r="AJ179" s="13">
        <v>3406.996337890625</v>
      </c>
      <c r="AK179" s="13">
        <v>11791.2109375</v>
      </c>
      <c r="AL179" s="13">
        <v>2221.135498046875</v>
      </c>
      <c r="AM179" s="13">
        <v>105635.546875</v>
      </c>
      <c r="AN179" s="13">
        <v>6194.66259765625</v>
      </c>
      <c r="AO179" s="13">
        <v>8012.89111328125</v>
      </c>
      <c r="AP179" s="13">
        <v>2831.41015625</v>
      </c>
      <c r="AQ179" s="13">
        <v>3704.802001953125</v>
      </c>
      <c r="AR179" s="13">
        <v>1009.9583740234375</v>
      </c>
      <c r="AS179" s="13">
        <v>2430.28369140625</v>
      </c>
      <c r="AT179" s="13">
        <v>1200.9276123046875</v>
      </c>
      <c r="AU179" s="13">
        <v>1375.4586181640625</v>
      </c>
      <c r="AV179" s="13">
        <v>3413.157470703125</v>
      </c>
      <c r="AW179" s="13">
        <v>601.63592529296875</v>
      </c>
      <c r="AX179" s="13">
        <v>789.45111083984375</v>
      </c>
      <c r="AY179" s="13">
        <v>7974.08447265625</v>
      </c>
      <c r="AZ179" s="13">
        <v>1692.228515625</v>
      </c>
      <c r="BA179" s="13">
        <v>11695.443359375</v>
      </c>
      <c r="BB179" s="13">
        <v>9285.6826171875</v>
      </c>
      <c r="BC179" s="13">
        <v>965.52838134765625</v>
      </c>
      <c r="BD179" s="13">
        <v>12565.751953125</v>
      </c>
      <c r="BE179" s="13">
        <v>2860.788330078125</v>
      </c>
      <c r="BF179" s="13">
        <v>4169.39794921875</v>
      </c>
      <c r="BG179" s="13">
        <v>4857.35595703125</v>
      </c>
      <c r="BH179" s="13">
        <v>1062.884033203125</v>
      </c>
      <c r="BI179" s="13">
        <v>1062.35595703125</v>
      </c>
      <c r="BJ179" s="13">
        <v>1733.500244140625</v>
      </c>
      <c r="BK179" s="13">
        <v>404.950439453125</v>
      </c>
      <c r="BL179" s="13">
        <v>1366.1265869140625</v>
      </c>
      <c r="BM179" s="13">
        <v>3001.068115234375</v>
      </c>
      <c r="BN179" s="13">
        <v>2623.41650390625</v>
      </c>
      <c r="BO179" s="13">
        <v>867.37530517578125</v>
      </c>
      <c r="BP179" s="13">
        <v>2442.962646484375</v>
      </c>
      <c r="BQ179" s="13"/>
      <c r="BR179" s="13"/>
    </row>
    <row r="180" spans="2:70" x14ac:dyDescent="0.2">
      <c r="B180">
        <v>1975</v>
      </c>
      <c r="C180" s="13">
        <v>7248.501953125</v>
      </c>
      <c r="D180" s="13">
        <v>16262.7841796875</v>
      </c>
      <c r="E180" s="13">
        <v>20526.529296875</v>
      </c>
      <c r="F180" s="13">
        <v>8137.01904296875</v>
      </c>
      <c r="G180" s="13">
        <v>9491.896484375</v>
      </c>
      <c r="H180" s="13">
        <v>2603.001220703125</v>
      </c>
      <c r="I180" s="13">
        <v>10794.375</v>
      </c>
      <c r="J180" s="13">
        <v>2786.430419921875</v>
      </c>
      <c r="K180" s="13">
        <v>1414.0103759765625</v>
      </c>
      <c r="L180" s="13">
        <v>19913.5078125</v>
      </c>
      <c r="M180" s="13">
        <v>22328.310546875</v>
      </c>
      <c r="N180" s="13">
        <v>16528.2890625</v>
      </c>
      <c r="O180" s="13">
        <v>19111.8515625</v>
      </c>
      <c r="P180" s="13">
        <v>16295.90625</v>
      </c>
      <c r="Q180" s="13">
        <v>18714.166015625</v>
      </c>
      <c r="R180" s="13">
        <v>22770.189453125</v>
      </c>
      <c r="S180" s="13">
        <v>24727.880859375</v>
      </c>
      <c r="T180" s="13">
        <v>21979.955078125</v>
      </c>
      <c r="U180" s="13">
        <v>18782.576171875</v>
      </c>
      <c r="V180" s="13">
        <v>8979.1416015625</v>
      </c>
      <c r="W180" s="13">
        <v>20941.865234375</v>
      </c>
      <c r="X180" s="13">
        <v>21144.333984375</v>
      </c>
      <c r="Y180" s="13">
        <v>19278.26953125</v>
      </c>
      <c r="Z180" s="13">
        <v>16896.013671875</v>
      </c>
      <c r="AA180" s="13">
        <v>4658.3828125</v>
      </c>
      <c r="AB180" s="13">
        <v>15325.0634765625</v>
      </c>
      <c r="AC180" s="13">
        <v>7236.89208984375</v>
      </c>
      <c r="AD180" s="13">
        <v>4328.9150390625</v>
      </c>
      <c r="AE180" s="13">
        <v>5391.6416015625</v>
      </c>
      <c r="AF180" s="13">
        <v>10435.98046875</v>
      </c>
      <c r="AG180" s="13">
        <v>6626.4013671875</v>
      </c>
      <c r="AH180" s="13">
        <v>113383.6015625</v>
      </c>
      <c r="AI180" s="13">
        <v>7051.0166015625</v>
      </c>
      <c r="AJ180" s="13">
        <v>3641.41748046875</v>
      </c>
      <c r="AK180" s="13">
        <v>11361.369140625</v>
      </c>
      <c r="AL180" s="13">
        <v>2323.483642578125</v>
      </c>
      <c r="AM180" s="13">
        <v>97070.5078125</v>
      </c>
      <c r="AN180" s="13">
        <v>6532.74462890625</v>
      </c>
      <c r="AO180" s="13">
        <v>7754.0869140625</v>
      </c>
      <c r="AP180" s="13">
        <v>2590.632080078125</v>
      </c>
      <c r="AQ180" s="13">
        <v>3786.0224609375</v>
      </c>
      <c r="AR180" s="13">
        <v>960.8076171875</v>
      </c>
      <c r="AS180" s="13">
        <v>2271.817138671875</v>
      </c>
      <c r="AT180" s="13">
        <v>1328.0350341796875</v>
      </c>
      <c r="AU180" s="13">
        <v>1301.861083984375</v>
      </c>
      <c r="AV180" s="13">
        <v>3417.174560546875</v>
      </c>
      <c r="AW180" s="13">
        <v>577.18927001953125</v>
      </c>
      <c r="AX180" s="13">
        <v>880.05242919921875</v>
      </c>
      <c r="AY180" s="13">
        <v>7693.80859375</v>
      </c>
      <c r="AZ180" s="13">
        <v>1705.1558837890625</v>
      </c>
      <c r="BA180" s="13">
        <v>12118.1142578125</v>
      </c>
      <c r="BB180" s="13">
        <v>9507.724609375</v>
      </c>
      <c r="BC180" s="13">
        <v>1010.4503173828125</v>
      </c>
      <c r="BD180" s="13">
        <v>12899.5732421875</v>
      </c>
      <c r="BE180" s="13">
        <v>3120.650634765625</v>
      </c>
      <c r="BF180" s="13">
        <v>4276.130859375</v>
      </c>
      <c r="BG180" s="13">
        <v>4899.98876953125</v>
      </c>
      <c r="BH180" s="13">
        <v>1037.781005859375</v>
      </c>
      <c r="BI180" s="13">
        <v>1105.37890625</v>
      </c>
      <c r="BJ180" s="13">
        <v>1774.76904296875</v>
      </c>
      <c r="BK180" s="13">
        <v>414.8173828125</v>
      </c>
      <c r="BL180" s="13">
        <v>1389.242431640625</v>
      </c>
      <c r="BM180" s="13">
        <v>2900.27099609375</v>
      </c>
      <c r="BN180" s="13">
        <v>2854.425048828125</v>
      </c>
      <c r="BO180" s="13">
        <v>870.89471435546875</v>
      </c>
      <c r="BP180" s="13">
        <v>2486.81201171875</v>
      </c>
      <c r="BQ180" s="13"/>
      <c r="BR180" s="13"/>
    </row>
    <row r="181" spans="2:70" x14ac:dyDescent="0.2">
      <c r="B181">
        <v>1976</v>
      </c>
      <c r="C181" s="13">
        <v>7482.03369140625</v>
      </c>
      <c r="D181" s="13">
        <v>16953.109375</v>
      </c>
      <c r="E181" s="13">
        <v>21461.701171875</v>
      </c>
      <c r="F181" s="13">
        <v>8370.2509765625</v>
      </c>
      <c r="G181" s="13">
        <v>10295.5400390625</v>
      </c>
      <c r="H181" s="13">
        <v>2645.21240234375</v>
      </c>
      <c r="I181" s="13">
        <v>11082.02734375</v>
      </c>
      <c r="J181" s="13">
        <v>2805.23291015625</v>
      </c>
      <c r="K181" s="13">
        <v>1456.411865234375</v>
      </c>
      <c r="L181" s="13">
        <v>21048.248046875</v>
      </c>
      <c r="M181" s="13">
        <v>23785.681640625</v>
      </c>
      <c r="N181" s="13">
        <v>16863.693359375</v>
      </c>
      <c r="O181" s="13">
        <v>19902.958984375</v>
      </c>
      <c r="P181" s="13">
        <v>16770.068359375</v>
      </c>
      <c r="Q181" s="13">
        <v>20039.6171875</v>
      </c>
      <c r="R181" s="13">
        <v>23948.255859375</v>
      </c>
      <c r="S181" s="13">
        <v>25774.22265625</v>
      </c>
      <c r="T181" s="13">
        <v>22016.02734375</v>
      </c>
      <c r="U181" s="13">
        <v>19371.287109375</v>
      </c>
      <c r="V181" s="13">
        <v>9364.451171875</v>
      </c>
      <c r="W181" s="13">
        <v>21944.189453125</v>
      </c>
      <c r="X181" s="13">
        <v>22117.751953125</v>
      </c>
      <c r="Y181" s="13">
        <v>19641.86328125</v>
      </c>
      <c r="Z181" s="13">
        <v>16745.294921875</v>
      </c>
      <c r="AA181" s="13">
        <v>4787.10498046875</v>
      </c>
      <c r="AB181" s="13">
        <v>15086.453125</v>
      </c>
      <c r="AC181" s="13">
        <v>7782.61279296875</v>
      </c>
      <c r="AD181" s="13">
        <v>4522.84228515625</v>
      </c>
      <c r="AE181" s="13">
        <v>5518.02001953125</v>
      </c>
      <c r="AF181" s="13">
        <v>10504.5830078125</v>
      </c>
      <c r="AG181" s="13">
        <v>6787.9853515625</v>
      </c>
      <c r="AH181" s="13">
        <v>113235.1875</v>
      </c>
      <c r="AI181" s="13">
        <v>7071.82763671875</v>
      </c>
      <c r="AJ181" s="13">
        <v>3949.509033203125</v>
      </c>
      <c r="AK181" s="13">
        <v>12652.2900390625</v>
      </c>
      <c r="AL181" s="13">
        <v>2506.4658203125</v>
      </c>
      <c r="AM181" s="13">
        <v>107616.109375</v>
      </c>
      <c r="AN181" s="13">
        <v>7061.6669921875</v>
      </c>
      <c r="AO181" s="13">
        <v>7943.19140625</v>
      </c>
      <c r="AP181" s="13">
        <v>2447.74072265625</v>
      </c>
      <c r="AQ181" s="13">
        <v>4044.50390625</v>
      </c>
      <c r="AR181" s="13">
        <v>809.69171142578125</v>
      </c>
      <c r="AS181" s="13">
        <v>2258.71240234375</v>
      </c>
      <c r="AT181" s="13">
        <v>1681.82958984375</v>
      </c>
      <c r="AU181" s="13">
        <v>1271.8663330078125</v>
      </c>
      <c r="AV181" s="13">
        <v>3547.6953125</v>
      </c>
      <c r="AW181" s="13">
        <v>669.05072021484375</v>
      </c>
      <c r="AX181" s="13">
        <v>993.04833984375</v>
      </c>
      <c r="AY181" s="13">
        <v>7530.361328125</v>
      </c>
      <c r="AZ181" s="13">
        <v>1758.5050048828125</v>
      </c>
      <c r="BA181" s="13">
        <v>12459.4423828125</v>
      </c>
      <c r="BB181" s="13">
        <v>9752.2861328125</v>
      </c>
      <c r="BC181" s="13">
        <v>928.8900146484375</v>
      </c>
      <c r="BD181" s="13">
        <v>13354.4228515625</v>
      </c>
      <c r="BE181" s="13">
        <v>3493.475830078125</v>
      </c>
      <c r="BF181" s="13">
        <v>4793.92041015625</v>
      </c>
      <c r="BG181" s="13">
        <v>5453.283203125</v>
      </c>
      <c r="BH181" s="13">
        <v>1058.8580322265625</v>
      </c>
      <c r="BI181" s="13">
        <v>1110.7464599609375</v>
      </c>
      <c r="BJ181" s="13">
        <v>1845.700439453125</v>
      </c>
      <c r="BK181" s="13">
        <v>429.85818481445312</v>
      </c>
      <c r="BL181" s="13">
        <v>1407.10107421875</v>
      </c>
      <c r="BM181" s="13">
        <v>3076.657958984375</v>
      </c>
      <c r="BN181" s="13">
        <v>2977.760498046875</v>
      </c>
      <c r="BO181" s="13">
        <v>945.31744384765625</v>
      </c>
      <c r="BP181" s="13">
        <v>2639.52490234375</v>
      </c>
      <c r="BQ181" s="13"/>
      <c r="BR181" s="13"/>
    </row>
    <row r="182" spans="2:70" x14ac:dyDescent="0.2">
      <c r="B182">
        <v>1977</v>
      </c>
      <c r="C182" s="13">
        <v>7640.119140625</v>
      </c>
      <c r="D182" s="13">
        <v>17333.38671875</v>
      </c>
      <c r="E182" s="13">
        <v>22210.310546875</v>
      </c>
      <c r="F182" s="13">
        <v>8535.1142578125</v>
      </c>
      <c r="G182" s="13">
        <v>10482.9033203125</v>
      </c>
      <c r="H182" s="13">
        <v>2620.60791015625</v>
      </c>
      <c r="I182" s="13">
        <v>11303.54296875</v>
      </c>
      <c r="J182" s="13">
        <v>2931.21337890625</v>
      </c>
      <c r="K182" s="13">
        <v>1533.3797607421875</v>
      </c>
      <c r="L182" s="13">
        <v>21707.71875</v>
      </c>
      <c r="M182" s="13">
        <v>23929.603515625</v>
      </c>
      <c r="N182" s="13">
        <v>17137.873046875</v>
      </c>
      <c r="O182" s="13">
        <v>20450.1640625</v>
      </c>
      <c r="P182" s="13">
        <v>17002.09765625</v>
      </c>
      <c r="Q182" s="13">
        <v>20434.583984375</v>
      </c>
      <c r="R182" s="13">
        <v>24209.8359375</v>
      </c>
      <c r="S182" s="13">
        <v>26293.201171875</v>
      </c>
      <c r="T182" s="13">
        <v>21568.876953125</v>
      </c>
      <c r="U182" s="13">
        <v>19719.20703125</v>
      </c>
      <c r="V182" s="13">
        <v>9867.728515625</v>
      </c>
      <c r="W182" s="13">
        <v>22768.572265625</v>
      </c>
      <c r="X182" s="13">
        <v>22628.091796875</v>
      </c>
      <c r="Y182" s="13">
        <v>20153.71484375</v>
      </c>
      <c r="Z182" s="13">
        <v>16030.162109375</v>
      </c>
      <c r="AA182" s="13">
        <v>4706.56103515625</v>
      </c>
      <c r="AB182" s="13">
        <v>15806.66015625</v>
      </c>
      <c r="AC182" s="13">
        <v>7908.95849609375</v>
      </c>
      <c r="AD182" s="13">
        <v>5014.1865234375</v>
      </c>
      <c r="AE182" s="13">
        <v>5637.75830078125</v>
      </c>
      <c r="AF182" s="13">
        <v>10506.435546875</v>
      </c>
      <c r="AG182" s="13">
        <v>6937.6748046875</v>
      </c>
      <c r="AH182" s="13">
        <v>112783.2421875</v>
      </c>
      <c r="AI182" s="13">
        <v>7069.7861328125</v>
      </c>
      <c r="AJ182" s="13">
        <v>4067.31103515625</v>
      </c>
      <c r="AK182" s="13">
        <v>12154.71875</v>
      </c>
      <c r="AL182" s="13">
        <v>2583.24462890625</v>
      </c>
      <c r="AM182" s="13">
        <v>109254.671875</v>
      </c>
      <c r="AN182" s="13">
        <v>7171.78125</v>
      </c>
      <c r="AO182" s="13">
        <v>8086.759765625</v>
      </c>
      <c r="AP182" s="13">
        <v>2429.31640625</v>
      </c>
      <c r="AQ182" s="13">
        <v>4081.834716796875</v>
      </c>
      <c r="AR182" s="13">
        <v>751.6937255859375</v>
      </c>
      <c r="AS182" s="13">
        <v>2406.248291015625</v>
      </c>
      <c r="AT182" s="13">
        <v>1948.13671875</v>
      </c>
      <c r="AU182" s="13">
        <v>1334.3416748046875</v>
      </c>
      <c r="AV182" s="13">
        <v>3751.51025390625</v>
      </c>
      <c r="AW182" s="13">
        <v>681.82281494140625</v>
      </c>
      <c r="AX182" s="13">
        <v>985.218505859375</v>
      </c>
      <c r="AY182" s="13">
        <v>7245.91796875</v>
      </c>
      <c r="AZ182" s="13">
        <v>1723.8482666015625</v>
      </c>
      <c r="BA182" s="13">
        <v>12797.927734375</v>
      </c>
      <c r="BB182" s="13">
        <v>9837.4990234375</v>
      </c>
      <c r="BC182" s="13">
        <v>986.147216796875</v>
      </c>
      <c r="BD182" s="13">
        <v>13818.037109375</v>
      </c>
      <c r="BE182" s="13">
        <v>3869.033203125</v>
      </c>
      <c r="BF182" s="13">
        <v>5170.2861328125</v>
      </c>
      <c r="BG182" s="13">
        <v>5879.4375</v>
      </c>
      <c r="BH182" s="13">
        <v>1087.704833984375</v>
      </c>
      <c r="BI182" s="13">
        <v>1148.818603515625</v>
      </c>
      <c r="BJ182" s="13">
        <v>1964.8079833984375</v>
      </c>
      <c r="BK182" s="13">
        <v>439.6273193359375</v>
      </c>
      <c r="BL182" s="13">
        <v>1432.895263671875</v>
      </c>
      <c r="BM182" s="13">
        <v>3351.0703125</v>
      </c>
      <c r="BN182" s="13">
        <v>3364.9072265625</v>
      </c>
      <c r="BO182" s="13">
        <v>1050.9832763671875</v>
      </c>
      <c r="BP182" s="13">
        <v>2732.9697265625</v>
      </c>
      <c r="BQ182" s="13"/>
      <c r="BR182" s="13"/>
    </row>
    <row r="183" spans="2:70" x14ac:dyDescent="0.2">
      <c r="B183">
        <v>1978</v>
      </c>
      <c r="C183" s="13">
        <v>7809.99072265625</v>
      </c>
      <c r="D183" s="13">
        <v>17821.958984375</v>
      </c>
      <c r="E183" s="13">
        <v>23100.8125</v>
      </c>
      <c r="F183" s="13">
        <v>8688.0947265625</v>
      </c>
      <c r="G183" s="13">
        <v>10044.0458984375</v>
      </c>
      <c r="H183" s="13">
        <v>2538.47021484375</v>
      </c>
      <c r="I183" s="13">
        <v>11429.5654296875</v>
      </c>
      <c r="J183" s="13">
        <v>3113.804443359375</v>
      </c>
      <c r="K183" s="13">
        <v>1598.6695556640625</v>
      </c>
      <c r="L183" s="13">
        <v>22426.634765625</v>
      </c>
      <c r="M183" s="13">
        <v>24263.044921875</v>
      </c>
      <c r="N183" s="13">
        <v>17207.736328125</v>
      </c>
      <c r="O183" s="13">
        <v>21161.1015625</v>
      </c>
      <c r="P183" s="13">
        <v>17716.015625</v>
      </c>
      <c r="Q183" s="13">
        <v>21129.96875</v>
      </c>
      <c r="R183" s="13">
        <v>24346.689453125</v>
      </c>
      <c r="S183" s="13">
        <v>26838.697265625</v>
      </c>
      <c r="T183" s="13">
        <v>22066.908203125</v>
      </c>
      <c r="U183" s="13">
        <v>20000.615234375</v>
      </c>
      <c r="V183" s="13">
        <v>10283.927734375</v>
      </c>
      <c r="W183" s="13">
        <v>23793.470703125</v>
      </c>
      <c r="X183" s="13">
        <v>22919.77734375</v>
      </c>
      <c r="Y183" s="13">
        <v>20289.21484375</v>
      </c>
      <c r="Z183" s="13">
        <v>15694.6796875</v>
      </c>
      <c r="AA183" s="13">
        <v>4864.70458984375</v>
      </c>
      <c r="AB183" s="13">
        <v>15017.490234375</v>
      </c>
      <c r="AC183" s="13">
        <v>8054.49560546875</v>
      </c>
      <c r="AD183" s="13">
        <v>5338.87255859375</v>
      </c>
      <c r="AE183" s="13">
        <v>5999.6318359375</v>
      </c>
      <c r="AF183" s="13">
        <v>11073.7421875</v>
      </c>
      <c r="AG183" s="13">
        <v>6991.81640625</v>
      </c>
      <c r="AH183" s="13">
        <v>91533.3203125</v>
      </c>
      <c r="AI183" s="13">
        <v>7704.9228515625</v>
      </c>
      <c r="AJ183" s="13">
        <v>4413.1171875</v>
      </c>
      <c r="AK183" s="13">
        <v>10241.16796875</v>
      </c>
      <c r="AL183" s="13">
        <v>2558.14990234375</v>
      </c>
      <c r="AM183" s="13">
        <v>95665.875</v>
      </c>
      <c r="AN183" s="13">
        <v>7131.58349609375</v>
      </c>
      <c r="AO183" s="13">
        <v>8555.4306640625</v>
      </c>
      <c r="AP183" s="13">
        <v>2223.70751953125</v>
      </c>
      <c r="AQ183" s="13">
        <v>4218.02587890625</v>
      </c>
      <c r="AR183" s="13">
        <v>700.78082275390625</v>
      </c>
      <c r="AS183" s="13">
        <v>2532.128173828125</v>
      </c>
      <c r="AT183" s="13">
        <v>2011.7957763671875</v>
      </c>
      <c r="AU183" s="13">
        <v>1437.2064208984375</v>
      </c>
      <c r="AV183" s="13">
        <v>3577.543212890625</v>
      </c>
      <c r="AW183" s="13">
        <v>721.9788818359375</v>
      </c>
      <c r="AX183" s="13">
        <v>917.30194091796875</v>
      </c>
      <c r="AY183" s="13">
        <v>7230.3564453125</v>
      </c>
      <c r="AZ183" s="13">
        <v>1639.68408203125</v>
      </c>
      <c r="BA183" s="13">
        <v>13006.6279296875</v>
      </c>
      <c r="BB183" s="13">
        <v>9872.255859375</v>
      </c>
      <c r="BC183" s="13">
        <v>1081.383544921875</v>
      </c>
      <c r="BD183" s="13">
        <v>14480.5615234375</v>
      </c>
      <c r="BE183" s="13">
        <v>4216.310546875</v>
      </c>
      <c r="BF183" s="13">
        <v>5780.25927734375</v>
      </c>
      <c r="BG183" s="13">
        <v>6175.38720703125</v>
      </c>
      <c r="BH183" s="13">
        <v>1123.4892578125</v>
      </c>
      <c r="BI183" s="13">
        <v>1195.5443115234375</v>
      </c>
      <c r="BJ183" s="13">
        <v>2063.93115234375</v>
      </c>
      <c r="BK183" s="13">
        <v>454.56072998046875</v>
      </c>
      <c r="BL183" s="13">
        <v>1487.02880859375</v>
      </c>
      <c r="BM183" s="13">
        <v>3434.550537109375</v>
      </c>
      <c r="BN183" s="13">
        <v>3642.90869140625</v>
      </c>
      <c r="BO183" s="13">
        <v>1038.1778564453125</v>
      </c>
      <c r="BP183" s="13">
        <v>2862.319091796875</v>
      </c>
      <c r="BQ183" s="13"/>
      <c r="BR183" s="13"/>
    </row>
    <row r="184" spans="2:70" x14ac:dyDescent="0.2">
      <c r="B184">
        <v>1979</v>
      </c>
      <c r="C184" s="13">
        <v>7964.3583984375</v>
      </c>
      <c r="D184" s="13">
        <v>18393.892578125</v>
      </c>
      <c r="E184" s="13">
        <v>23545.6953125</v>
      </c>
      <c r="F184" s="13">
        <v>8996.4775390625</v>
      </c>
      <c r="G184" s="13">
        <v>10489.728515625</v>
      </c>
      <c r="H184" s="13">
        <v>2484.1728515625</v>
      </c>
      <c r="I184" s="13">
        <v>11432.375</v>
      </c>
      <c r="J184" s="13">
        <v>3254.576416015625</v>
      </c>
      <c r="K184" s="13">
        <v>1608.5533447265625</v>
      </c>
      <c r="L184" s="13">
        <v>23293.060546875</v>
      </c>
      <c r="M184" s="13">
        <v>25072.5</v>
      </c>
      <c r="N184" s="13">
        <v>17006.1171875</v>
      </c>
      <c r="O184" s="13">
        <v>21843.33984375</v>
      </c>
      <c r="P184" s="13">
        <v>18274.1796875</v>
      </c>
      <c r="Q184" s="13">
        <v>22500.20703125</v>
      </c>
      <c r="R184" s="13">
        <v>24677.5</v>
      </c>
      <c r="S184" s="13">
        <v>27771.904296875</v>
      </c>
      <c r="T184" s="13">
        <v>22775.828125</v>
      </c>
      <c r="U184" s="13">
        <v>20595.0546875</v>
      </c>
      <c r="V184" s="13">
        <v>10545.1591796875</v>
      </c>
      <c r="W184" s="13">
        <v>24246.9921875</v>
      </c>
      <c r="X184" s="13">
        <v>23360.150390625</v>
      </c>
      <c r="Y184" s="13">
        <v>20741.55078125</v>
      </c>
      <c r="Z184" s="13">
        <v>16558.09765625</v>
      </c>
      <c r="AA184" s="13">
        <v>4867.6416015625</v>
      </c>
      <c r="AB184" s="13">
        <v>15847.1630859375</v>
      </c>
      <c r="AC184" s="13">
        <v>8353.7919921875</v>
      </c>
      <c r="AD184" s="13">
        <v>5788.13427734375</v>
      </c>
      <c r="AE184" s="13">
        <v>6200.40576171875</v>
      </c>
      <c r="AF184" s="13">
        <v>11735.765625</v>
      </c>
      <c r="AG184" s="13">
        <v>6959.50634765625</v>
      </c>
      <c r="AH184" s="13">
        <v>106230.5078125</v>
      </c>
      <c r="AI184" s="13">
        <v>7939.529296875</v>
      </c>
      <c r="AJ184" s="13">
        <v>4743.60400390625</v>
      </c>
      <c r="AK184" s="13">
        <v>8632.9921875</v>
      </c>
      <c r="AL184" s="13">
        <v>2602.7783203125</v>
      </c>
      <c r="AM184" s="13">
        <v>105167.2109375</v>
      </c>
      <c r="AN184" s="13">
        <v>6922.68505859375</v>
      </c>
      <c r="AO184" s="13">
        <v>9219.61328125</v>
      </c>
      <c r="AP184" s="13">
        <v>2148.6767578125</v>
      </c>
      <c r="AQ184" s="13">
        <v>4051.674072265625</v>
      </c>
      <c r="AR184" s="13">
        <v>642.22650146484375</v>
      </c>
      <c r="AS184" s="13">
        <v>2546.450927734375</v>
      </c>
      <c r="AT184" s="13">
        <v>2276.948486328125</v>
      </c>
      <c r="AU184" s="13">
        <v>1497.068115234375</v>
      </c>
      <c r="AV184" s="13">
        <v>3356.6689453125</v>
      </c>
      <c r="AW184" s="13">
        <v>763.06451416015625</v>
      </c>
      <c r="AX184" s="13">
        <v>838.67779541015625</v>
      </c>
      <c r="AY184" s="13">
        <v>7308.47900390625</v>
      </c>
      <c r="AZ184" s="13">
        <v>1593.806396484375</v>
      </c>
      <c r="BA184" s="13">
        <v>13063.7705078125</v>
      </c>
      <c r="BB184" s="13">
        <v>9816.15234375</v>
      </c>
      <c r="BC184" s="13">
        <v>1134.4052734375</v>
      </c>
      <c r="BD184" s="13">
        <v>15104.552734375</v>
      </c>
      <c r="BE184" s="13">
        <v>4548.8271484375</v>
      </c>
      <c r="BF184" s="13">
        <v>6159.455078125</v>
      </c>
      <c r="BG184" s="13">
        <v>6653.64404296875</v>
      </c>
      <c r="BH184" s="13">
        <v>1125.3231201171875</v>
      </c>
      <c r="BI184" s="13">
        <v>1136.9232177734375</v>
      </c>
      <c r="BJ184" s="13">
        <v>2131.50830078125</v>
      </c>
      <c r="BK184" s="13">
        <v>466.11764526367188</v>
      </c>
      <c r="BL184" s="13">
        <v>1532.6893310546875</v>
      </c>
      <c r="BM184" s="13">
        <v>3505.01318359375</v>
      </c>
      <c r="BN184" s="13">
        <v>3762.7001953125</v>
      </c>
      <c r="BO184" s="13">
        <v>1084.119140625</v>
      </c>
      <c r="BP184" s="13">
        <v>3073.56787109375</v>
      </c>
      <c r="BQ184" s="13"/>
      <c r="BR184" s="13"/>
    </row>
    <row r="185" spans="2:70" x14ac:dyDescent="0.2">
      <c r="B185">
        <v>1980</v>
      </c>
      <c r="C185" s="13">
        <v>7915.16650390625</v>
      </c>
      <c r="D185" s="13">
        <v>18445.04296875</v>
      </c>
      <c r="E185" s="13">
        <v>23172.126953125</v>
      </c>
      <c r="F185" s="13">
        <v>9309.26953125</v>
      </c>
      <c r="G185" s="13">
        <v>10161.9609375</v>
      </c>
      <c r="H185" s="13">
        <v>2511.055908203125</v>
      </c>
      <c r="I185" s="13">
        <v>11697.650390625</v>
      </c>
      <c r="J185" s="13">
        <v>3294.346923828125</v>
      </c>
      <c r="K185" s="13">
        <v>1652.012939453125</v>
      </c>
      <c r="L185" s="13">
        <v>23004.80859375</v>
      </c>
      <c r="M185" s="13">
        <v>23564.962890625</v>
      </c>
      <c r="N185" s="13">
        <v>17104.92578125</v>
      </c>
      <c r="O185" s="13">
        <v>22009.470703125</v>
      </c>
      <c r="P185" s="13">
        <v>17819.7109375</v>
      </c>
      <c r="Q185" s="13">
        <v>23224.650390625</v>
      </c>
      <c r="R185" s="13">
        <v>25348.939453125</v>
      </c>
      <c r="S185" s="13">
        <v>29528.53125</v>
      </c>
      <c r="T185" s="13">
        <v>23006.546875</v>
      </c>
      <c r="U185" s="13">
        <v>21152.51953125</v>
      </c>
      <c r="V185" s="13">
        <v>10442.1767578125</v>
      </c>
      <c r="W185" s="13">
        <v>23764.19921875</v>
      </c>
      <c r="X185" s="13">
        <v>23569.93359375</v>
      </c>
      <c r="Y185" s="13">
        <v>21172.515625</v>
      </c>
      <c r="Z185" s="13">
        <v>16853.32421875</v>
      </c>
      <c r="AA185" s="13">
        <v>4737.18212890625</v>
      </c>
      <c r="AB185" s="13">
        <v>15854.8017578125</v>
      </c>
      <c r="AC185" s="13">
        <v>8915.9365234375</v>
      </c>
      <c r="AD185" s="13">
        <v>6160.00048828125</v>
      </c>
      <c r="AE185" s="13">
        <v>6324.783203125</v>
      </c>
      <c r="AF185" s="13">
        <v>12415.943359375</v>
      </c>
      <c r="AG185" s="13">
        <v>6880.4130859375</v>
      </c>
      <c r="AH185" s="13">
        <v>122996.5078125</v>
      </c>
      <c r="AI185" s="13">
        <v>7829.6884765625</v>
      </c>
      <c r="AJ185" s="13">
        <v>4924.431640625</v>
      </c>
      <c r="AK185" s="13">
        <v>6538.220703125</v>
      </c>
      <c r="AL185" s="13">
        <v>2609.34130859375</v>
      </c>
      <c r="AM185" s="13">
        <v>103553.6171875</v>
      </c>
      <c r="AN185" s="13">
        <v>6594.0439453125</v>
      </c>
      <c r="AO185" s="13">
        <v>8818.67578125</v>
      </c>
      <c r="AP185" s="13">
        <v>2129.02978515625</v>
      </c>
      <c r="AQ185" s="13">
        <v>3420.873291015625</v>
      </c>
      <c r="AR185" s="13">
        <v>677.5245361328125</v>
      </c>
      <c r="AS185" s="13">
        <v>2611.0390625</v>
      </c>
      <c r="AT185" s="13">
        <v>1557.4844970703125</v>
      </c>
      <c r="AU185" s="13">
        <v>1403.4561767578125</v>
      </c>
      <c r="AV185" s="13">
        <v>3303.63134765625</v>
      </c>
      <c r="AW185" s="13">
        <v>799.62762451171875</v>
      </c>
      <c r="AX185" s="13">
        <v>856.5570068359375</v>
      </c>
      <c r="AY185" s="13">
        <v>7733.71875</v>
      </c>
      <c r="AZ185" s="13">
        <v>1609.8140869140625</v>
      </c>
      <c r="BA185" s="13">
        <v>13502.1787109375</v>
      </c>
      <c r="BB185" s="13">
        <v>9870.197265625</v>
      </c>
      <c r="BC185" s="13">
        <v>1160.798828125</v>
      </c>
      <c r="BD185" s="13">
        <v>15316.2568359375</v>
      </c>
      <c r="BE185" s="13">
        <v>4334.2724609375</v>
      </c>
      <c r="BF185" s="13">
        <v>6466.37255859375</v>
      </c>
      <c r="BG185" s="13">
        <v>7102.3671875</v>
      </c>
      <c r="BH185" s="13">
        <v>1124.5770263671875</v>
      </c>
      <c r="BI185" s="13">
        <v>1145.1240234375</v>
      </c>
      <c r="BJ185" s="13">
        <v>2303.2431640625</v>
      </c>
      <c r="BK185" s="13">
        <v>488.7783203125</v>
      </c>
      <c r="BL185" s="13">
        <v>1588.6690673828125</v>
      </c>
      <c r="BM185" s="13">
        <v>3602.54638671875</v>
      </c>
      <c r="BN185" s="13">
        <v>3928.220947265625</v>
      </c>
      <c r="BO185" s="13">
        <v>1012.685546875</v>
      </c>
      <c r="BP185" s="13">
        <v>3164.76123046875</v>
      </c>
      <c r="BQ185" s="13"/>
      <c r="BR185" s="13"/>
    </row>
    <row r="186" spans="2:70" x14ac:dyDescent="0.2">
      <c r="B186">
        <v>1981</v>
      </c>
      <c r="C186" s="13">
        <v>7889.744140625</v>
      </c>
      <c r="D186" s="13">
        <v>18342.169921875</v>
      </c>
      <c r="E186" s="13">
        <v>23518.091796875</v>
      </c>
      <c r="F186" s="13">
        <v>9164.232421875</v>
      </c>
      <c r="G186" s="13">
        <v>9800.8193359375</v>
      </c>
      <c r="H186" s="13">
        <v>2524.220947265625</v>
      </c>
      <c r="I186" s="13">
        <v>11754.60546875</v>
      </c>
      <c r="J186" s="13">
        <v>3388.721923828125</v>
      </c>
      <c r="K186" s="13">
        <v>1697.9344482421875</v>
      </c>
      <c r="L186" s="13">
        <v>22977.794921875</v>
      </c>
      <c r="M186" s="13">
        <v>23909.947265625</v>
      </c>
      <c r="N186" s="13">
        <v>16723.416015625</v>
      </c>
      <c r="O186" s="13">
        <v>22070.1640625</v>
      </c>
      <c r="P186" s="13">
        <v>17809.203125</v>
      </c>
      <c r="Q186" s="13">
        <v>22944.89453125</v>
      </c>
      <c r="R186" s="13">
        <v>24863.318359375</v>
      </c>
      <c r="S186" s="13">
        <v>30087.76953125</v>
      </c>
      <c r="T186" s="13">
        <v>22849.81640625</v>
      </c>
      <c r="U186" s="13">
        <v>21236.134765625</v>
      </c>
      <c r="V186" s="13">
        <v>10211.2998046875</v>
      </c>
      <c r="W186" s="13">
        <v>24111.46484375</v>
      </c>
      <c r="X186" s="13">
        <v>23946.908203125</v>
      </c>
      <c r="Y186" s="13">
        <v>21610.94140625</v>
      </c>
      <c r="Z186" s="13">
        <v>17600.2421875</v>
      </c>
      <c r="AA186" s="13">
        <v>4669.88232421875</v>
      </c>
      <c r="AB186" s="13">
        <v>14314.9453125</v>
      </c>
      <c r="AC186" s="13">
        <v>8060.72021484375</v>
      </c>
      <c r="AD186" s="13">
        <v>6411.853515625</v>
      </c>
      <c r="AE186" s="13">
        <v>6286.74609375</v>
      </c>
      <c r="AF186" s="13">
        <v>13116.2333984375</v>
      </c>
      <c r="AG186" s="13">
        <v>7144.23095703125</v>
      </c>
      <c r="AH186" s="13">
        <v>112732.171875</v>
      </c>
      <c r="AI186" s="13">
        <v>7858.04638671875</v>
      </c>
      <c r="AJ186" s="13">
        <v>5085.12353515625</v>
      </c>
      <c r="AK186" s="13">
        <v>5656.00341796875</v>
      </c>
      <c r="AL186" s="13">
        <v>2437.658447265625</v>
      </c>
      <c r="AM186" s="13">
        <v>102175.1328125</v>
      </c>
      <c r="AN186" s="13">
        <v>6758.7978515625</v>
      </c>
      <c r="AO186" s="13">
        <v>8034.0537109375</v>
      </c>
      <c r="AP186" s="13">
        <v>2116.37890625</v>
      </c>
      <c r="AQ186" s="13">
        <v>3283.8447265625</v>
      </c>
      <c r="AR186" s="13">
        <v>668.19775390625</v>
      </c>
      <c r="AS186" s="13">
        <v>2612.414794921875</v>
      </c>
      <c r="AT186" s="13">
        <v>1579.851318359375</v>
      </c>
      <c r="AU186" s="13">
        <v>1356.96533203125</v>
      </c>
      <c r="AV186" s="13">
        <v>3334.826171875</v>
      </c>
      <c r="AW186" s="13">
        <v>823.91339111328125</v>
      </c>
      <c r="AX186" s="13">
        <v>865.65533447265625</v>
      </c>
      <c r="AY186" s="13">
        <v>7829.6162109375</v>
      </c>
      <c r="AZ186" s="13">
        <v>1611.8062744140625</v>
      </c>
      <c r="BA186" s="13">
        <v>13625.5087890625</v>
      </c>
      <c r="BB186" s="13">
        <v>9856.359375</v>
      </c>
      <c r="BC186" s="13">
        <v>1202.4251708984375</v>
      </c>
      <c r="BD186" s="13">
        <v>15736.9326171875</v>
      </c>
      <c r="BE186" s="13">
        <v>4559.59912109375</v>
      </c>
      <c r="BF186" s="13">
        <v>6919.50390625</v>
      </c>
      <c r="BG186" s="13">
        <v>7580.4013671875</v>
      </c>
      <c r="BH186" s="13">
        <v>1116.9376220703125</v>
      </c>
      <c r="BI186" s="13">
        <v>1189.7264404296875</v>
      </c>
      <c r="BJ186" s="13">
        <v>2377.494384765625</v>
      </c>
      <c r="BK186" s="13">
        <v>511.8282470703125</v>
      </c>
      <c r="BL186" s="13">
        <v>1624.6744384765625</v>
      </c>
      <c r="BM186" s="13">
        <v>3625.33251953125</v>
      </c>
      <c r="BN186" s="13">
        <v>4040.928955078125</v>
      </c>
      <c r="BO186" s="13">
        <v>1046.0938720703125</v>
      </c>
      <c r="BP186" s="13">
        <v>3287.0927734375</v>
      </c>
      <c r="BQ186" s="13"/>
      <c r="BR186" s="13"/>
    </row>
    <row r="187" spans="2:70" x14ac:dyDescent="0.2">
      <c r="B187">
        <v>1982</v>
      </c>
      <c r="C187" s="13">
        <v>7726.43798828125</v>
      </c>
      <c r="D187" s="13">
        <v>18398.984375</v>
      </c>
      <c r="E187" s="13">
        <v>22676.490234375</v>
      </c>
      <c r="F187" s="13">
        <v>8766.5712890625</v>
      </c>
      <c r="G187" s="13">
        <v>9215.3984375</v>
      </c>
      <c r="H187" s="13">
        <v>2430.8974609375</v>
      </c>
      <c r="I187" s="13">
        <v>11748.4091796875</v>
      </c>
      <c r="J187" s="13">
        <v>3505.752197265625</v>
      </c>
      <c r="K187" s="13">
        <v>1721.6019287109375</v>
      </c>
      <c r="L187" s="13">
        <v>22778.44140625</v>
      </c>
      <c r="M187" s="13">
        <v>24928.66015625</v>
      </c>
      <c r="N187" s="13">
        <v>16788.6328125</v>
      </c>
      <c r="O187" s="13">
        <v>22351.595703125</v>
      </c>
      <c r="P187" s="13">
        <v>18307.728515625</v>
      </c>
      <c r="Q187" s="13">
        <v>22915.171875</v>
      </c>
      <c r="R187" s="13">
        <v>24302.265625</v>
      </c>
      <c r="S187" s="13">
        <v>29779.703125</v>
      </c>
      <c r="T187" s="13">
        <v>23060.482421875</v>
      </c>
      <c r="U187" s="13">
        <v>21235.396484375</v>
      </c>
      <c r="V187" s="13">
        <v>10259.640625</v>
      </c>
      <c r="W187" s="13">
        <v>23200.234375</v>
      </c>
      <c r="X187" s="13">
        <v>23296.396484375</v>
      </c>
      <c r="Y187" s="13">
        <v>21352.52734375</v>
      </c>
      <c r="Z187" s="13">
        <v>17204.626953125</v>
      </c>
      <c r="AA187" s="13">
        <v>4632.22119140625</v>
      </c>
      <c r="AB187" s="13">
        <v>13460.87890625</v>
      </c>
      <c r="AC187" s="13">
        <v>7833.89990234375</v>
      </c>
      <c r="AD187" s="13">
        <v>5163.59130859375</v>
      </c>
      <c r="AE187" s="13">
        <v>6131.794921875</v>
      </c>
      <c r="AF187" s="13">
        <v>12240.4228515625</v>
      </c>
      <c r="AG187" s="13">
        <v>7047.0517578125</v>
      </c>
      <c r="AH187" s="13">
        <v>96991.7109375</v>
      </c>
      <c r="AI187" s="13">
        <v>8019.205078125</v>
      </c>
      <c r="AJ187" s="13">
        <v>5289.61181640625</v>
      </c>
      <c r="AK187" s="13">
        <v>6349.22705078125</v>
      </c>
      <c r="AL187" s="13">
        <v>2613.7265625</v>
      </c>
      <c r="AM187" s="13">
        <v>83605.2265625</v>
      </c>
      <c r="AN187" s="13">
        <v>6835.451171875</v>
      </c>
      <c r="AO187" s="13">
        <v>7494.857421875</v>
      </c>
      <c r="AP187" s="13">
        <v>2036.5887451171875</v>
      </c>
      <c r="AQ187" s="13">
        <v>3154.873291015625</v>
      </c>
      <c r="AR187" s="13">
        <v>653.845703125</v>
      </c>
      <c r="AS187" s="13">
        <v>2613.5810546875</v>
      </c>
      <c r="AT187" s="13">
        <v>1419.2752685546875</v>
      </c>
      <c r="AU187" s="13">
        <v>1338.90966796875</v>
      </c>
      <c r="AV187" s="13">
        <v>3001.563720703125</v>
      </c>
      <c r="AW187" s="13">
        <v>805.2733154296875</v>
      </c>
      <c r="AX187" s="13">
        <v>813.55999755859375</v>
      </c>
      <c r="AY187" s="13">
        <v>7440.51123046875</v>
      </c>
      <c r="AZ187" s="13">
        <v>1589.5406494140625</v>
      </c>
      <c r="BA187" s="13">
        <v>13759.63671875</v>
      </c>
      <c r="BB187" s="13">
        <v>9669.3466796875</v>
      </c>
      <c r="BC187" s="13">
        <v>1279.907958984375</v>
      </c>
      <c r="BD187" s="13">
        <v>16201.8720703125</v>
      </c>
      <c r="BE187" s="13">
        <v>4848.40625</v>
      </c>
      <c r="BF187" s="13">
        <v>7158.83740234375</v>
      </c>
      <c r="BG187" s="13">
        <v>7645.49462890625</v>
      </c>
      <c r="BH187" s="13">
        <v>1115.9312744140625</v>
      </c>
      <c r="BI187" s="13">
        <v>1201.3316650390625</v>
      </c>
      <c r="BJ187" s="13">
        <v>2379.7255859375</v>
      </c>
      <c r="BK187" s="13">
        <v>530.3358154296875</v>
      </c>
      <c r="BL187" s="13">
        <v>1660.3551025390625</v>
      </c>
      <c r="BM187" s="13">
        <v>3607.005615234375</v>
      </c>
      <c r="BN187" s="13">
        <v>4180.138671875</v>
      </c>
      <c r="BO187" s="13">
        <v>1104.3739013671875</v>
      </c>
      <c r="BP187" s="13">
        <v>3430.694091796875</v>
      </c>
      <c r="BQ187" s="13"/>
      <c r="BR187" s="13"/>
    </row>
    <row r="188" spans="2:70" x14ac:dyDescent="0.2">
      <c r="B188">
        <v>1983</v>
      </c>
      <c r="C188" s="13">
        <v>7784.99462890625</v>
      </c>
      <c r="D188" s="13">
        <v>18673.427734375</v>
      </c>
      <c r="E188" s="13">
        <v>23419.861328125</v>
      </c>
      <c r="F188" s="13">
        <v>8307.13671875</v>
      </c>
      <c r="G188" s="13">
        <v>9007.109375</v>
      </c>
      <c r="H188" s="13">
        <v>2329.336669921875</v>
      </c>
      <c r="I188" s="13">
        <v>11931.953125</v>
      </c>
      <c r="J188" s="13">
        <v>3637.29638671875</v>
      </c>
      <c r="K188" s="13">
        <v>1777.922119140625</v>
      </c>
      <c r="L188" s="13">
        <v>23236.1171875</v>
      </c>
      <c r="M188" s="13">
        <v>25641.126953125</v>
      </c>
      <c r="N188" s="13">
        <v>16864.7421875</v>
      </c>
      <c r="O188" s="13">
        <v>22322.611328125</v>
      </c>
      <c r="P188" s="13">
        <v>19057.8515625</v>
      </c>
      <c r="Q188" s="13">
        <v>23188.271484375</v>
      </c>
      <c r="R188" s="13">
        <v>24769.056640625</v>
      </c>
      <c r="S188" s="13">
        <v>30932.3125</v>
      </c>
      <c r="T188" s="13">
        <v>23357.3828125</v>
      </c>
      <c r="U188" s="13">
        <v>21214.75</v>
      </c>
      <c r="V188" s="13">
        <v>10507.0048828125</v>
      </c>
      <c r="W188" s="13">
        <v>24097.6171875</v>
      </c>
      <c r="X188" s="13">
        <v>23427.80078125</v>
      </c>
      <c r="Y188" s="13">
        <v>20971.892578125</v>
      </c>
      <c r="Z188" s="13">
        <v>17220.080078125</v>
      </c>
      <c r="AA188" s="13">
        <v>4640.517578125</v>
      </c>
      <c r="AB188" s="13">
        <v>13795.580078125</v>
      </c>
      <c r="AC188" s="13">
        <v>7303.1865234375</v>
      </c>
      <c r="AD188" s="13">
        <v>4830.638671875</v>
      </c>
      <c r="AE188" s="13">
        <v>6036.36279296875</v>
      </c>
      <c r="AF188" s="13">
        <v>11226.9140625</v>
      </c>
      <c r="AG188" s="13">
        <v>6779.10205078125</v>
      </c>
      <c r="AH188" s="13">
        <v>84345.8984375</v>
      </c>
      <c r="AI188" s="13">
        <v>8192.94921875</v>
      </c>
      <c r="AJ188" s="13">
        <v>5541.88232421875</v>
      </c>
      <c r="AK188" s="13">
        <v>6979.326171875</v>
      </c>
      <c r="AL188" s="13">
        <v>2526.248046875</v>
      </c>
      <c r="AM188" s="13">
        <v>73560.4140625</v>
      </c>
      <c r="AN188" s="13">
        <v>7008.69287109375</v>
      </c>
      <c r="AO188" s="13">
        <v>7335.37646484375</v>
      </c>
      <c r="AP188" s="13">
        <v>1995.93359375</v>
      </c>
      <c r="AQ188" s="13">
        <v>3002.840087890625</v>
      </c>
      <c r="AR188" s="13">
        <v>705.5728759765625</v>
      </c>
      <c r="AS188" s="13">
        <v>2543.3671875</v>
      </c>
      <c r="AT188" s="13">
        <v>1352.916015625</v>
      </c>
      <c r="AU188" s="13">
        <v>1219.903564453125</v>
      </c>
      <c r="AV188" s="13">
        <v>2609.420166015625</v>
      </c>
      <c r="AW188" s="13">
        <v>823.7109375</v>
      </c>
      <c r="AX188" s="13">
        <v>773.45196533203125</v>
      </c>
      <c r="AY188" s="13">
        <v>7005.865234375</v>
      </c>
      <c r="AZ188" s="13">
        <v>1553.0499267578125</v>
      </c>
      <c r="BA188" s="13">
        <v>13955.9736328125</v>
      </c>
      <c r="BB188" s="13">
        <v>9861.0986328125</v>
      </c>
      <c r="BC188" s="13">
        <v>1356.3128662109375</v>
      </c>
      <c r="BD188" s="13">
        <v>16651.49609375</v>
      </c>
      <c r="BE188" s="13">
        <v>5388.740234375</v>
      </c>
      <c r="BF188" s="13">
        <v>7677.9228515625</v>
      </c>
      <c r="BG188" s="13">
        <v>7978.9697265625</v>
      </c>
      <c r="BH188" s="13">
        <v>1146.699951171875</v>
      </c>
      <c r="BI188" s="13">
        <v>1242.6824951171875</v>
      </c>
      <c r="BJ188" s="13">
        <v>2507.69140625</v>
      </c>
      <c r="BK188" s="13">
        <v>541.852783203125</v>
      </c>
      <c r="BL188" s="13">
        <v>1695.515380859375</v>
      </c>
      <c r="BM188" s="13">
        <v>3546.648193359375</v>
      </c>
      <c r="BN188" s="13">
        <v>4316.0439453125</v>
      </c>
      <c r="BO188" s="13">
        <v>1161.9022216796875</v>
      </c>
      <c r="BP188" s="13">
        <v>3584.364990234375</v>
      </c>
      <c r="BQ188" s="13"/>
      <c r="BR188" s="13"/>
    </row>
    <row r="189" spans="2:70" x14ac:dyDescent="0.2">
      <c r="B189">
        <v>1984</v>
      </c>
      <c r="C189" s="13">
        <v>8016.17919921875</v>
      </c>
      <c r="D189" s="13">
        <v>19166.4140625</v>
      </c>
      <c r="E189" s="13">
        <v>24959.939453125</v>
      </c>
      <c r="F189" s="13">
        <v>8476.64453125</v>
      </c>
      <c r="G189" s="13">
        <v>8823.134765625</v>
      </c>
      <c r="H189" s="13">
        <v>2325.89599609375</v>
      </c>
      <c r="I189" s="13">
        <v>11904.5263671875</v>
      </c>
      <c r="J189" s="13">
        <v>3853.6005859375</v>
      </c>
      <c r="K189" s="13">
        <v>1807.451904296875</v>
      </c>
      <c r="L189" s="13">
        <v>24036.427734375</v>
      </c>
      <c r="M189" s="13">
        <v>26698.583984375</v>
      </c>
      <c r="N189" s="13">
        <v>17047.79296875</v>
      </c>
      <c r="O189" s="13">
        <v>22535.271484375</v>
      </c>
      <c r="P189" s="13">
        <v>19702.82421875</v>
      </c>
      <c r="Q189" s="13">
        <v>23958.146484375</v>
      </c>
      <c r="R189" s="13">
        <v>25525.37109375</v>
      </c>
      <c r="S189" s="13">
        <v>32968.2109375</v>
      </c>
      <c r="T189" s="13">
        <v>24433.125</v>
      </c>
      <c r="U189" s="13">
        <v>21694.376953125</v>
      </c>
      <c r="V189" s="13">
        <v>10726.6376953125</v>
      </c>
      <c r="W189" s="13">
        <v>25776.89453125</v>
      </c>
      <c r="X189" s="13">
        <v>24693.2265625</v>
      </c>
      <c r="Y189" s="13">
        <v>21643.00390625</v>
      </c>
      <c r="Z189" s="13">
        <v>17187.439453125</v>
      </c>
      <c r="AA189" s="13">
        <v>4546.22802734375</v>
      </c>
      <c r="AB189" s="13">
        <v>13873.4091796875</v>
      </c>
      <c r="AC189" s="13">
        <v>7541.31298828125</v>
      </c>
      <c r="AD189" s="13">
        <v>4957.88037109375</v>
      </c>
      <c r="AE189" s="13">
        <v>6045.6171875</v>
      </c>
      <c r="AF189" s="13">
        <v>11548.2568359375</v>
      </c>
      <c r="AG189" s="13">
        <v>6838.52880859375</v>
      </c>
      <c r="AH189" s="13">
        <v>85180.6796875</v>
      </c>
      <c r="AI189" s="13">
        <v>8454.2099609375</v>
      </c>
      <c r="AJ189" s="13">
        <v>5810.3701171875</v>
      </c>
      <c r="AK189" s="13">
        <v>6407.1748046875</v>
      </c>
      <c r="AL189" s="13">
        <v>2568.56640625</v>
      </c>
      <c r="AM189" s="13">
        <v>65954.28125</v>
      </c>
      <c r="AN189" s="13">
        <v>7299.56591796875</v>
      </c>
      <c r="AO189" s="13">
        <v>7285.3671875</v>
      </c>
      <c r="AP189" s="13">
        <v>2026.3199462890625</v>
      </c>
      <c r="AQ189" s="13">
        <v>2830.44287109375</v>
      </c>
      <c r="AR189" s="13">
        <v>836.1058349609375</v>
      </c>
      <c r="AS189" s="13">
        <v>2486.914306640625</v>
      </c>
      <c r="AT189" s="13">
        <v>1272.8140869140625</v>
      </c>
      <c r="AU189" s="13">
        <v>968.64007568359375</v>
      </c>
      <c r="AV189" s="13">
        <v>2508.623046875</v>
      </c>
      <c r="AW189" s="13">
        <v>759.7510986328125</v>
      </c>
      <c r="AX189" s="13">
        <v>747.6077880859375</v>
      </c>
      <c r="AY189" s="13">
        <v>7169.302734375</v>
      </c>
      <c r="AZ189" s="13">
        <v>1541.0701904296875</v>
      </c>
      <c r="BA189" s="13">
        <v>13951.3759765625</v>
      </c>
      <c r="BB189" s="13">
        <v>9814.359375</v>
      </c>
      <c r="BC189" s="13">
        <v>1491.7037353515625</v>
      </c>
      <c r="BD189" s="13">
        <v>17354.662109375</v>
      </c>
      <c r="BE189" s="13">
        <v>5875.87060546875</v>
      </c>
      <c r="BF189" s="13">
        <v>8376.6435546875</v>
      </c>
      <c r="BG189" s="13">
        <v>8643.0419921875</v>
      </c>
      <c r="BH189" s="13">
        <v>1166.97607421875</v>
      </c>
      <c r="BI189" s="13">
        <v>1273.5433349609375</v>
      </c>
      <c r="BJ189" s="13">
        <v>2607.214111328125</v>
      </c>
      <c r="BK189" s="13">
        <v>555.198974609375</v>
      </c>
      <c r="BL189" s="13">
        <v>1744.868896484375</v>
      </c>
      <c r="BM189" s="13">
        <v>3097.03515625</v>
      </c>
      <c r="BN189" s="13">
        <v>4320.9150390625</v>
      </c>
      <c r="BO189" s="13">
        <v>1230.1197509765625</v>
      </c>
      <c r="BP189" s="13">
        <v>3803.36962890625</v>
      </c>
      <c r="BQ189" s="13"/>
      <c r="BR189" s="13"/>
    </row>
    <row r="190" spans="2:70" x14ac:dyDescent="0.2">
      <c r="B190">
        <v>1985</v>
      </c>
      <c r="C190" s="13">
        <v>8132.3134765625</v>
      </c>
      <c r="D190" s="13">
        <v>19590.521484375</v>
      </c>
      <c r="E190" s="13">
        <v>25673.05078125</v>
      </c>
      <c r="F190" s="13">
        <v>8580.3544921875</v>
      </c>
      <c r="G190" s="13">
        <v>8622.5234375</v>
      </c>
      <c r="H190" s="13">
        <v>2294.655517578125</v>
      </c>
      <c r="I190" s="13">
        <v>11915.13671875</v>
      </c>
      <c r="J190" s="13">
        <v>4046.43115234375</v>
      </c>
      <c r="K190" s="13">
        <v>1808.1988525390625</v>
      </c>
      <c r="L190" s="13">
        <v>24666.296875</v>
      </c>
      <c r="M190" s="13">
        <v>27837.40625</v>
      </c>
      <c r="N190" s="13">
        <v>17452.015625</v>
      </c>
      <c r="O190" s="13">
        <v>22948.7890625</v>
      </c>
      <c r="P190" s="13">
        <v>20311.552734375</v>
      </c>
      <c r="Q190" s="13">
        <v>24589.541015625</v>
      </c>
      <c r="R190" s="13">
        <v>25552.140625</v>
      </c>
      <c r="S190" s="13">
        <v>35121.17578125</v>
      </c>
      <c r="T190" s="13">
        <v>24893.6953125</v>
      </c>
      <c r="U190" s="13">
        <v>22213.552734375</v>
      </c>
      <c r="V190" s="13">
        <v>10763.8759765625</v>
      </c>
      <c r="W190" s="13">
        <v>26502.56640625</v>
      </c>
      <c r="X190" s="13">
        <v>25573.0859375</v>
      </c>
      <c r="Y190" s="13">
        <v>22401.451171875</v>
      </c>
      <c r="Z190" s="13">
        <v>17179.873046875</v>
      </c>
      <c r="AA190" s="13">
        <v>4631.70361328125</v>
      </c>
      <c r="AB190" s="13">
        <v>12655.4775390625</v>
      </c>
      <c r="AC190" s="13">
        <v>8067.935546875</v>
      </c>
      <c r="AD190" s="13">
        <v>4952.8798828125</v>
      </c>
      <c r="AE190" s="13">
        <v>6064.06494140625</v>
      </c>
      <c r="AF190" s="13">
        <v>11738.6826171875</v>
      </c>
      <c r="AG190" s="13">
        <v>6790.4482421875</v>
      </c>
      <c r="AH190" s="13">
        <v>80292.1953125</v>
      </c>
      <c r="AI190" s="13">
        <v>8439.81640625</v>
      </c>
      <c r="AJ190" s="13">
        <v>5908.65185546875</v>
      </c>
      <c r="AK190" s="13">
        <v>6170.72900390625</v>
      </c>
      <c r="AL190" s="13">
        <v>2635.2705078125</v>
      </c>
      <c r="AM190" s="13">
        <v>58991.4609375</v>
      </c>
      <c r="AN190" s="13">
        <v>7454.724609375</v>
      </c>
      <c r="AO190" s="13">
        <v>7288.5634765625</v>
      </c>
      <c r="AP190" s="13">
        <v>1953.7904052734375</v>
      </c>
      <c r="AQ190" s="13">
        <v>2862.88232421875</v>
      </c>
      <c r="AR190" s="13">
        <v>670.9105224609375</v>
      </c>
      <c r="AS190" s="13">
        <v>2488.6005859375</v>
      </c>
      <c r="AT190" s="13">
        <v>1428.194580078125</v>
      </c>
      <c r="AU190" s="13">
        <v>1052.8974609375</v>
      </c>
      <c r="AV190" s="13">
        <v>2577.48291015625</v>
      </c>
      <c r="AW190" s="13">
        <v>765.81097412109375</v>
      </c>
      <c r="AX190" s="13">
        <v>777.24456787109375</v>
      </c>
      <c r="AY190" s="13">
        <v>6741.30810546875</v>
      </c>
      <c r="AZ190" s="13">
        <v>1549.0379638671875</v>
      </c>
      <c r="BA190" s="13">
        <v>14104.5830078125</v>
      </c>
      <c r="BB190" s="13">
        <v>9642.3779296875</v>
      </c>
      <c r="BC190" s="13">
        <v>1603.9971923828125</v>
      </c>
      <c r="BD190" s="13">
        <v>18241.9609375</v>
      </c>
      <c r="BE190" s="13">
        <v>6184.21728515625</v>
      </c>
      <c r="BF190" s="13">
        <v>8619.87890625</v>
      </c>
      <c r="BG190" s="13">
        <v>8522.126953125</v>
      </c>
      <c r="BH190" s="13">
        <v>1178.0418701171875</v>
      </c>
      <c r="BI190" s="13">
        <v>1300.011962890625</v>
      </c>
      <c r="BJ190" s="13">
        <v>2610.765625</v>
      </c>
      <c r="BK190" s="13">
        <v>563.69281005859375</v>
      </c>
      <c r="BL190" s="13">
        <v>1793.8662109375</v>
      </c>
      <c r="BM190" s="13">
        <v>2798.05419921875</v>
      </c>
      <c r="BN190" s="13">
        <v>4378.81103515625</v>
      </c>
      <c r="BO190" s="13">
        <v>1269.0084228515625</v>
      </c>
      <c r="BP190" s="13">
        <v>3738.284423828125</v>
      </c>
      <c r="BQ190" s="13"/>
      <c r="BR190" s="13"/>
    </row>
    <row r="191" spans="2:70" x14ac:dyDescent="0.2">
      <c r="B191">
        <v>1986</v>
      </c>
      <c r="C191" s="13">
        <v>8221.8896484375</v>
      </c>
      <c r="D191" s="13">
        <v>20068.505859375</v>
      </c>
      <c r="E191" s="13">
        <v>26123.986328125</v>
      </c>
      <c r="F191" s="13">
        <v>8660.6123046875</v>
      </c>
      <c r="G191" s="13">
        <v>8490.345703125</v>
      </c>
      <c r="H191" s="13">
        <v>2325.33544921875</v>
      </c>
      <c r="I191" s="13">
        <v>12003.9228515625</v>
      </c>
      <c r="J191" s="13">
        <v>4172.453125</v>
      </c>
      <c r="K191" s="13">
        <v>1835.10107421875</v>
      </c>
      <c r="L191" s="13">
        <v>25170.71875</v>
      </c>
      <c r="M191" s="13">
        <v>29308.158203125</v>
      </c>
      <c r="N191" s="13">
        <v>18131.591796875</v>
      </c>
      <c r="O191" s="13">
        <v>23341.5</v>
      </c>
      <c r="P191" s="13">
        <v>21125.0234375</v>
      </c>
      <c r="Q191" s="13">
        <v>25360.712890625</v>
      </c>
      <c r="R191" s="13">
        <v>25924.076171875</v>
      </c>
      <c r="S191" s="13">
        <v>35887.046875</v>
      </c>
      <c r="T191" s="13">
        <v>25626.7421875</v>
      </c>
      <c r="U191" s="13">
        <v>22581.224609375</v>
      </c>
      <c r="V191" s="13">
        <v>10935.6064453125</v>
      </c>
      <c r="W191" s="13">
        <v>27016.998046875</v>
      </c>
      <c r="X191" s="13">
        <v>25706.154296875</v>
      </c>
      <c r="Y191" s="13">
        <v>22600.060546875</v>
      </c>
      <c r="Z191" s="13">
        <v>17381.642578125</v>
      </c>
      <c r="AA191" s="13">
        <v>4737.443359375</v>
      </c>
      <c r="AB191" s="13">
        <v>13683.8125</v>
      </c>
      <c r="AC191" s="13">
        <v>8654.41015625</v>
      </c>
      <c r="AD191" s="13">
        <v>5257.337890625</v>
      </c>
      <c r="AE191" s="13">
        <v>6279.966796875</v>
      </c>
      <c r="AF191" s="13">
        <v>10654.689453125</v>
      </c>
      <c r="AG191" s="13">
        <v>6880.04248046875</v>
      </c>
      <c r="AH191" s="13">
        <v>61214.015625</v>
      </c>
      <c r="AI191" s="13">
        <v>8101.55126953125</v>
      </c>
      <c r="AJ191" s="13">
        <v>5993.2119140625</v>
      </c>
      <c r="AK191" s="13">
        <v>5359.060546875</v>
      </c>
      <c r="AL191" s="13">
        <v>2832.11376953125</v>
      </c>
      <c r="AM191" s="13">
        <v>57907.14453125</v>
      </c>
      <c r="AN191" s="13">
        <v>7803.6015625</v>
      </c>
      <c r="AO191" s="13">
        <v>7456.59326171875</v>
      </c>
      <c r="AP191" s="13">
        <v>1985.872314453125</v>
      </c>
      <c r="AQ191" s="13">
        <v>2807.595947265625</v>
      </c>
      <c r="AR191" s="13">
        <v>729.991455078125</v>
      </c>
      <c r="AS191" s="13">
        <v>2589.142578125</v>
      </c>
      <c r="AT191" s="13">
        <v>1387.7750244140625</v>
      </c>
      <c r="AU191" s="13">
        <v>1003.5151977539062</v>
      </c>
      <c r="AV191" s="13">
        <v>2500.82470703125</v>
      </c>
      <c r="AW191" s="13">
        <v>759.91107177734375</v>
      </c>
      <c r="AX191" s="13">
        <v>935.29229736328125</v>
      </c>
      <c r="AY191" s="13">
        <v>6403.2734375</v>
      </c>
      <c r="AZ191" s="13">
        <v>1594.940185546875</v>
      </c>
      <c r="BA191" s="13">
        <v>14295.2353515625</v>
      </c>
      <c r="BB191" s="13">
        <v>9609.9541015625</v>
      </c>
      <c r="BC191" s="13">
        <v>1667.5867919921875</v>
      </c>
      <c r="BD191" s="13">
        <v>18671.6484375</v>
      </c>
      <c r="BE191" s="13">
        <v>6775.85693359375</v>
      </c>
      <c r="BF191" s="13">
        <v>9555.9482421875</v>
      </c>
      <c r="BG191" s="13">
        <v>9146.6845703125</v>
      </c>
      <c r="BH191" s="13">
        <v>1199.526611328125</v>
      </c>
      <c r="BI191" s="13">
        <v>1323.9285888671875</v>
      </c>
      <c r="BJ191" s="13">
        <v>2694.564697265625</v>
      </c>
      <c r="BK191" s="13">
        <v>546.53106689453125</v>
      </c>
      <c r="BL191" s="13">
        <v>1835.7003173828125</v>
      </c>
      <c r="BM191" s="13">
        <v>2819.78955078125</v>
      </c>
      <c r="BN191" s="13">
        <v>4546.5908203125</v>
      </c>
      <c r="BO191" s="13">
        <v>1279.8861083984375</v>
      </c>
      <c r="BP191" s="13">
        <v>3660.667236328125</v>
      </c>
      <c r="BQ191" s="13"/>
      <c r="BR191" s="13"/>
    </row>
    <row r="192" spans="2:70" x14ac:dyDescent="0.2">
      <c r="B192">
        <v>1987</v>
      </c>
      <c r="C192" s="13">
        <v>8344.453125</v>
      </c>
      <c r="D192" s="13">
        <v>20473.896484375</v>
      </c>
      <c r="E192" s="13">
        <v>26765.13671875</v>
      </c>
      <c r="F192" s="13">
        <v>8815.4873046875</v>
      </c>
      <c r="G192" s="13">
        <v>8412.4033203125</v>
      </c>
      <c r="H192" s="13">
        <v>2402.53466796875</v>
      </c>
      <c r="I192" s="13">
        <v>11934.9228515625</v>
      </c>
      <c r="J192" s="13">
        <v>4380.150390625</v>
      </c>
      <c r="K192" s="13">
        <v>1886.0367431640625</v>
      </c>
      <c r="L192" s="13">
        <v>25419.515625</v>
      </c>
      <c r="M192" s="13">
        <v>29349.283203125</v>
      </c>
      <c r="N192" s="13">
        <v>19109.541015625</v>
      </c>
      <c r="O192" s="13">
        <v>23789.65625</v>
      </c>
      <c r="P192" s="13">
        <v>21684.345703125</v>
      </c>
      <c r="Q192" s="13">
        <v>26202.716796875</v>
      </c>
      <c r="R192" s="13">
        <v>26502.115234375</v>
      </c>
      <c r="S192" s="13">
        <v>36087.41015625</v>
      </c>
      <c r="T192" s="13">
        <v>26567.109375</v>
      </c>
      <c r="U192" s="13">
        <v>22953.34375</v>
      </c>
      <c r="V192" s="13">
        <v>10991.2412109375</v>
      </c>
      <c r="W192" s="13">
        <v>27702.203125</v>
      </c>
      <c r="X192" s="13">
        <v>26387.375</v>
      </c>
      <c r="Y192" s="13">
        <v>22957.775390625</v>
      </c>
      <c r="Z192" s="13">
        <v>17429.4921875</v>
      </c>
      <c r="AA192" s="13">
        <v>4810.60107421875</v>
      </c>
      <c r="AB192" s="13">
        <v>13848.3603515625</v>
      </c>
      <c r="AC192" s="13">
        <v>8855.17578125</v>
      </c>
      <c r="AD192" s="13">
        <v>5694.44091796875</v>
      </c>
      <c r="AE192" s="13">
        <v>6458.36767578125</v>
      </c>
      <c r="AF192" s="13">
        <v>10825.12890625</v>
      </c>
      <c r="AG192" s="13">
        <v>6948.13916015625</v>
      </c>
      <c r="AH192" s="13">
        <v>62919.1171875</v>
      </c>
      <c r="AI192" s="13">
        <v>7805.64208984375</v>
      </c>
      <c r="AJ192" s="13">
        <v>6124.12353515625</v>
      </c>
      <c r="AK192" s="13">
        <v>5019.4931640625</v>
      </c>
      <c r="AL192" s="13">
        <v>2704.749755859375</v>
      </c>
      <c r="AM192" s="13">
        <v>52560.73046875</v>
      </c>
      <c r="AN192" s="13">
        <v>8238.740234375</v>
      </c>
      <c r="AO192" s="13">
        <v>7540.640625</v>
      </c>
      <c r="AP192" s="13">
        <v>1978.4178466796875</v>
      </c>
      <c r="AQ192" s="13">
        <v>2639.90478515625</v>
      </c>
      <c r="AR192" s="13">
        <v>768.7205810546875</v>
      </c>
      <c r="AS192" s="13">
        <v>2643.5908203125</v>
      </c>
      <c r="AT192" s="13">
        <v>1350.125732421875</v>
      </c>
      <c r="AU192" s="13">
        <v>948.13922119140625</v>
      </c>
      <c r="AV192" s="13">
        <v>2421.512939453125</v>
      </c>
      <c r="AW192" s="13">
        <v>737.7349853515625</v>
      </c>
      <c r="AX192" s="13">
        <v>1124.86767578125</v>
      </c>
      <c r="AY192" s="13">
        <v>6455.67236328125</v>
      </c>
      <c r="AZ192" s="13">
        <v>1665.3157958984375</v>
      </c>
      <c r="BA192" s="13">
        <v>14174.8798828125</v>
      </c>
      <c r="BB192" s="13">
        <v>9620.0693359375</v>
      </c>
      <c r="BC192" s="13">
        <v>1763.791259765625</v>
      </c>
      <c r="BD192" s="13">
        <v>19435.68359375</v>
      </c>
      <c r="BE192" s="13">
        <v>7581.8115234375</v>
      </c>
      <c r="BF192" s="13">
        <v>10839.3564453125</v>
      </c>
      <c r="BG192" s="13">
        <v>10077.2548828125</v>
      </c>
      <c r="BH192" s="13">
        <v>1213.9473876953125</v>
      </c>
      <c r="BI192" s="13">
        <v>1347.2271728515625</v>
      </c>
      <c r="BJ192" s="13">
        <v>2735.65966796875</v>
      </c>
      <c r="BK192" s="13">
        <v>521.594970703125</v>
      </c>
      <c r="BL192" s="13">
        <v>1897.89013671875</v>
      </c>
      <c r="BM192" s="13">
        <v>2904.715576171875</v>
      </c>
      <c r="BN192" s="13">
        <v>4977.12890625</v>
      </c>
      <c r="BO192" s="13">
        <v>1285.1436767578125</v>
      </c>
      <c r="BP192" s="13">
        <v>3787.501708984375</v>
      </c>
      <c r="BQ192" s="13"/>
      <c r="BR192" s="13"/>
    </row>
    <row r="193" spans="2:70" x14ac:dyDescent="0.2">
      <c r="B193">
        <v>1988</v>
      </c>
      <c r="C193" s="13">
        <v>8530.2294921875</v>
      </c>
      <c r="D193" s="13">
        <v>21229.5546875</v>
      </c>
      <c r="E193" s="13">
        <v>27680.955078125</v>
      </c>
      <c r="F193" s="13">
        <v>8725.462890625</v>
      </c>
      <c r="G193" s="13">
        <v>8307.0849609375</v>
      </c>
      <c r="H193" s="13">
        <v>2316.116455078125</v>
      </c>
      <c r="I193" s="13">
        <v>12127.9951171875</v>
      </c>
      <c r="J193" s="13">
        <v>4591.84521484375</v>
      </c>
      <c r="K193" s="13">
        <v>1982.7540283203125</v>
      </c>
      <c r="L193" s="13">
        <v>26415.287109375</v>
      </c>
      <c r="M193" s="13">
        <v>29229.171875</v>
      </c>
      <c r="N193" s="13">
        <v>20027.013671875</v>
      </c>
      <c r="O193" s="13">
        <v>24835.61328125</v>
      </c>
      <c r="P193" s="13">
        <v>22705.693359375</v>
      </c>
      <c r="Q193" s="13">
        <v>27314.771484375</v>
      </c>
      <c r="R193" s="13">
        <v>27016.9765625</v>
      </c>
      <c r="S193" s="13">
        <v>35032.40234375</v>
      </c>
      <c r="T193" s="13">
        <v>27002.98828125</v>
      </c>
      <c r="U193" s="13">
        <v>23995.216796875</v>
      </c>
      <c r="V193" s="13">
        <v>11129.0390625</v>
      </c>
      <c r="W193" s="13">
        <v>28666.8203125</v>
      </c>
      <c r="X193" s="13">
        <v>27380.73046875</v>
      </c>
      <c r="Y193" s="13">
        <v>23512.775390625</v>
      </c>
      <c r="Z193" s="13">
        <v>18008.701171875</v>
      </c>
      <c r="AA193" s="13">
        <v>4975.3193359375</v>
      </c>
      <c r="AB193" s="13">
        <v>13347.3623046875</v>
      </c>
      <c r="AC193" s="13">
        <v>8611.7099609375</v>
      </c>
      <c r="AD193" s="13">
        <v>6065.30224609375</v>
      </c>
      <c r="AE193" s="13">
        <v>6634.19775390625</v>
      </c>
      <c r="AF193" s="13">
        <v>10933.212890625</v>
      </c>
      <c r="AG193" s="13">
        <v>6884.6875</v>
      </c>
      <c r="AH193" s="13">
        <v>57398.83203125</v>
      </c>
      <c r="AI193" s="13">
        <v>7471.435546875</v>
      </c>
      <c r="AJ193" s="13">
        <v>6292.8115234375</v>
      </c>
      <c r="AK193" s="13">
        <v>4602.638671875</v>
      </c>
      <c r="AL193" s="13">
        <v>2913.0986328125</v>
      </c>
      <c r="AM193" s="13">
        <v>53034.6640625</v>
      </c>
      <c r="AN193" s="13">
        <v>8181.03125</v>
      </c>
      <c r="AO193" s="13">
        <v>7346.2568359375</v>
      </c>
      <c r="AP193" s="13">
        <v>1920.044189453125</v>
      </c>
      <c r="AQ193" s="13">
        <v>2554.47802734375</v>
      </c>
      <c r="AR193" s="13">
        <v>712.2484130859375</v>
      </c>
      <c r="AS193" s="13">
        <v>2700.426513671875</v>
      </c>
      <c r="AT193" s="13">
        <v>1469.6922607421875</v>
      </c>
      <c r="AU193" s="13">
        <v>974.6419677734375</v>
      </c>
      <c r="AV193" s="13">
        <v>2572.375732421875</v>
      </c>
      <c r="AW193" s="13">
        <v>707.635009765625</v>
      </c>
      <c r="AX193" s="13">
        <v>918.444091796875</v>
      </c>
      <c r="AY193" s="13">
        <v>6589.34033203125</v>
      </c>
      <c r="AZ193" s="13">
        <v>1561.5543212890625</v>
      </c>
      <c r="BA193" s="13">
        <v>14399.033203125</v>
      </c>
      <c r="BB193" s="13">
        <v>9798.7919921875</v>
      </c>
      <c r="BC193" s="13">
        <v>1812.216552734375</v>
      </c>
      <c r="BD193" s="13">
        <v>20647.7578125</v>
      </c>
      <c r="BE193" s="13">
        <v>8379.4619140625</v>
      </c>
      <c r="BF193" s="13">
        <v>11621.30859375</v>
      </c>
      <c r="BG193" s="13">
        <v>10840.21484375</v>
      </c>
      <c r="BH193" s="13">
        <v>1218.946044921875</v>
      </c>
      <c r="BI193" s="13">
        <v>1420.5174560546875</v>
      </c>
      <c r="BJ193" s="13">
        <v>2825.549560546875</v>
      </c>
      <c r="BK193" s="13">
        <v>462.65390014648438</v>
      </c>
      <c r="BL193" s="13">
        <v>1956.626220703125</v>
      </c>
      <c r="BM193" s="13">
        <v>3059.346435546875</v>
      </c>
      <c r="BN193" s="13">
        <v>5544.46728515625</v>
      </c>
      <c r="BO193" s="13">
        <v>1322.8214111328125</v>
      </c>
      <c r="BP193" s="13">
        <v>4003.103515625</v>
      </c>
      <c r="BQ193" s="13"/>
      <c r="BR193" s="13"/>
    </row>
    <row r="194" spans="2:70" x14ac:dyDescent="0.2">
      <c r="B194">
        <v>1989</v>
      </c>
      <c r="C194" s="13">
        <v>8660.96875</v>
      </c>
      <c r="D194" s="13">
        <v>21851.712890625</v>
      </c>
      <c r="E194" s="13">
        <v>28363.005859375</v>
      </c>
      <c r="F194" s="13">
        <v>8714.716796875</v>
      </c>
      <c r="G194" s="13">
        <v>8272.390625</v>
      </c>
      <c r="H194" s="13">
        <v>2360.365966796875</v>
      </c>
      <c r="I194" s="13">
        <v>12271.208984375</v>
      </c>
      <c r="J194" s="13">
        <v>4679.705078125</v>
      </c>
      <c r="K194" s="13">
        <v>2086.54248046875</v>
      </c>
      <c r="L194" s="13">
        <v>27354.560546875</v>
      </c>
      <c r="M194" s="13">
        <v>29171.59375</v>
      </c>
      <c r="N194" s="13">
        <v>21041.279296875</v>
      </c>
      <c r="O194" s="13">
        <v>25796.0859375</v>
      </c>
      <c r="P194" s="13">
        <v>23195.5546875</v>
      </c>
      <c r="Q194" s="13">
        <v>28172.798828125</v>
      </c>
      <c r="R194" s="13">
        <v>28105.080078125</v>
      </c>
      <c r="S194" s="13">
        <v>34986.40625</v>
      </c>
      <c r="T194" s="13">
        <v>27411.54296875</v>
      </c>
      <c r="U194" s="13">
        <v>24848.8359375</v>
      </c>
      <c r="V194" s="13">
        <v>11034.7353515625</v>
      </c>
      <c r="W194" s="13">
        <v>29447.79296875</v>
      </c>
      <c r="X194" s="13">
        <v>27497.048828125</v>
      </c>
      <c r="Y194" s="13">
        <v>24028.560546875</v>
      </c>
      <c r="Z194" s="13">
        <v>17977.265625</v>
      </c>
      <c r="AA194" s="13">
        <v>4994.22265625</v>
      </c>
      <c r="AB194" s="13">
        <v>11611.740234375</v>
      </c>
      <c r="AC194" s="13">
        <v>8845.939453125</v>
      </c>
      <c r="AD194" s="13">
        <v>6612.1162109375</v>
      </c>
      <c r="AE194" s="13">
        <v>6620.6884765625</v>
      </c>
      <c r="AF194" s="13">
        <v>11380.796875</v>
      </c>
      <c r="AG194" s="13">
        <v>6660.54345703125</v>
      </c>
      <c r="AH194" s="13">
        <v>63428.6171875</v>
      </c>
      <c r="AI194" s="13">
        <v>7816.3935546875</v>
      </c>
      <c r="AJ194" s="13">
        <v>6436.86572265625</v>
      </c>
      <c r="AK194" s="13">
        <v>4668.46435546875</v>
      </c>
      <c r="AL194" s="13">
        <v>2920.12841796875</v>
      </c>
      <c r="AM194" s="13">
        <v>49797.3359375</v>
      </c>
      <c r="AN194" s="13">
        <v>8154.28369140625</v>
      </c>
      <c r="AO194" s="13">
        <v>7153.376953125</v>
      </c>
      <c r="AP194" s="13">
        <v>1853.6348876953125</v>
      </c>
      <c r="AQ194" s="13">
        <v>2750.997802734375</v>
      </c>
      <c r="AR194" s="13">
        <v>685.06201171875</v>
      </c>
      <c r="AS194" s="13">
        <v>2732.8125</v>
      </c>
      <c r="AT194" s="13">
        <v>1493.1800537109375</v>
      </c>
      <c r="AU194" s="13">
        <v>943.1134033203125</v>
      </c>
      <c r="AV194" s="13">
        <v>2479.1826171875</v>
      </c>
      <c r="AW194" s="13">
        <v>709.72894287109375</v>
      </c>
      <c r="AX194" s="13">
        <v>1018.5978393554688</v>
      </c>
      <c r="AY194" s="13">
        <v>6510.48681640625</v>
      </c>
      <c r="AZ194" s="13">
        <v>1628.1112060546875</v>
      </c>
      <c r="BA194" s="13">
        <v>14541.720703125</v>
      </c>
      <c r="BB194" s="13">
        <v>9972.9326171875</v>
      </c>
      <c r="BC194" s="13">
        <v>1798.489501953125</v>
      </c>
      <c r="BD194" s="13">
        <v>21463.248046875</v>
      </c>
      <c r="BE194" s="13">
        <v>8885.3359375</v>
      </c>
      <c r="BF194" s="13">
        <v>12395.9111328125</v>
      </c>
      <c r="BG194" s="13">
        <v>10763.2431640625</v>
      </c>
      <c r="BH194" s="13">
        <v>1251.657470703125</v>
      </c>
      <c r="BI194" s="13">
        <v>1483.25439453125</v>
      </c>
      <c r="BJ194" s="13">
        <v>3013.7099609375</v>
      </c>
      <c r="BK194" s="13">
        <v>474.48248291015625</v>
      </c>
      <c r="BL194" s="13">
        <v>1978.949951171875</v>
      </c>
      <c r="BM194" s="13">
        <v>3183.41162109375</v>
      </c>
      <c r="BN194" s="13">
        <v>6143.0732421875</v>
      </c>
      <c r="BO194" s="13">
        <v>1356.383056640625</v>
      </c>
      <c r="BP194" s="13">
        <v>4205.28955078125</v>
      </c>
      <c r="BQ194" s="13"/>
      <c r="BR194" s="13"/>
    </row>
    <row r="195" spans="2:70" x14ac:dyDescent="0.2">
      <c r="B195">
        <v>1990</v>
      </c>
      <c r="C195" s="13">
        <v>8732.849609375</v>
      </c>
      <c r="D195" s="13">
        <v>22324.892578125</v>
      </c>
      <c r="E195" s="13">
        <v>28522.806640625</v>
      </c>
      <c r="F195" s="13">
        <v>8698.9775390625</v>
      </c>
      <c r="G195" s="13">
        <v>8596.875</v>
      </c>
      <c r="H195" s="13">
        <v>2388.218017578125</v>
      </c>
      <c r="I195" s="13">
        <v>12351.2255859375</v>
      </c>
      <c r="J195" s="13">
        <v>4779.61669921875</v>
      </c>
      <c r="K195" s="13">
        <v>2171.57666015625</v>
      </c>
      <c r="L195" s="13">
        <v>28583.728515625</v>
      </c>
      <c r="M195" s="13">
        <v>29341.3671875</v>
      </c>
      <c r="N195" s="13">
        <v>21763.220703125</v>
      </c>
      <c r="O195" s="13">
        <v>26230.611328125</v>
      </c>
      <c r="P195" s="13">
        <v>23208.580078125</v>
      </c>
      <c r="Q195" s="13">
        <v>28556.927734375</v>
      </c>
      <c r="R195" s="13">
        <v>28326.802734375</v>
      </c>
      <c r="S195" s="13">
        <v>35806.046875</v>
      </c>
      <c r="T195" s="13">
        <v>27221.841796875</v>
      </c>
      <c r="U195" s="13">
        <v>25535.650390625</v>
      </c>
      <c r="V195" s="13">
        <v>11132.916015625</v>
      </c>
      <c r="W195" s="13">
        <v>29693.69140625</v>
      </c>
      <c r="X195" s="13">
        <v>27192.193359375</v>
      </c>
      <c r="Y195" s="13">
        <v>23855.4140625</v>
      </c>
      <c r="Z195" s="13">
        <v>17791.01171875</v>
      </c>
      <c r="AA195" s="13">
        <v>4877.46240234375</v>
      </c>
      <c r="AB195" s="13">
        <v>11894.4521484375</v>
      </c>
      <c r="AC195" s="13">
        <v>8389.9580078125</v>
      </c>
      <c r="AD195" s="13">
        <v>6823.814453125</v>
      </c>
      <c r="AE195" s="13">
        <v>6763.48828125</v>
      </c>
      <c r="AF195" s="13">
        <v>11895.666015625</v>
      </c>
      <c r="AG195" s="13">
        <v>6621.46142578125</v>
      </c>
      <c r="AH195" s="13">
        <v>70426.6796875</v>
      </c>
      <c r="AI195" s="13">
        <v>7732.67431640625</v>
      </c>
      <c r="AJ195" s="13">
        <v>6419.96240234375</v>
      </c>
      <c r="AK195" s="13">
        <v>5064.6044921875</v>
      </c>
      <c r="AL195" s="13">
        <v>3012.569091796875</v>
      </c>
      <c r="AM195" s="13">
        <v>50331.09375</v>
      </c>
      <c r="AN195" s="13">
        <v>8842.2724609375</v>
      </c>
      <c r="AO195" s="13">
        <v>7145.79736328125</v>
      </c>
      <c r="AP195" s="13">
        <v>1673.1126708984375</v>
      </c>
      <c r="AQ195" s="13">
        <v>2577.735107421875</v>
      </c>
      <c r="AR195" s="13">
        <v>716.766845703125</v>
      </c>
      <c r="AS195" s="13">
        <v>2727.899658203125</v>
      </c>
      <c r="AT195" s="13">
        <v>1380.7823486328125</v>
      </c>
      <c r="AU195" s="13">
        <v>903.28558349609375</v>
      </c>
      <c r="AV195" s="13">
        <v>2770.647216796875</v>
      </c>
      <c r="AW195" s="13">
        <v>678.0008544921875</v>
      </c>
      <c r="AX195" s="13">
        <v>1115.546142578125</v>
      </c>
      <c r="AY195" s="13">
        <v>6328.060546875</v>
      </c>
      <c r="AZ195" s="13">
        <v>1674.864501953125</v>
      </c>
      <c r="BA195" s="13">
        <v>14941.849609375</v>
      </c>
      <c r="BB195" s="13">
        <v>9642.109375</v>
      </c>
      <c r="BC195" s="13">
        <v>1777.192138671875</v>
      </c>
      <c r="BD195" s="13">
        <v>22377.66796875</v>
      </c>
      <c r="BE195" s="13">
        <v>9606.1630859375</v>
      </c>
      <c r="BF195" s="13">
        <v>13057.3046875</v>
      </c>
      <c r="BG195" s="13">
        <v>10956.5</v>
      </c>
      <c r="BH195" s="13">
        <v>1286.773193359375</v>
      </c>
      <c r="BI195" s="13">
        <v>1525.5284423828125</v>
      </c>
      <c r="BJ195" s="13">
        <v>3207.83447265625</v>
      </c>
      <c r="BK195" s="13">
        <v>466.08343505859375</v>
      </c>
      <c r="BL195" s="13">
        <v>2000.3448486328125</v>
      </c>
      <c r="BM195" s="13">
        <v>3240.313720703125</v>
      </c>
      <c r="BN195" s="13">
        <v>6528.779296875</v>
      </c>
      <c r="BO195" s="13">
        <v>1393.4049072265625</v>
      </c>
      <c r="BP195" s="13">
        <v>4447.29736328125</v>
      </c>
      <c r="BQ195" s="13"/>
      <c r="BR195" s="13"/>
    </row>
    <row r="196" spans="2:70" x14ac:dyDescent="0.2">
      <c r="B196">
        <v>1991</v>
      </c>
      <c r="C196" s="13">
        <v>8660.03515625</v>
      </c>
      <c r="D196" s="13">
        <v>22362.4296875</v>
      </c>
      <c r="E196" s="13">
        <v>27976.42578125</v>
      </c>
      <c r="F196" s="13">
        <v>8811.4453125</v>
      </c>
      <c r="G196" s="13">
        <v>8389.6376953125</v>
      </c>
      <c r="H196" s="13">
        <v>2427.465087890625</v>
      </c>
      <c r="I196" s="13">
        <v>11919.9619140625</v>
      </c>
      <c r="J196" s="13">
        <v>4933.9423828125</v>
      </c>
      <c r="K196" s="13">
        <v>2222.09033203125</v>
      </c>
      <c r="L196" s="13">
        <v>29549.951171875</v>
      </c>
      <c r="M196" s="13">
        <v>29757.326171875</v>
      </c>
      <c r="N196" s="13">
        <v>22305.369140625</v>
      </c>
      <c r="O196" s="13">
        <v>26294.0703125</v>
      </c>
      <c r="P196" s="13">
        <v>22901.865234375</v>
      </c>
      <c r="Q196" s="13">
        <v>28939.09765625</v>
      </c>
      <c r="R196" s="13">
        <v>29191.72265625</v>
      </c>
      <c r="S196" s="13">
        <v>36749.87109375</v>
      </c>
      <c r="T196" s="13">
        <v>26612.55859375</v>
      </c>
      <c r="U196" s="13">
        <v>25701.103515625</v>
      </c>
      <c r="V196" s="13">
        <v>9783.9208984375</v>
      </c>
      <c r="W196" s="13">
        <v>29165.71484375</v>
      </c>
      <c r="X196" s="13">
        <v>26435.138671875</v>
      </c>
      <c r="Y196" s="13">
        <v>23483.916015625</v>
      </c>
      <c r="Z196" s="13">
        <v>16035.6015625</v>
      </c>
      <c r="AA196" s="13">
        <v>5004.3583984375</v>
      </c>
      <c r="AB196" s="13">
        <v>13120.94140625</v>
      </c>
      <c r="AC196" s="13">
        <v>8322.427734375</v>
      </c>
      <c r="AD196" s="13">
        <v>7274.9189453125</v>
      </c>
      <c r="AE196" s="13">
        <v>6799.00341796875</v>
      </c>
      <c r="AF196" s="13">
        <v>12270.09375</v>
      </c>
      <c r="AG196" s="13">
        <v>6482.30859375</v>
      </c>
      <c r="AH196" s="13">
        <v>69171.9765625</v>
      </c>
      <c r="AI196" s="13">
        <v>7370.591796875</v>
      </c>
      <c r="AJ196" s="13">
        <v>6329.22216796875</v>
      </c>
      <c r="AK196" s="13">
        <v>5526.28466796875</v>
      </c>
      <c r="AL196" s="13">
        <v>3168.756591796875</v>
      </c>
      <c r="AM196" s="13">
        <v>51091.1953125</v>
      </c>
      <c r="AN196" s="13">
        <v>8738.0400390625</v>
      </c>
      <c r="AO196" s="13">
        <v>6153.716796875</v>
      </c>
      <c r="AP196" s="13">
        <v>1483.536376953125</v>
      </c>
      <c r="AQ196" s="13">
        <v>2451.6171875</v>
      </c>
      <c r="AR196" s="13">
        <v>631.11602783203125</v>
      </c>
      <c r="AS196" s="13">
        <v>2673.88818359375</v>
      </c>
      <c r="AT196" s="13">
        <v>1542.482177734375</v>
      </c>
      <c r="AU196" s="13">
        <v>902.20379638671875</v>
      </c>
      <c r="AV196" s="13">
        <v>2639.3349609375</v>
      </c>
      <c r="AW196" s="13">
        <v>641.312255859375</v>
      </c>
      <c r="AX196" s="13">
        <v>1264.163330078125</v>
      </c>
      <c r="AY196" s="13">
        <v>6427.87646484375</v>
      </c>
      <c r="AZ196" s="13">
        <v>1738.7623291015625</v>
      </c>
      <c r="BA196" s="13">
        <v>14864.9462890625</v>
      </c>
      <c r="BB196" s="13">
        <v>8727.2900390625</v>
      </c>
      <c r="BC196" s="13">
        <v>1861.99072265625</v>
      </c>
      <c r="BD196" s="13">
        <v>22865.919921875</v>
      </c>
      <c r="BE196" s="13">
        <v>10617.1875</v>
      </c>
      <c r="BF196" s="13">
        <v>13826.1005859375</v>
      </c>
      <c r="BG196" s="13">
        <v>11388.490234375</v>
      </c>
      <c r="BH196" s="13">
        <v>1311.9144287109375</v>
      </c>
      <c r="BI196" s="13">
        <v>1518.25048828125</v>
      </c>
      <c r="BJ196" s="13">
        <v>3455.12646484375</v>
      </c>
      <c r="BK196" s="13">
        <v>448.7384033203125</v>
      </c>
      <c r="BL196" s="13">
        <v>2057.972900390625</v>
      </c>
      <c r="BM196" s="13">
        <v>3163.11767578125</v>
      </c>
      <c r="BN196" s="13">
        <v>6781.48193359375</v>
      </c>
      <c r="BO196" s="13">
        <v>1472.433349609375</v>
      </c>
      <c r="BP196" s="13">
        <v>4572.6640625</v>
      </c>
      <c r="BQ196" s="13"/>
      <c r="BR196" s="13"/>
    </row>
    <row r="197" spans="2:70" x14ac:dyDescent="0.2">
      <c r="B197">
        <v>1992</v>
      </c>
      <c r="C197" s="13">
        <v>8677.0478515625</v>
      </c>
      <c r="D197" s="13">
        <v>22353.66015625</v>
      </c>
      <c r="E197" s="13">
        <v>28657.359375</v>
      </c>
      <c r="F197" s="13">
        <v>8880.19140625</v>
      </c>
      <c r="G197" s="13">
        <v>8676.2734375</v>
      </c>
      <c r="H197" s="13">
        <v>2376.132568359375</v>
      </c>
      <c r="I197" s="13">
        <v>10452.205078125</v>
      </c>
      <c r="J197" s="13">
        <v>5047.515625</v>
      </c>
      <c r="K197" s="13">
        <v>2290.5</v>
      </c>
      <c r="L197" s="13">
        <v>29946.119140625</v>
      </c>
      <c r="M197" s="13">
        <v>30578.810546875</v>
      </c>
      <c r="N197" s="13">
        <v>22388.09375</v>
      </c>
      <c r="O197" s="13">
        <v>26513.30859375</v>
      </c>
      <c r="P197" s="13">
        <v>23220.5546875</v>
      </c>
      <c r="Q197" s="13">
        <v>29001.5</v>
      </c>
      <c r="R197" s="13">
        <v>29019.572265625</v>
      </c>
      <c r="S197" s="13">
        <v>37905.41015625</v>
      </c>
      <c r="T197" s="13">
        <v>25668.705078125</v>
      </c>
      <c r="U197" s="13">
        <v>25515.80859375</v>
      </c>
      <c r="V197" s="13">
        <v>8841.7763671875</v>
      </c>
      <c r="W197" s="13">
        <v>29986.91796875</v>
      </c>
      <c r="X197" s="13">
        <v>26248.34375</v>
      </c>
      <c r="Y197" s="13">
        <v>23789.69921875</v>
      </c>
      <c r="Z197" s="13">
        <v>15955.806640625</v>
      </c>
      <c r="AA197" s="13">
        <v>4993.12060546875</v>
      </c>
      <c r="AB197" s="13">
        <v>14378.7861328125</v>
      </c>
      <c r="AC197" s="13">
        <v>8094.85986328125</v>
      </c>
      <c r="AD197" s="13">
        <v>8165.28515625</v>
      </c>
      <c r="AE197" s="13">
        <v>6959.47900390625</v>
      </c>
      <c r="AF197" s="13">
        <v>12500.7392578125</v>
      </c>
      <c r="AG197" s="13">
        <v>6389.0068359375</v>
      </c>
      <c r="AH197" s="13">
        <v>66586.234375</v>
      </c>
      <c r="AI197" s="13">
        <v>7578.44580078125</v>
      </c>
      <c r="AJ197" s="13">
        <v>6282.8955078125</v>
      </c>
      <c r="AK197" s="13">
        <v>5618.12548828125</v>
      </c>
      <c r="AL197" s="13">
        <v>2994.32763671875</v>
      </c>
      <c r="AM197" s="13">
        <v>50335.8828125</v>
      </c>
      <c r="AN197" s="13">
        <v>9119.5234375</v>
      </c>
      <c r="AO197" s="13">
        <v>6764.15966796875</v>
      </c>
      <c r="AP197" s="13">
        <v>1276.2537841796875</v>
      </c>
      <c r="AQ197" s="13">
        <v>2387.47705078125</v>
      </c>
      <c r="AR197" s="13">
        <v>603.85321044921875</v>
      </c>
      <c r="AS197" s="13">
        <v>2576.022216796875</v>
      </c>
      <c r="AT197" s="13">
        <v>1429.6605224609375</v>
      </c>
      <c r="AU197" s="13">
        <v>879.0814208984375</v>
      </c>
      <c r="AV197" s="13">
        <v>2731.325439453125</v>
      </c>
      <c r="AW197" s="13">
        <v>678.6531982421875</v>
      </c>
      <c r="AX197" s="13">
        <v>1267.44580078125</v>
      </c>
      <c r="AY197" s="13">
        <v>6428.70654296875</v>
      </c>
      <c r="AZ197" s="13">
        <v>1696.4010009765625</v>
      </c>
      <c r="BA197" s="13">
        <v>13133.919921875</v>
      </c>
      <c r="BB197" s="13">
        <v>7565.36083984375</v>
      </c>
      <c r="BC197" s="13">
        <v>2004.573486328125</v>
      </c>
      <c r="BD197" s="13">
        <v>22763.087890625</v>
      </c>
      <c r="BE197" s="13">
        <v>11113.0400390625</v>
      </c>
      <c r="BF197" s="13">
        <v>14586.9208984375</v>
      </c>
      <c r="BG197" s="13">
        <v>11445.0009765625</v>
      </c>
      <c r="BH197" s="13">
        <v>1343.4627685546875</v>
      </c>
      <c r="BI197" s="13">
        <v>1541.8958740234375</v>
      </c>
      <c r="BJ197" s="13">
        <v>3631.949951171875</v>
      </c>
      <c r="BK197" s="13">
        <v>501.25119018554688</v>
      </c>
      <c r="BL197" s="13">
        <v>2068.56396484375</v>
      </c>
      <c r="BM197" s="13">
        <v>3189.32861328125</v>
      </c>
      <c r="BN197" s="13">
        <v>7153.2802734375</v>
      </c>
      <c r="BO197" s="13">
        <v>1565.6964111328125</v>
      </c>
      <c r="BP197" s="13">
        <v>4697.5048828125</v>
      </c>
      <c r="BQ197" s="13"/>
      <c r="BR197" s="13"/>
    </row>
    <row r="198" spans="2:70" x14ac:dyDescent="0.2">
      <c r="B198">
        <v>1993</v>
      </c>
      <c r="C198" s="13">
        <v>8676.8642578125</v>
      </c>
      <c r="D198" s="13">
        <v>22225.99609375</v>
      </c>
      <c r="E198" s="13">
        <v>29130.873046875</v>
      </c>
      <c r="F198" s="13">
        <v>8850.525390625</v>
      </c>
      <c r="G198" s="13">
        <v>8800.486328125</v>
      </c>
      <c r="H198" s="13">
        <v>2457.941162109375</v>
      </c>
      <c r="I198" s="13">
        <v>9644.5224609375</v>
      </c>
      <c r="J198" s="13">
        <v>5168.76611328125</v>
      </c>
      <c r="K198" s="13">
        <v>2375.25146484375</v>
      </c>
      <c r="L198" s="13">
        <v>29157.58984375</v>
      </c>
      <c r="M198" s="13">
        <v>30598.361328125</v>
      </c>
      <c r="N198" s="13">
        <v>21943.9140625</v>
      </c>
      <c r="O198" s="13">
        <v>26228.984375</v>
      </c>
      <c r="P198" s="13">
        <v>24052.748046875</v>
      </c>
      <c r="Q198" s="13">
        <v>28650.982421875</v>
      </c>
      <c r="R198" s="13">
        <v>29665.34375</v>
      </c>
      <c r="S198" s="13">
        <v>38716.97265625</v>
      </c>
      <c r="T198" s="13">
        <v>24559.640625</v>
      </c>
      <c r="U198" s="13">
        <v>25322.7265625</v>
      </c>
      <c r="V198" s="13">
        <v>8647.240234375</v>
      </c>
      <c r="W198" s="13">
        <v>30485.646484375</v>
      </c>
      <c r="X198" s="13">
        <v>26410.951171875</v>
      </c>
      <c r="Y198" s="13">
        <v>24622.36328125</v>
      </c>
      <c r="Z198" s="13">
        <v>16422.87109375</v>
      </c>
      <c r="AA198" s="13">
        <v>5178.9462890625</v>
      </c>
      <c r="AB198" s="13">
        <v>14735.8623046875</v>
      </c>
      <c r="AC198" s="13">
        <v>8299.7626953125</v>
      </c>
      <c r="AD198" s="13">
        <v>8685.0947265625</v>
      </c>
      <c r="AE198" s="13">
        <v>7303.060546875</v>
      </c>
      <c r="AF198" s="13">
        <v>12053.4248046875</v>
      </c>
      <c r="AG198" s="13">
        <v>6207.84765625</v>
      </c>
      <c r="AH198" s="13">
        <v>63211.70703125</v>
      </c>
      <c r="AI198" s="13">
        <v>7083.68798828125</v>
      </c>
      <c r="AJ198" s="13">
        <v>6520.55615234375</v>
      </c>
      <c r="AK198" s="13">
        <v>5564.38623046875</v>
      </c>
      <c r="AL198" s="13">
        <v>2898.906005859375</v>
      </c>
      <c r="AM198" s="13">
        <v>47856.35546875</v>
      </c>
      <c r="AN198" s="13">
        <v>9725.6162109375</v>
      </c>
      <c r="AO198" s="13">
        <v>7100.43505859375</v>
      </c>
      <c r="AP198" s="13">
        <v>1067.53759765625</v>
      </c>
      <c r="AQ198" s="13">
        <v>2333.352294921875</v>
      </c>
      <c r="AR198" s="13">
        <v>615.5750732421875</v>
      </c>
      <c r="AS198" s="13">
        <v>2539.957763671875</v>
      </c>
      <c r="AT198" s="13">
        <v>1469.47900390625</v>
      </c>
      <c r="AU198" s="13">
        <v>856.24578857421875</v>
      </c>
      <c r="AV198" s="13">
        <v>2564.30419921875</v>
      </c>
      <c r="AW198" s="13">
        <v>599.2275390625</v>
      </c>
      <c r="AX198" s="13">
        <v>1524.4744873046875</v>
      </c>
      <c r="AY198" s="13">
        <v>6646.00390625</v>
      </c>
      <c r="AZ198" s="13">
        <v>1780.3475341796875</v>
      </c>
      <c r="BA198" s="13">
        <v>12522.5205078125</v>
      </c>
      <c r="BB198" s="13">
        <v>6483.064453125</v>
      </c>
      <c r="BC198" s="13">
        <v>2174.01953125</v>
      </c>
      <c r="BD198" s="13">
        <v>22382.98046875</v>
      </c>
      <c r="BE198" s="13">
        <v>11775.8623046875</v>
      </c>
      <c r="BF198" s="13">
        <v>15331.3935546875</v>
      </c>
      <c r="BG198" s="13">
        <v>12172.4970703125</v>
      </c>
      <c r="BH198" s="13">
        <v>1375.5972900390625</v>
      </c>
      <c r="BI198" s="13">
        <v>1584.0626220703125</v>
      </c>
      <c r="BJ198" s="13">
        <v>3848.80322265625</v>
      </c>
      <c r="BK198" s="13">
        <v>538.5445556640625</v>
      </c>
      <c r="BL198" s="13">
        <v>2066.312744140625</v>
      </c>
      <c r="BM198" s="13">
        <v>3149.9326171875</v>
      </c>
      <c r="BN198" s="13">
        <v>7629.5361328125</v>
      </c>
      <c r="BO198" s="13">
        <v>1666.1416015625</v>
      </c>
      <c r="BP198" s="13">
        <v>4833.912109375</v>
      </c>
      <c r="BQ198" s="13"/>
      <c r="BR198" s="13"/>
    </row>
    <row r="199" spans="2:70" x14ac:dyDescent="0.2">
      <c r="B199">
        <v>1994</v>
      </c>
      <c r="C199" s="13">
        <v>8822.423828125</v>
      </c>
      <c r="D199" s="13">
        <v>22890.109375</v>
      </c>
      <c r="E199" s="13">
        <v>30023.962890625</v>
      </c>
      <c r="F199" s="13">
        <v>9158.669921875</v>
      </c>
      <c r="G199" s="13">
        <v>8636.9453125</v>
      </c>
      <c r="H199" s="13">
        <v>2255.55419921875</v>
      </c>
      <c r="I199" s="13">
        <v>8510.345703125</v>
      </c>
      <c r="J199" s="13">
        <v>5351.9658203125</v>
      </c>
      <c r="K199" s="13">
        <v>2492.3623046875</v>
      </c>
      <c r="L199" s="13">
        <v>29714.173828125</v>
      </c>
      <c r="M199" s="13">
        <v>32303.2578125</v>
      </c>
      <c r="N199" s="13">
        <v>22146.119140625</v>
      </c>
      <c r="O199" s="13">
        <v>26764.982421875</v>
      </c>
      <c r="P199" s="13">
        <v>25418.9140625</v>
      </c>
      <c r="Q199" s="13">
        <v>29177.123046875</v>
      </c>
      <c r="R199" s="13">
        <v>30714.83984375</v>
      </c>
      <c r="S199" s="13">
        <v>41006.69140625</v>
      </c>
      <c r="T199" s="13">
        <v>25958.529296875</v>
      </c>
      <c r="U199" s="13">
        <v>25936.509765625</v>
      </c>
      <c r="V199" s="13">
        <v>8948.462890625</v>
      </c>
      <c r="W199" s="13">
        <v>31415.890625</v>
      </c>
      <c r="X199" s="13">
        <v>27453.943359375</v>
      </c>
      <c r="Y199" s="13">
        <v>25180.435546875</v>
      </c>
      <c r="Z199" s="13">
        <v>17651.6640625</v>
      </c>
      <c r="AA199" s="13">
        <v>5223.19580078125</v>
      </c>
      <c r="AB199" s="13">
        <v>15418.046875</v>
      </c>
      <c r="AC199" s="13">
        <v>8773.4501953125</v>
      </c>
      <c r="AD199" s="13">
        <v>8935.3193359375</v>
      </c>
      <c r="AE199" s="13">
        <v>7633.2275390625</v>
      </c>
      <c r="AF199" s="13">
        <v>12283.3095703125</v>
      </c>
      <c r="AG199" s="13">
        <v>6328.30419921875</v>
      </c>
      <c r="AH199" s="13">
        <v>64118.08984375</v>
      </c>
      <c r="AI199" s="13">
        <v>6835.44970703125</v>
      </c>
      <c r="AJ199" s="13">
        <v>6673.84326171875</v>
      </c>
      <c r="AK199" s="13">
        <v>5475.4716796875</v>
      </c>
      <c r="AL199" s="13">
        <v>3166.163330078125</v>
      </c>
      <c r="AM199" s="13">
        <v>45375.2109375</v>
      </c>
      <c r="AN199" s="13">
        <v>8850.931640625</v>
      </c>
      <c r="AO199" s="13">
        <v>7152.20849609375</v>
      </c>
      <c r="AP199" s="13">
        <v>972.54046630859375</v>
      </c>
      <c r="AQ199" s="13">
        <v>2329.96044921875</v>
      </c>
      <c r="AR199" s="13">
        <v>625.84063720703125</v>
      </c>
      <c r="AS199" s="13">
        <v>2548.2001953125</v>
      </c>
      <c r="AT199" s="13">
        <v>1498.0650634765625</v>
      </c>
      <c r="AU199" s="13">
        <v>842.36181640625</v>
      </c>
      <c r="AV199" s="13">
        <v>2458.016845703125</v>
      </c>
      <c r="AW199" s="13">
        <v>344.42599487304688</v>
      </c>
      <c r="AX199" s="13">
        <v>1133.203369140625</v>
      </c>
      <c r="AY199" s="13">
        <v>6798.26904296875</v>
      </c>
      <c r="AZ199" s="13">
        <v>1572.57275390625</v>
      </c>
      <c r="BA199" s="13">
        <v>11455.904296875</v>
      </c>
      <c r="BB199" s="13">
        <v>5182.82421875</v>
      </c>
      <c r="BC199" s="13">
        <v>2330.7392578125</v>
      </c>
      <c r="BD199" s="13">
        <v>22476.494140625</v>
      </c>
      <c r="BE199" s="13">
        <v>12829.1640625</v>
      </c>
      <c r="BF199" s="13">
        <v>16355.3291015625</v>
      </c>
      <c r="BG199" s="13">
        <v>12653.3984375</v>
      </c>
      <c r="BH199" s="13">
        <v>1413.521240234375</v>
      </c>
      <c r="BI199" s="13">
        <v>1658.5977783203125</v>
      </c>
      <c r="BJ199" s="13">
        <v>4079.35009765625</v>
      </c>
      <c r="BK199" s="13">
        <v>569.75006103515625</v>
      </c>
      <c r="BL199" s="13">
        <v>2097.256103515625</v>
      </c>
      <c r="BM199" s="13">
        <v>3230.25830078125</v>
      </c>
      <c r="BN199" s="13">
        <v>8021.72216796875</v>
      </c>
      <c r="BO199" s="13">
        <v>1775.1138916015625</v>
      </c>
      <c r="BP199" s="13">
        <v>5106.2451171875</v>
      </c>
      <c r="BQ199" s="13"/>
      <c r="BR199" s="13"/>
    </row>
    <row r="200" spans="2:70" x14ac:dyDescent="0.2">
      <c r="B200">
        <v>1995</v>
      </c>
      <c r="C200" s="13">
        <v>8997.0595703125</v>
      </c>
      <c r="D200" s="13">
        <v>23546.642578125</v>
      </c>
      <c r="E200" s="13">
        <v>30507.203125</v>
      </c>
      <c r="F200" s="13">
        <v>9012.240234375</v>
      </c>
      <c r="G200" s="13">
        <v>8818.3173828125</v>
      </c>
      <c r="H200" s="13">
        <v>2250.670654296875</v>
      </c>
      <c r="I200" s="13">
        <v>9017.5283203125</v>
      </c>
      <c r="J200" s="13">
        <v>5651.9951171875</v>
      </c>
      <c r="K200" s="13">
        <v>2622.916015625</v>
      </c>
      <c r="L200" s="13">
        <v>30178.1328125</v>
      </c>
      <c r="M200" s="13">
        <v>33240.9609375</v>
      </c>
      <c r="N200" s="13">
        <v>22773.564453125</v>
      </c>
      <c r="O200" s="13">
        <v>27310.05859375</v>
      </c>
      <c r="P200" s="13">
        <v>26437.453125</v>
      </c>
      <c r="Q200" s="13">
        <v>30169.900390625</v>
      </c>
      <c r="R200" s="13">
        <v>31537.7578125</v>
      </c>
      <c r="S200" s="13">
        <v>42822.28515625</v>
      </c>
      <c r="T200" s="13">
        <v>26893.150390625</v>
      </c>
      <c r="U200" s="13">
        <v>26587.744140625</v>
      </c>
      <c r="V200" s="13">
        <v>9304.623046875</v>
      </c>
      <c r="W200" s="13">
        <v>31929.921875</v>
      </c>
      <c r="X200" s="13">
        <v>27756.837890625</v>
      </c>
      <c r="Y200" s="13">
        <v>25886.951171875</v>
      </c>
      <c r="Z200" s="13">
        <v>18216.94140625</v>
      </c>
      <c r="AA200" s="13">
        <v>5091.64111328125</v>
      </c>
      <c r="AB200" s="13">
        <v>14522.9052734375</v>
      </c>
      <c r="AC200" s="13">
        <v>9206.0166015625</v>
      </c>
      <c r="AD200" s="13">
        <v>9887.177734375</v>
      </c>
      <c r="AE200" s="13">
        <v>7885.36767578125</v>
      </c>
      <c r="AF200" s="13">
        <v>10838.5302734375</v>
      </c>
      <c r="AG200" s="13">
        <v>6456.44921875</v>
      </c>
      <c r="AH200" s="13">
        <v>66158.9453125</v>
      </c>
      <c r="AI200" s="13">
        <v>6997.29833984375</v>
      </c>
      <c r="AJ200" s="13">
        <v>6895.82373046875</v>
      </c>
      <c r="AK200" s="13">
        <v>5481.84912109375</v>
      </c>
      <c r="AL200" s="13">
        <v>2903.83740234375</v>
      </c>
      <c r="AM200" s="13">
        <v>44048.27734375</v>
      </c>
      <c r="AN200" s="13">
        <v>9417.8095703125</v>
      </c>
      <c r="AO200" s="13">
        <v>7307.93603515625</v>
      </c>
      <c r="AP200" s="13">
        <v>947.89715576171875</v>
      </c>
      <c r="AQ200" s="13">
        <v>2395.981201171875</v>
      </c>
      <c r="AR200" s="13">
        <v>666.46685791015625</v>
      </c>
      <c r="AS200" s="13">
        <v>2590.37060546875</v>
      </c>
      <c r="AT200" s="13">
        <v>1476.602783203125</v>
      </c>
      <c r="AU200" s="13">
        <v>846.0877685546875</v>
      </c>
      <c r="AV200" s="13">
        <v>2511.452392578125</v>
      </c>
      <c r="AW200" s="13">
        <v>562.07049560546875</v>
      </c>
      <c r="AX200" s="13">
        <v>1101.634521484375</v>
      </c>
      <c r="AY200" s="13">
        <v>6908.49609375</v>
      </c>
      <c r="AZ200" s="13">
        <v>1550.9180908203125</v>
      </c>
      <c r="BA200" s="13">
        <v>12768.078125</v>
      </c>
      <c r="BB200" s="13">
        <v>4650.400390625</v>
      </c>
      <c r="BC200" s="13">
        <v>2563.142578125</v>
      </c>
      <c r="BD200" s="13">
        <v>23198.078125</v>
      </c>
      <c r="BE200" s="13">
        <v>13742.0029296875</v>
      </c>
      <c r="BF200" s="13">
        <v>17064.94921875</v>
      </c>
      <c r="BG200" s="13">
        <v>12709.9658203125</v>
      </c>
      <c r="BH200" s="13">
        <v>1458.618896484375</v>
      </c>
      <c r="BI200" s="13">
        <v>1748.3526611328125</v>
      </c>
      <c r="BJ200" s="13">
        <v>4331.96923828125</v>
      </c>
      <c r="BK200" s="13">
        <v>599.35711669921875</v>
      </c>
      <c r="BL200" s="13">
        <v>2188.607177734375</v>
      </c>
      <c r="BM200" s="13">
        <v>3360.156005859375</v>
      </c>
      <c r="BN200" s="13">
        <v>8399.5234375</v>
      </c>
      <c r="BO200" s="13">
        <v>1899.5570068359375</v>
      </c>
      <c r="BP200" s="13">
        <v>5342.99462890625</v>
      </c>
      <c r="BQ200" s="13"/>
      <c r="BR200" s="13"/>
    </row>
    <row r="201" spans="2:70" x14ac:dyDescent="0.2">
      <c r="B201">
        <v>1996</v>
      </c>
      <c r="C201" s="13">
        <v>9181.60546875</v>
      </c>
      <c r="D201" s="13">
        <v>24034.13671875</v>
      </c>
      <c r="E201" s="13">
        <v>31394.728515625</v>
      </c>
      <c r="F201" s="13">
        <v>9328.9296875</v>
      </c>
      <c r="G201" s="13">
        <v>9231.53515625</v>
      </c>
      <c r="H201" s="13">
        <v>2373.9384765625</v>
      </c>
      <c r="I201" s="13">
        <v>8566.71484375</v>
      </c>
      <c r="J201" s="13">
        <v>5822.439453125</v>
      </c>
      <c r="K201" s="13">
        <v>2752.185302734375</v>
      </c>
      <c r="L201" s="13">
        <v>30220.7421875</v>
      </c>
      <c r="M201" s="13">
        <v>34203.3359375</v>
      </c>
      <c r="N201" s="13">
        <v>23238.33203125</v>
      </c>
      <c r="O201" s="13">
        <v>27742.95703125</v>
      </c>
      <c r="P201" s="13">
        <v>27083.64453125</v>
      </c>
      <c r="Q201" s="13">
        <v>30829.650390625</v>
      </c>
      <c r="R201" s="13">
        <v>32532.87890625</v>
      </c>
      <c r="S201" s="13">
        <v>45129.43359375</v>
      </c>
      <c r="T201" s="13">
        <v>27325.373046875</v>
      </c>
      <c r="U201" s="13">
        <v>27184.1640625</v>
      </c>
      <c r="V201" s="13">
        <v>9778.1982421875</v>
      </c>
      <c r="W201" s="13">
        <v>32917.19140625</v>
      </c>
      <c r="X201" s="13">
        <v>28045.1015625</v>
      </c>
      <c r="Y201" s="13">
        <v>26868.615234375</v>
      </c>
      <c r="Z201" s="13">
        <v>18061.126953125</v>
      </c>
      <c r="AA201" s="13">
        <v>5203.25927734375</v>
      </c>
      <c r="AB201" s="13">
        <v>15101.1259765625</v>
      </c>
      <c r="AC201" s="13">
        <v>9456.1328125</v>
      </c>
      <c r="AD201" s="13">
        <v>10421.9560546875</v>
      </c>
      <c r="AE201" s="13">
        <v>7847.611328125</v>
      </c>
      <c r="AF201" s="13">
        <v>11433.466796875</v>
      </c>
      <c r="AG201" s="13">
        <v>6644.0078125</v>
      </c>
      <c r="AH201" s="13">
        <v>66204.2421875</v>
      </c>
      <c r="AI201" s="13">
        <v>7085.5654296875</v>
      </c>
      <c r="AJ201" s="13">
        <v>7327.06201171875</v>
      </c>
      <c r="AK201" s="13">
        <v>5760.021484375</v>
      </c>
      <c r="AL201" s="13">
        <v>3219.45263671875</v>
      </c>
      <c r="AM201" s="13">
        <v>43781.7265625</v>
      </c>
      <c r="AN201" s="13">
        <v>9967.20703125</v>
      </c>
      <c r="AO201" s="13">
        <v>7746.6376953125</v>
      </c>
      <c r="AP201" s="13">
        <v>892.73992919921875</v>
      </c>
      <c r="AQ201" s="13">
        <v>2453.380126953125</v>
      </c>
      <c r="AR201" s="13">
        <v>696.80706787109375</v>
      </c>
      <c r="AS201" s="13">
        <v>2650.140625</v>
      </c>
      <c r="AT201" s="13">
        <v>1540.234375</v>
      </c>
      <c r="AU201" s="13">
        <v>863.54083251953125</v>
      </c>
      <c r="AV201" s="13">
        <v>2553.63037109375</v>
      </c>
      <c r="AW201" s="13">
        <v>580.54034423828125</v>
      </c>
      <c r="AX201" s="13">
        <v>1291.1036376953125</v>
      </c>
      <c r="AY201" s="13">
        <v>7134.93359375</v>
      </c>
      <c r="AZ201" s="13">
        <v>1670.920654296875</v>
      </c>
      <c r="BA201" s="13">
        <v>11976.275390625</v>
      </c>
      <c r="BB201" s="13">
        <v>4623.77392578125</v>
      </c>
      <c r="BC201" s="13">
        <v>2627.36083984375</v>
      </c>
      <c r="BD201" s="13">
        <v>23912.64453125</v>
      </c>
      <c r="BE201" s="13">
        <v>14680.5595703125</v>
      </c>
      <c r="BF201" s="13">
        <v>18120.408203125</v>
      </c>
      <c r="BG201" s="13">
        <v>12899.501953125</v>
      </c>
      <c r="BH201" s="13">
        <v>1497.6676025390625</v>
      </c>
      <c r="BI201" s="13">
        <v>1842.09814453125</v>
      </c>
      <c r="BJ201" s="13">
        <v>4606.28564453125</v>
      </c>
      <c r="BK201" s="13">
        <v>636.72979736328125</v>
      </c>
      <c r="BL201" s="13">
        <v>2281.86279296875</v>
      </c>
      <c r="BM201" s="13">
        <v>3458.30078125</v>
      </c>
      <c r="BN201" s="13">
        <v>8665.025390625</v>
      </c>
      <c r="BO201" s="13">
        <v>1987.7623291015625</v>
      </c>
      <c r="BP201" s="13">
        <v>5603.26220703125</v>
      </c>
      <c r="BQ201" s="13"/>
      <c r="BR201" s="13"/>
    </row>
    <row r="202" spans="2:70" x14ac:dyDescent="0.2">
      <c r="B202">
        <v>1997</v>
      </c>
      <c r="C202" s="13">
        <v>9416.16796875</v>
      </c>
      <c r="D202" s="13">
        <v>24804.71484375</v>
      </c>
      <c r="E202" s="13">
        <v>32465.1953125</v>
      </c>
      <c r="F202" s="13">
        <v>9679.9912109375</v>
      </c>
      <c r="G202" s="13">
        <v>9451.7265625</v>
      </c>
      <c r="H202" s="13">
        <v>2430.397216796875</v>
      </c>
      <c r="I202" s="13">
        <v>8746.2734375</v>
      </c>
      <c r="J202" s="13">
        <v>5983.87841796875</v>
      </c>
      <c r="K202" s="13">
        <v>2823.891357421875</v>
      </c>
      <c r="L202" s="13">
        <v>30850.560546875</v>
      </c>
      <c r="M202" s="13">
        <v>34728.66015625</v>
      </c>
      <c r="N202" s="13">
        <v>23908.509765625</v>
      </c>
      <c r="O202" s="13">
        <v>28695.51171875</v>
      </c>
      <c r="P202" s="13">
        <v>28245.9296875</v>
      </c>
      <c r="Q202" s="13">
        <v>31592.837890625</v>
      </c>
      <c r="R202" s="13">
        <v>33573.35546875</v>
      </c>
      <c r="S202" s="13">
        <v>47659.4375</v>
      </c>
      <c r="T202" s="13">
        <v>28089.66796875</v>
      </c>
      <c r="U202" s="13">
        <v>28263.01953125</v>
      </c>
      <c r="V202" s="13">
        <v>10044.8876953125</v>
      </c>
      <c r="W202" s="13">
        <v>34043.8125</v>
      </c>
      <c r="X202" s="13">
        <v>29011.916015625</v>
      </c>
      <c r="Y202" s="13">
        <v>27917.236328125</v>
      </c>
      <c r="Z202" s="13">
        <v>19392.548828125</v>
      </c>
      <c r="AA202" s="13">
        <v>5042.67138671875</v>
      </c>
      <c r="AB202" s="13">
        <v>16109.9208984375</v>
      </c>
      <c r="AC202" s="13">
        <v>9606.0390625</v>
      </c>
      <c r="AD202" s="13">
        <v>11103.63671875</v>
      </c>
      <c r="AE202" s="13">
        <v>7924.3837890625</v>
      </c>
      <c r="AF202" s="13">
        <v>12208.818359375</v>
      </c>
      <c r="AG202" s="13">
        <v>6794.18212890625</v>
      </c>
      <c r="AH202" s="13">
        <v>67041.8828125</v>
      </c>
      <c r="AI202" s="13">
        <v>7176.82763671875</v>
      </c>
      <c r="AJ202" s="13">
        <v>7568.46826171875</v>
      </c>
      <c r="AK202" s="13">
        <v>5929.90966796875</v>
      </c>
      <c r="AL202" s="13">
        <v>3095.8486328125</v>
      </c>
      <c r="AM202" s="13">
        <v>43319.58984375</v>
      </c>
      <c r="AN202" s="13">
        <v>10140.7353515625</v>
      </c>
      <c r="AO202" s="13">
        <v>7981.26953125</v>
      </c>
      <c r="AP202" s="13">
        <v>836.5518798828125</v>
      </c>
      <c r="AQ202" s="13">
        <v>2573.409423828125</v>
      </c>
      <c r="AR202" s="13">
        <v>670.95941162109375</v>
      </c>
      <c r="AS202" s="13">
        <v>2576.66796875</v>
      </c>
      <c r="AT202" s="13">
        <v>1558.0882568359375</v>
      </c>
      <c r="AU202" s="13">
        <v>837.49774169921875</v>
      </c>
      <c r="AV202" s="13">
        <v>2563.911376953125</v>
      </c>
      <c r="AW202" s="13">
        <v>602.6912841796875</v>
      </c>
      <c r="AX202" s="13">
        <v>1379.8623046875</v>
      </c>
      <c r="AY202" s="13">
        <v>7230.9541015625</v>
      </c>
      <c r="AZ202" s="13">
        <v>1748.52099609375</v>
      </c>
      <c r="BA202" s="13">
        <v>12304.18359375</v>
      </c>
      <c r="BB202" s="13">
        <v>4615.84423828125</v>
      </c>
      <c r="BC202" s="13">
        <v>2784.247802734375</v>
      </c>
      <c r="BD202" s="13">
        <v>23986.470703125</v>
      </c>
      <c r="BE202" s="13">
        <v>15350.6171875</v>
      </c>
      <c r="BF202" s="13">
        <v>18877.23046875</v>
      </c>
      <c r="BG202" s="13">
        <v>13240.3798828125</v>
      </c>
      <c r="BH202" s="13">
        <v>1546.54931640625</v>
      </c>
      <c r="BI202" s="13">
        <v>1898.485595703125</v>
      </c>
      <c r="BJ202" s="13">
        <v>4742.59423828125</v>
      </c>
      <c r="BK202" s="13">
        <v>668.3646240234375</v>
      </c>
      <c r="BL202" s="13">
        <v>2349.032470703125</v>
      </c>
      <c r="BM202" s="13">
        <v>3600.552978515625</v>
      </c>
      <c r="BN202" s="13">
        <v>8078.1826171875</v>
      </c>
      <c r="BO202" s="13">
        <v>2106.9091796875</v>
      </c>
      <c r="BP202" s="13">
        <v>5953.35107421875</v>
      </c>
      <c r="BQ202" s="13"/>
      <c r="BR202" s="13"/>
    </row>
    <row r="203" spans="2:70" x14ac:dyDescent="0.2">
      <c r="B203">
        <v>1998</v>
      </c>
      <c r="C203" s="13">
        <v>9513.7890625</v>
      </c>
      <c r="D203" s="13">
        <v>25583.685546875</v>
      </c>
      <c r="E203" s="13">
        <v>33578.9921875</v>
      </c>
      <c r="F203" s="13">
        <v>9786.0654296875</v>
      </c>
      <c r="G203" s="13">
        <v>9551.001953125</v>
      </c>
      <c r="H203" s="13">
        <v>2557.9404296875</v>
      </c>
      <c r="I203" s="13">
        <v>8309.7861328125</v>
      </c>
      <c r="J203" s="13">
        <v>5816.13232421875</v>
      </c>
      <c r="K203" s="13">
        <v>2694.04296875</v>
      </c>
      <c r="L203" s="13">
        <v>31534.267578125</v>
      </c>
      <c r="M203" s="13">
        <v>35626.06640625</v>
      </c>
      <c r="N203" s="13">
        <v>24828.583984375</v>
      </c>
      <c r="O203" s="13">
        <v>29702.396484375</v>
      </c>
      <c r="P203" s="13">
        <v>29482.337890625</v>
      </c>
      <c r="Q203" s="13">
        <v>32061.490234375</v>
      </c>
      <c r="R203" s="13">
        <v>34482.81640625</v>
      </c>
      <c r="S203" s="13">
        <v>48640.91015625</v>
      </c>
      <c r="T203" s="13">
        <v>29280.7734375</v>
      </c>
      <c r="U203" s="13">
        <v>29185.755859375</v>
      </c>
      <c r="V203" s="13">
        <v>10410.861328125</v>
      </c>
      <c r="W203" s="13">
        <v>35238.703125</v>
      </c>
      <c r="X203" s="13">
        <v>29848.44140625</v>
      </c>
      <c r="Y203" s="13">
        <v>28993.130859375</v>
      </c>
      <c r="Z203" s="13">
        <v>19991.552734375</v>
      </c>
      <c r="AA203" s="13">
        <v>5029.17822265625</v>
      </c>
      <c r="AB203" s="13">
        <v>16557.873046875</v>
      </c>
      <c r="AC203" s="13">
        <v>9446.720703125</v>
      </c>
      <c r="AD203" s="13">
        <v>11548.3564453125</v>
      </c>
      <c r="AE203" s="13">
        <v>7829.912109375</v>
      </c>
      <c r="AF203" s="13">
        <v>12697.6455078125</v>
      </c>
      <c r="AG203" s="13">
        <v>6845.23828125</v>
      </c>
      <c r="AH203" s="13">
        <v>63905.11328125</v>
      </c>
      <c r="AI203" s="13">
        <v>7439.31591796875</v>
      </c>
      <c r="AJ203" s="13">
        <v>7792.81005859375</v>
      </c>
      <c r="AK203" s="13">
        <v>5958.2861328125</v>
      </c>
      <c r="AL203" s="13">
        <v>3303.172119140625</v>
      </c>
      <c r="AM203" s="13">
        <v>42033.625</v>
      </c>
      <c r="AN203" s="13">
        <v>9721.654296875</v>
      </c>
      <c r="AO203" s="13">
        <v>8380.6162109375</v>
      </c>
      <c r="AP203" s="13">
        <v>807.61199951171875</v>
      </c>
      <c r="AQ203" s="13">
        <v>2610.6357421875</v>
      </c>
      <c r="AR203" s="13">
        <v>649.2247314453125</v>
      </c>
      <c r="AS203" s="13">
        <v>2568.850341796875</v>
      </c>
      <c r="AT203" s="13">
        <v>1624.0245361328125</v>
      </c>
      <c r="AU203" s="13">
        <v>927.1749267578125</v>
      </c>
      <c r="AV203" s="13">
        <v>2746.590087890625</v>
      </c>
      <c r="AW203" s="13">
        <v>659.73321533203125</v>
      </c>
      <c r="AX203" s="13">
        <v>1629.5284423828125</v>
      </c>
      <c r="AY203" s="13">
        <v>7157.7119140625</v>
      </c>
      <c r="AZ203" s="13">
        <v>1887.648193359375</v>
      </c>
      <c r="BA203" s="13">
        <v>11494.56640625</v>
      </c>
      <c r="BB203" s="13">
        <v>4638.6953125</v>
      </c>
      <c r="BC203" s="13">
        <v>2738.044677734375</v>
      </c>
      <c r="BD203" s="13">
        <v>23442.646484375</v>
      </c>
      <c r="BE203" s="13">
        <v>13970.5380859375</v>
      </c>
      <c r="BF203" s="13">
        <v>19448.708984375</v>
      </c>
      <c r="BG203" s="13">
        <v>12319.6171875</v>
      </c>
      <c r="BH203" s="13">
        <v>1594.11279296875</v>
      </c>
      <c r="BI203" s="13">
        <v>1963.4080810546875</v>
      </c>
      <c r="BJ203" s="13">
        <v>3785.3134765625</v>
      </c>
      <c r="BK203" s="13">
        <v>696.21856689453125</v>
      </c>
      <c r="BL203" s="13">
        <v>2460.361328125</v>
      </c>
      <c r="BM203" s="13">
        <v>3498.905517578125</v>
      </c>
      <c r="BN203" s="13">
        <v>7152.7666015625</v>
      </c>
      <c r="BO203" s="13">
        <v>2182.264404296875</v>
      </c>
      <c r="BP203" s="13">
        <v>5710.328125</v>
      </c>
      <c r="BQ203" s="13"/>
      <c r="BR203" s="13"/>
    </row>
    <row r="204" spans="2:70" x14ac:dyDescent="0.2">
      <c r="B204">
        <v>1999</v>
      </c>
      <c r="C204" s="13">
        <v>9726.771484375</v>
      </c>
      <c r="D204" s="13">
        <v>26305.96484375</v>
      </c>
      <c r="E204" s="13">
        <v>34827.50390625</v>
      </c>
      <c r="F204" s="13">
        <v>9639.7724609375</v>
      </c>
      <c r="G204" s="13">
        <v>9520.6181640625</v>
      </c>
      <c r="H204" s="13">
        <v>2584.99609375</v>
      </c>
      <c r="I204" s="13">
        <v>9218.6787109375</v>
      </c>
      <c r="J204" s="13">
        <v>5954.46484375</v>
      </c>
      <c r="K204" s="13">
        <v>2811.522216796875</v>
      </c>
      <c r="L204" s="13">
        <v>32350.62890625</v>
      </c>
      <c r="M204" s="13">
        <v>36685.1796875</v>
      </c>
      <c r="N204" s="13">
        <v>25599.685546875</v>
      </c>
      <c r="O204" s="13">
        <v>30738.99609375</v>
      </c>
      <c r="P204" s="13">
        <v>29948.138671875</v>
      </c>
      <c r="Q204" s="13">
        <v>32764.86328125</v>
      </c>
      <c r="R204" s="13">
        <v>36536.73828125</v>
      </c>
      <c r="S204" s="13">
        <v>49726.08984375</v>
      </c>
      <c r="T204" s="13">
        <v>30519.658203125</v>
      </c>
      <c r="U204" s="13">
        <v>30084.916015625</v>
      </c>
      <c r="V204" s="13">
        <v>10523.0361328125</v>
      </c>
      <c r="W204" s="13">
        <v>36556.140625</v>
      </c>
      <c r="X204" s="13">
        <v>31213.951171875</v>
      </c>
      <c r="Y204" s="13">
        <v>30009.677734375</v>
      </c>
      <c r="Z204" s="13">
        <v>20009.4296875</v>
      </c>
      <c r="AA204" s="13">
        <v>5083.248046875</v>
      </c>
      <c r="AB204" s="13">
        <v>15802.41796875</v>
      </c>
      <c r="AC204" s="13">
        <v>9220.2978515625</v>
      </c>
      <c r="AD204" s="13">
        <v>11196.0146484375</v>
      </c>
      <c r="AE204" s="13">
        <v>7335.9287109375</v>
      </c>
      <c r="AF204" s="13">
        <v>12843.974609375</v>
      </c>
      <c r="AG204" s="13">
        <v>6800.6103515625</v>
      </c>
      <c r="AH204" s="13">
        <v>62597.40234375</v>
      </c>
      <c r="AI204" s="13">
        <v>7621.8427734375</v>
      </c>
      <c r="AJ204" s="13">
        <v>7968.9208984375</v>
      </c>
      <c r="AK204" s="13">
        <v>6135.99609375</v>
      </c>
      <c r="AL204" s="13">
        <v>3277.41455078125</v>
      </c>
      <c r="AM204" s="13">
        <v>40554.515625</v>
      </c>
      <c r="AN204" s="13">
        <v>9142.6220703125</v>
      </c>
      <c r="AO204" s="13">
        <v>8474.353515625</v>
      </c>
      <c r="AP204" s="13">
        <v>728.78271484375</v>
      </c>
      <c r="AQ204" s="13">
        <v>2542.740478515625</v>
      </c>
      <c r="AR204" s="13">
        <v>665.66510009765625</v>
      </c>
      <c r="AS204" s="13">
        <v>2538.91455078125</v>
      </c>
      <c r="AT204" s="13">
        <v>1642.010498046875</v>
      </c>
      <c r="AU204" s="13">
        <v>906.7989501953125</v>
      </c>
      <c r="AV204" s="13">
        <v>2606.217041015625</v>
      </c>
      <c r="AW204" s="13">
        <v>726.71588134765625</v>
      </c>
      <c r="AX204" s="13">
        <v>1760.6640625</v>
      </c>
      <c r="AY204" s="13">
        <v>7198.0234375</v>
      </c>
      <c r="AZ204" s="13">
        <v>1929.7430419921875</v>
      </c>
      <c r="BA204" s="13">
        <v>13060.20703125</v>
      </c>
      <c r="BB204" s="13">
        <v>4742.67822265625</v>
      </c>
      <c r="BC204" s="13">
        <v>2868.1162109375</v>
      </c>
      <c r="BD204" s="13">
        <v>23171.603515625</v>
      </c>
      <c r="BE204" s="13">
        <v>15596.833984375</v>
      </c>
      <c r="BF204" s="13">
        <v>20638.15625</v>
      </c>
      <c r="BG204" s="13">
        <v>12302.5830078125</v>
      </c>
      <c r="BH204" s="13">
        <v>1646.5577392578125</v>
      </c>
      <c r="BI204" s="13">
        <v>2091.18701171875</v>
      </c>
      <c r="BJ204" s="13">
        <v>3820.1005859375</v>
      </c>
      <c r="BK204" s="13">
        <v>756.6339111328125</v>
      </c>
      <c r="BL204" s="13">
        <v>2623.146728515625</v>
      </c>
      <c r="BM204" s="13">
        <v>3323.757568359375</v>
      </c>
      <c r="BN204" s="13">
        <v>7751.59130859375</v>
      </c>
      <c r="BO204" s="13">
        <v>2263.393310546875</v>
      </c>
      <c r="BP204" s="13">
        <v>5946.0537109375</v>
      </c>
      <c r="BQ204" s="13"/>
      <c r="BR204" s="13"/>
    </row>
    <row r="205" spans="2:70" x14ac:dyDescent="0.2">
      <c r="B205">
        <v>2000</v>
      </c>
      <c r="C205" s="13">
        <v>10036.203125</v>
      </c>
      <c r="D205" s="13">
        <v>27285.052734375</v>
      </c>
      <c r="E205" s="13">
        <v>35891.203125</v>
      </c>
      <c r="F205" s="13">
        <v>9950.0703125</v>
      </c>
      <c r="G205" s="13">
        <v>9863.439453125</v>
      </c>
      <c r="H205" s="13">
        <v>2665.7470703125</v>
      </c>
      <c r="I205" s="13">
        <v>10318.259765625</v>
      </c>
      <c r="J205" s="13">
        <v>6209.9560546875</v>
      </c>
      <c r="K205" s="13">
        <v>2914.412109375</v>
      </c>
      <c r="L205" s="13">
        <v>33185.46484375</v>
      </c>
      <c r="M205" s="13">
        <v>37408.625</v>
      </c>
      <c r="N205" s="13">
        <v>26827.771484375</v>
      </c>
      <c r="O205" s="13">
        <v>31651.013671875</v>
      </c>
      <c r="P205" s="13">
        <v>31424.767578125</v>
      </c>
      <c r="Q205" s="13">
        <v>33868.83984375</v>
      </c>
      <c r="R205" s="13">
        <v>36834.45703125</v>
      </c>
      <c r="S205" s="13">
        <v>51833.99609375</v>
      </c>
      <c r="T205" s="13">
        <v>31703.76171875</v>
      </c>
      <c r="U205" s="13">
        <v>31288.078125</v>
      </c>
      <c r="V205" s="13">
        <v>11076.8994140625</v>
      </c>
      <c r="W205" s="13">
        <v>37661.9609375</v>
      </c>
      <c r="X205" s="13">
        <v>32637.435546875</v>
      </c>
      <c r="Y205" s="13">
        <v>30623.154296875</v>
      </c>
      <c r="Z205" s="13">
        <v>20553.388671875</v>
      </c>
      <c r="AA205" s="13">
        <v>5402.96728515625</v>
      </c>
      <c r="AB205" s="13">
        <v>15526.5966796875</v>
      </c>
      <c r="AC205" s="13">
        <v>9569.7578125</v>
      </c>
      <c r="AD205" s="13">
        <v>11588.7412109375</v>
      </c>
      <c r="AE205" s="13">
        <v>7518.1923828125</v>
      </c>
      <c r="AF205" s="13">
        <v>13548.5615234375</v>
      </c>
      <c r="AG205" s="13">
        <v>6952.572265625</v>
      </c>
      <c r="AH205" s="13">
        <v>65164.02734375</v>
      </c>
      <c r="AI205" s="13">
        <v>8054.25439453125</v>
      </c>
      <c r="AJ205" s="13">
        <v>8226.2880859375</v>
      </c>
      <c r="AK205" s="13">
        <v>6334.34130859375</v>
      </c>
      <c r="AL205" s="13">
        <v>3288.47021484375</v>
      </c>
      <c r="AM205" s="13">
        <v>40415.03125</v>
      </c>
      <c r="AN205" s="13">
        <v>9733.1025390625</v>
      </c>
      <c r="AO205" s="13">
        <v>8632.3818359375</v>
      </c>
      <c r="AP205" s="13">
        <v>653.01666259765625</v>
      </c>
      <c r="AQ205" s="13">
        <v>2455.573974609375</v>
      </c>
      <c r="AR205" s="13">
        <v>691.02105712890625</v>
      </c>
      <c r="AS205" s="13">
        <v>2477.746337890625</v>
      </c>
      <c r="AT205" s="13">
        <v>1552.1158447265625</v>
      </c>
      <c r="AU205" s="13">
        <v>847.75701904296875</v>
      </c>
      <c r="AV205" s="13">
        <v>2675.793701171875</v>
      </c>
      <c r="AW205" s="13">
        <v>779.58038330078125</v>
      </c>
      <c r="AX205" s="13">
        <v>1827.523681640625</v>
      </c>
      <c r="AY205" s="13">
        <v>7458.4228515625</v>
      </c>
      <c r="AZ205" s="13">
        <v>2034.8125</v>
      </c>
      <c r="BA205" s="13">
        <v>14894.9892578125</v>
      </c>
      <c r="BB205" s="13">
        <v>4965.7197265625</v>
      </c>
      <c r="BC205" s="13">
        <v>3007.4462890625</v>
      </c>
      <c r="BD205" s="13">
        <v>23818.23046875</v>
      </c>
      <c r="BE205" s="13">
        <v>17094.9453125</v>
      </c>
      <c r="BF205" s="13">
        <v>22022.65625</v>
      </c>
      <c r="BG205" s="13">
        <v>12931.4775390625</v>
      </c>
      <c r="BH205" s="13">
        <v>1703.97802734375</v>
      </c>
      <c r="BI205" s="13">
        <v>2146.032470703125</v>
      </c>
      <c r="BJ205" s="13">
        <v>3999.527587890625</v>
      </c>
      <c r="BK205" s="13">
        <v>829.046630859375</v>
      </c>
      <c r="BL205" s="13">
        <v>2696.25244140625</v>
      </c>
      <c r="BM205" s="13">
        <v>3469.635986328125</v>
      </c>
      <c r="BN205" s="13">
        <v>8030.65478515625</v>
      </c>
      <c r="BO205" s="13">
        <v>2379.1806640625</v>
      </c>
      <c r="BP205" s="13">
        <v>6242.54296875</v>
      </c>
      <c r="BQ205" s="13"/>
      <c r="BR205" s="13"/>
    </row>
    <row r="206" spans="2:70" x14ac:dyDescent="0.2">
      <c r="B206">
        <v>2001</v>
      </c>
      <c r="C206" s="13">
        <v>10070.599609375</v>
      </c>
      <c r="D206" s="13">
        <v>27768.46875</v>
      </c>
      <c r="E206" s="13">
        <v>35769.56640625</v>
      </c>
      <c r="F206" s="13">
        <v>9813.47265625</v>
      </c>
      <c r="G206" s="13">
        <v>9615.822265625</v>
      </c>
      <c r="H206" s="13">
        <v>2679.716552734375</v>
      </c>
      <c r="I206" s="13">
        <v>11081.66015625</v>
      </c>
      <c r="J206" s="13">
        <v>6373.35595703125</v>
      </c>
      <c r="K206" s="13">
        <v>2950.82373046875</v>
      </c>
      <c r="L206" s="13">
        <v>33610.73046875</v>
      </c>
      <c r="M206" s="13">
        <v>37767.64453125</v>
      </c>
      <c r="N206" s="13">
        <v>27555.373046875</v>
      </c>
      <c r="O206" s="13">
        <v>32083.451171875</v>
      </c>
      <c r="P206" s="13">
        <v>32020.4140625</v>
      </c>
      <c r="Q206" s="13">
        <v>34552.9765625</v>
      </c>
      <c r="R206" s="13">
        <v>37907.9296875</v>
      </c>
      <c r="S206" s="13">
        <v>53424.8359375</v>
      </c>
      <c r="T206" s="13">
        <v>32159.048828125</v>
      </c>
      <c r="U206" s="13">
        <v>31306.17578125</v>
      </c>
      <c r="V206" s="13">
        <v>11431.9951171875</v>
      </c>
      <c r="W206" s="13">
        <v>37504.9609375</v>
      </c>
      <c r="X206" s="13">
        <v>32564.90625</v>
      </c>
      <c r="Y206" s="13">
        <v>31041.8125</v>
      </c>
      <c r="Z206" s="13">
        <v>21524.955078125</v>
      </c>
      <c r="AA206" s="13">
        <v>5258.33544921875</v>
      </c>
      <c r="AB206" s="13">
        <v>14617.6826171875</v>
      </c>
      <c r="AC206" s="13">
        <v>9492.5625</v>
      </c>
      <c r="AD206" s="13">
        <v>11805.7861328125</v>
      </c>
      <c r="AE206" s="13">
        <v>7462.74755859375</v>
      </c>
      <c r="AF206" s="13">
        <v>13285.146484375</v>
      </c>
      <c r="AG206" s="13">
        <v>6958.0185546875</v>
      </c>
      <c r="AH206" s="13">
        <v>61774.56640625</v>
      </c>
      <c r="AI206" s="13">
        <v>8216.9619140625</v>
      </c>
      <c r="AJ206" s="13">
        <v>8354.5888671875</v>
      </c>
      <c r="AK206" s="13">
        <v>6459.79052734375</v>
      </c>
      <c r="AL206" s="13">
        <v>3493.580078125</v>
      </c>
      <c r="AM206" s="13">
        <v>37813.74609375</v>
      </c>
      <c r="AN206" s="13">
        <v>8689.5341796875</v>
      </c>
      <c r="AO206" s="13">
        <v>8503.744140625</v>
      </c>
      <c r="AP206" s="13">
        <v>623.64190673828125</v>
      </c>
      <c r="AQ206" s="13">
        <v>2440.50146484375</v>
      </c>
      <c r="AR206" s="13">
        <v>703.8890380859375</v>
      </c>
      <c r="AS206" s="13">
        <v>2489.53564453125</v>
      </c>
      <c r="AT206" s="13">
        <v>1718.4639892578125</v>
      </c>
      <c r="AU206" s="13">
        <v>881.9769287109375</v>
      </c>
      <c r="AV206" s="13">
        <v>2761.898681640625</v>
      </c>
      <c r="AW206" s="13">
        <v>837.7176513671875</v>
      </c>
      <c r="AX206" s="13">
        <v>1849.730224609375</v>
      </c>
      <c r="AY206" s="13">
        <v>7557.15625</v>
      </c>
      <c r="AZ206" s="13">
        <v>2040.3406982421875</v>
      </c>
      <c r="BA206" s="13">
        <v>15895.2080078125</v>
      </c>
      <c r="BB206" s="13">
        <v>5499.3037109375</v>
      </c>
      <c r="BC206" s="13">
        <v>3190.11279296875</v>
      </c>
      <c r="BD206" s="13">
        <v>23946.58984375</v>
      </c>
      <c r="BE206" s="13">
        <v>17714.716796875</v>
      </c>
      <c r="BF206" s="13">
        <v>21312.80859375</v>
      </c>
      <c r="BG206" s="13">
        <v>13024.9833984375</v>
      </c>
      <c r="BH206" s="13">
        <v>1754.694580078125</v>
      </c>
      <c r="BI206" s="13">
        <v>2197.955810546875</v>
      </c>
      <c r="BJ206" s="13">
        <v>4124.345703125</v>
      </c>
      <c r="BK206" s="13">
        <v>867.92095947265625</v>
      </c>
      <c r="BL206" s="13">
        <v>2708.4140625</v>
      </c>
      <c r="BM206" s="13">
        <v>3470.30810546875</v>
      </c>
      <c r="BN206" s="13">
        <v>8049.62451171875</v>
      </c>
      <c r="BO206" s="13">
        <v>2512.64501953125</v>
      </c>
      <c r="BP206" s="13">
        <v>6102.6962890625</v>
      </c>
      <c r="BQ206" s="13"/>
      <c r="BR206" s="13"/>
    </row>
    <row r="207" spans="2:70" x14ac:dyDescent="0.2">
      <c r="B207">
        <v>2002</v>
      </c>
      <c r="C207" s="13">
        <v>10166.267578125</v>
      </c>
      <c r="D207" s="13">
        <v>27966.53515625</v>
      </c>
      <c r="E207" s="13">
        <v>36043.08203125</v>
      </c>
      <c r="F207" s="13">
        <v>9608.9521484375</v>
      </c>
      <c r="G207" s="13">
        <v>9826.7451171875</v>
      </c>
      <c r="H207" s="13">
        <v>2752.76318359375</v>
      </c>
      <c r="I207" s="13">
        <v>11629.083984375</v>
      </c>
      <c r="J207" s="13">
        <v>6696.11572265625</v>
      </c>
      <c r="K207" s="13">
        <v>3038.065185546875</v>
      </c>
      <c r="L207" s="13">
        <v>33189.09765625</v>
      </c>
      <c r="M207" s="13">
        <v>38019.50390625</v>
      </c>
      <c r="N207" s="13">
        <v>27976.71875</v>
      </c>
      <c r="O207" s="13">
        <v>31940.78125</v>
      </c>
      <c r="P207" s="13">
        <v>32521.224609375</v>
      </c>
      <c r="Q207" s="13">
        <v>34410.078125</v>
      </c>
      <c r="R207" s="13">
        <v>38238.328125</v>
      </c>
      <c r="S207" s="13">
        <v>54571.30859375</v>
      </c>
      <c r="T207" s="13">
        <v>33040.2109375</v>
      </c>
      <c r="U207" s="13">
        <v>31638.94140625</v>
      </c>
      <c r="V207" s="13">
        <v>11948.41015625</v>
      </c>
      <c r="W207" s="13">
        <v>37682.9765625</v>
      </c>
      <c r="X207" s="13">
        <v>33661.56640625</v>
      </c>
      <c r="Y207" s="13">
        <v>31967.564453125</v>
      </c>
      <c r="Z207" s="13">
        <v>22467.251953125</v>
      </c>
      <c r="AA207" s="13">
        <v>5106.3623046875</v>
      </c>
      <c r="AB207" s="13">
        <v>11878.0107421875</v>
      </c>
      <c r="AC207" s="13">
        <v>9647.435546875</v>
      </c>
      <c r="AD207" s="13">
        <v>12114.029296875</v>
      </c>
      <c r="AE207" s="13">
        <v>7494.8603515625</v>
      </c>
      <c r="AF207" s="13">
        <v>12875.748046875</v>
      </c>
      <c r="AG207" s="13">
        <v>6976.59423828125</v>
      </c>
      <c r="AH207" s="13">
        <v>59573.3671875</v>
      </c>
      <c r="AI207" s="13">
        <v>8495.322265625</v>
      </c>
      <c r="AJ207" s="13">
        <v>8276.970703125</v>
      </c>
      <c r="AK207" s="13">
        <v>6975.42529296875</v>
      </c>
      <c r="AL207" s="13">
        <v>3577.297607421875</v>
      </c>
      <c r="AM207" s="13">
        <v>38015.578125</v>
      </c>
      <c r="AN207" s="13">
        <v>9414.9599609375</v>
      </c>
      <c r="AO207" s="13">
        <v>8285.7900390625</v>
      </c>
      <c r="AP207" s="13">
        <v>624.1346435546875</v>
      </c>
      <c r="AQ207" s="13">
        <v>2352.585205078125</v>
      </c>
      <c r="AR207" s="13">
        <v>678.40106201171875</v>
      </c>
      <c r="AS207" s="13">
        <v>2417.75927734375</v>
      </c>
      <c r="AT207" s="13">
        <v>1687.16650390625</v>
      </c>
      <c r="AU207" s="13">
        <v>893.78204345703125</v>
      </c>
      <c r="AV207" s="13">
        <v>3164.674072265625</v>
      </c>
      <c r="AW207" s="13">
        <v>936.322509765625</v>
      </c>
      <c r="AX207" s="13">
        <v>1935.6187744140625</v>
      </c>
      <c r="AY207" s="13">
        <v>7865.49072265625</v>
      </c>
      <c r="AZ207" s="13">
        <v>2076.982177734375</v>
      </c>
      <c r="BA207" s="13">
        <v>16604.927734375</v>
      </c>
      <c r="BB207" s="13">
        <v>5885.8818359375</v>
      </c>
      <c r="BC207" s="13">
        <v>3537.86962890625</v>
      </c>
      <c r="BD207" s="13">
        <v>23845.833984375</v>
      </c>
      <c r="BE207" s="13">
        <v>19042.55078125</v>
      </c>
      <c r="BF207" s="13">
        <v>22280.64453125</v>
      </c>
      <c r="BG207" s="13">
        <v>13128.7431640625</v>
      </c>
      <c r="BH207" s="13">
        <v>1813.799072265625</v>
      </c>
      <c r="BI207" s="13">
        <v>2242.52392578125</v>
      </c>
      <c r="BJ207" s="13">
        <v>4261.64599609375</v>
      </c>
      <c r="BK207" s="13">
        <v>977.30859375</v>
      </c>
      <c r="BL207" s="13">
        <v>2746.907958984375</v>
      </c>
      <c r="BM207" s="13">
        <v>3514.854736328125</v>
      </c>
      <c r="BN207" s="13">
        <v>8569.443359375</v>
      </c>
      <c r="BO207" s="13">
        <v>2662.83056640625</v>
      </c>
      <c r="BP207" s="13">
        <v>6267.22705078125</v>
      </c>
      <c r="BQ207" s="13"/>
      <c r="BR207" s="13"/>
    </row>
    <row r="208" spans="2:70" x14ac:dyDescent="0.2">
      <c r="B208">
        <v>2003</v>
      </c>
      <c r="C208" s="13">
        <v>10344.3134765625</v>
      </c>
      <c r="D208" s="13">
        <v>28216.6171875</v>
      </c>
      <c r="E208" s="13">
        <v>36690.5859375</v>
      </c>
      <c r="F208" s="13">
        <v>9690.1171875</v>
      </c>
      <c r="G208" s="13">
        <v>10115.33984375</v>
      </c>
      <c r="H208" s="13">
        <v>2825.5048828125</v>
      </c>
      <c r="I208" s="13">
        <v>12445.017578125</v>
      </c>
      <c r="J208" s="13">
        <v>7014.08056640625</v>
      </c>
      <c r="K208" s="13">
        <v>3182.93798828125</v>
      </c>
      <c r="L208" s="13">
        <v>32982.08984375</v>
      </c>
      <c r="M208" s="13">
        <v>38016.76171875</v>
      </c>
      <c r="N208" s="13">
        <v>28359.982421875</v>
      </c>
      <c r="O208" s="13">
        <v>32068.783203125</v>
      </c>
      <c r="P208" s="13">
        <v>33087.03515625</v>
      </c>
      <c r="Q208" s="13">
        <v>34156.5859375</v>
      </c>
      <c r="R208" s="13">
        <v>38541.21484375</v>
      </c>
      <c r="S208" s="13">
        <v>54988.48046875</v>
      </c>
      <c r="T208" s="13">
        <v>34447.6796875</v>
      </c>
      <c r="U208" s="13">
        <v>31982.443359375</v>
      </c>
      <c r="V208" s="13">
        <v>12398.84375</v>
      </c>
      <c r="W208" s="13">
        <v>38390.3203125</v>
      </c>
      <c r="X208" s="13">
        <v>33879.2890625</v>
      </c>
      <c r="Y208" s="13">
        <v>32797.19140625</v>
      </c>
      <c r="Z208" s="13">
        <v>23409.85546875</v>
      </c>
      <c r="AA208" s="13">
        <v>5256.41845703125</v>
      </c>
      <c r="AB208" s="13">
        <v>13010.357421875</v>
      </c>
      <c r="AC208" s="13">
        <v>9601.3349609375</v>
      </c>
      <c r="AD208" s="13">
        <v>12413.83203125</v>
      </c>
      <c r="AE208" s="13">
        <v>7555.94921875</v>
      </c>
      <c r="AF208" s="13">
        <v>12946.3642578125</v>
      </c>
      <c r="AG208" s="13">
        <v>6956.16357421875</v>
      </c>
      <c r="AH208" s="13">
        <v>61334.6640625</v>
      </c>
      <c r="AI208" s="13">
        <v>8942.4931640625</v>
      </c>
      <c r="AJ208" s="13">
        <v>8426.7939453125</v>
      </c>
      <c r="AK208" s="13">
        <v>7467.88330078125</v>
      </c>
      <c r="AL208" s="13">
        <v>3757.94189453125</v>
      </c>
      <c r="AM208" s="13">
        <v>38993.4296875</v>
      </c>
      <c r="AN208" s="13">
        <v>9995.1142578125</v>
      </c>
      <c r="AO208" s="13">
        <v>8018.50439453125</v>
      </c>
      <c r="AP208" s="13">
        <v>647.89691162109375</v>
      </c>
      <c r="AQ208" s="13">
        <v>2267.57666015625</v>
      </c>
      <c r="AR208" s="13">
        <v>694.08099365234375</v>
      </c>
      <c r="AS208" s="13">
        <v>2423.4130859375</v>
      </c>
      <c r="AT208" s="13">
        <v>1858.0992431640625</v>
      </c>
      <c r="AU208" s="13">
        <v>891.86798095703125</v>
      </c>
      <c r="AV208" s="13">
        <v>3282.63671875</v>
      </c>
      <c r="AW208" s="13">
        <v>933.139892578125</v>
      </c>
      <c r="AX208" s="13">
        <v>2019.75</v>
      </c>
      <c r="AY208" s="13">
        <v>8036.6357421875</v>
      </c>
      <c r="AZ208" s="13">
        <v>2147.616943359375</v>
      </c>
      <c r="BA208" s="13">
        <v>17673.24609375</v>
      </c>
      <c r="BB208" s="13">
        <v>6447.82373046875</v>
      </c>
      <c r="BC208" s="13">
        <v>3844.398681640625</v>
      </c>
      <c r="BD208" s="13">
        <v>24262.111328125</v>
      </c>
      <c r="BE208" s="13">
        <v>19408.03515625</v>
      </c>
      <c r="BF208" s="13">
        <v>23137.908203125</v>
      </c>
      <c r="BG208" s="13">
        <v>13763.9111328125</v>
      </c>
      <c r="BH208" s="13">
        <v>1889.296142578125</v>
      </c>
      <c r="BI208" s="13">
        <v>2357.86376953125</v>
      </c>
      <c r="BJ208" s="13">
        <v>4410.77587890625</v>
      </c>
      <c r="BK208" s="13">
        <v>1066.5155029296875</v>
      </c>
      <c r="BL208" s="13">
        <v>2881.70703125</v>
      </c>
      <c r="BM208" s="13">
        <v>3600.190185546875</v>
      </c>
      <c r="BN208" s="13">
        <v>9132.5078125</v>
      </c>
      <c r="BO208" s="13">
        <v>2825.19140625</v>
      </c>
      <c r="BP208" s="13">
        <v>6551.91748046875</v>
      </c>
      <c r="BQ208" s="13"/>
      <c r="BR208" s="13"/>
    </row>
    <row r="209" spans="2:70" x14ac:dyDescent="0.2">
      <c r="B209">
        <v>2004</v>
      </c>
      <c r="C209" s="13">
        <v>10694.8388671875</v>
      </c>
      <c r="D209" s="13">
        <v>28843.064453125</v>
      </c>
      <c r="E209" s="13">
        <v>37751.96484375</v>
      </c>
      <c r="F209" s="13">
        <v>10143.2548828125</v>
      </c>
      <c r="G209" s="13">
        <v>10948.447265625</v>
      </c>
      <c r="H209" s="13">
        <v>2880.888916015625</v>
      </c>
      <c r="I209" s="13">
        <v>13638.0751953125</v>
      </c>
      <c r="J209" s="13">
        <v>7464.04541015625</v>
      </c>
      <c r="K209" s="13">
        <v>3342.45849609375</v>
      </c>
      <c r="L209" s="13">
        <v>33865.6953125</v>
      </c>
      <c r="M209" s="13">
        <v>39244.0546875</v>
      </c>
      <c r="N209" s="13">
        <v>28546.37109375</v>
      </c>
      <c r="O209" s="13">
        <v>32766.05859375</v>
      </c>
      <c r="P209" s="13">
        <v>33534.125</v>
      </c>
      <c r="Q209" s="13">
        <v>34423.30078125</v>
      </c>
      <c r="R209" s="13">
        <v>38109.98828125</v>
      </c>
      <c r="S209" s="13">
        <v>56850.56640625</v>
      </c>
      <c r="T209" s="13">
        <v>35270.7109375</v>
      </c>
      <c r="U209" s="13">
        <v>32915.50390625</v>
      </c>
      <c r="V209" s="13">
        <v>13081.9697265625</v>
      </c>
      <c r="W209" s="13">
        <v>39537.61328125</v>
      </c>
      <c r="X209" s="13">
        <v>34900.44140625</v>
      </c>
      <c r="Y209" s="13">
        <v>33575.9296875</v>
      </c>
      <c r="Z209" s="13">
        <v>23406.63671875</v>
      </c>
      <c r="AA209" s="13">
        <v>5271.7177734375</v>
      </c>
      <c r="AB209" s="13">
        <v>14886.7177734375</v>
      </c>
      <c r="AC209" s="13">
        <v>10083.7265625</v>
      </c>
      <c r="AD209" s="13">
        <v>12725.2607421875</v>
      </c>
      <c r="AE209" s="13">
        <v>7838.84521484375</v>
      </c>
      <c r="AF209" s="13">
        <v>13207.7568359375</v>
      </c>
      <c r="AG209" s="13">
        <v>7255.0517578125</v>
      </c>
      <c r="AH209" s="13">
        <v>64383.49609375</v>
      </c>
      <c r="AI209" s="13">
        <v>9137.740234375</v>
      </c>
      <c r="AJ209" s="13">
        <v>8593.4580078125</v>
      </c>
      <c r="AK209" s="13">
        <v>7574.04638671875</v>
      </c>
      <c r="AL209" s="13">
        <v>3894.70849609375</v>
      </c>
      <c r="AM209" s="13">
        <v>43231.375</v>
      </c>
      <c r="AN209" s="13">
        <v>10920.7822265625</v>
      </c>
      <c r="AO209" s="13">
        <v>8811.10546875</v>
      </c>
      <c r="AP209" s="13">
        <v>664.971435546875</v>
      </c>
      <c r="AQ209" s="13">
        <v>2236.697265625</v>
      </c>
      <c r="AR209" s="13">
        <v>761.509033203125</v>
      </c>
      <c r="AS209" s="13">
        <v>2453.40771484375</v>
      </c>
      <c r="AT209" s="13">
        <v>1815.74072265625</v>
      </c>
      <c r="AU209" s="13">
        <v>853.49029541015625</v>
      </c>
      <c r="AV209" s="13">
        <v>3449.581298828125</v>
      </c>
      <c r="AW209" s="13">
        <v>975.61224365234375</v>
      </c>
      <c r="AX209" s="13">
        <v>1991.1732177734375</v>
      </c>
      <c r="AY209" s="13">
        <v>8398.7197265625</v>
      </c>
      <c r="AZ209" s="13">
        <v>2192.25</v>
      </c>
      <c r="BA209" s="13">
        <v>19367.3671875</v>
      </c>
      <c r="BB209" s="13">
        <v>7121.94482421875</v>
      </c>
      <c r="BC209" s="13">
        <v>4243.1259765625</v>
      </c>
      <c r="BD209" s="13">
        <v>24895.943359375</v>
      </c>
      <c r="BE209" s="13">
        <v>20255.587890625</v>
      </c>
      <c r="BF209" s="13">
        <v>24707.9140625</v>
      </c>
      <c r="BG209" s="13">
        <v>14876.6064453125</v>
      </c>
      <c r="BH209" s="13">
        <v>1978.48974609375</v>
      </c>
      <c r="BI209" s="13">
        <v>2506.0908203125</v>
      </c>
      <c r="BJ209" s="13">
        <v>4459.828125</v>
      </c>
      <c r="BK209" s="13">
        <v>1191.734375</v>
      </c>
      <c r="BL209" s="13">
        <v>3039.12255859375</v>
      </c>
      <c r="BM209" s="13">
        <v>3657.927734375</v>
      </c>
      <c r="BN209" s="13">
        <v>9637.015625</v>
      </c>
      <c r="BO209" s="13">
        <v>3003.383056640625</v>
      </c>
      <c r="BP209" s="13">
        <v>6983.59033203125</v>
      </c>
      <c r="BQ209" s="13"/>
      <c r="BR209" s="13"/>
    </row>
    <row r="210" spans="2:70" x14ac:dyDescent="0.2">
      <c r="B210">
        <v>2005</v>
      </c>
      <c r="C210" s="13">
        <v>10976.06640625</v>
      </c>
      <c r="D210" s="13">
        <v>29466.783203125</v>
      </c>
      <c r="E210" s="13">
        <v>38603.37890625</v>
      </c>
      <c r="F210" s="13">
        <v>10481.3203125</v>
      </c>
      <c r="G210" s="13">
        <v>11315.49609375</v>
      </c>
      <c r="H210" s="13">
        <v>2970.458251953125</v>
      </c>
      <c r="I210" s="13">
        <v>14565.9677734375</v>
      </c>
      <c r="J210" s="13">
        <v>7866.294921875</v>
      </c>
      <c r="K210" s="13">
        <v>3485.022705078125</v>
      </c>
      <c r="L210" s="13">
        <v>34231.65625</v>
      </c>
      <c r="M210" s="13">
        <v>41191.8046875</v>
      </c>
      <c r="N210" s="13">
        <v>28951.0234375</v>
      </c>
      <c r="O210" s="13">
        <v>33239.66796875</v>
      </c>
      <c r="P210" s="13">
        <v>34396.03125</v>
      </c>
      <c r="Q210" s="13">
        <v>34499.7578125</v>
      </c>
      <c r="R210" s="13">
        <v>38085.53515625</v>
      </c>
      <c r="S210" s="13">
        <v>59018.328125</v>
      </c>
      <c r="T210" s="13">
        <v>36797.84375</v>
      </c>
      <c r="U210" s="13">
        <v>33636.9765625</v>
      </c>
      <c r="V210" s="13">
        <v>14018.4736328125</v>
      </c>
      <c r="W210" s="13">
        <v>40462.69140625</v>
      </c>
      <c r="X210" s="13">
        <v>35824.92578125</v>
      </c>
      <c r="Y210" s="13">
        <v>33987.9921875</v>
      </c>
      <c r="Z210" s="13">
        <v>23314.38671875</v>
      </c>
      <c r="AA210" s="13">
        <v>5474.6318359375</v>
      </c>
      <c r="AB210" s="13">
        <v>16387.28125</v>
      </c>
      <c r="AC210" s="13">
        <v>10283.357421875</v>
      </c>
      <c r="AD210" s="13">
        <v>13302.4267578125</v>
      </c>
      <c r="AE210" s="13">
        <v>8060.89501953125</v>
      </c>
      <c r="AF210" s="13">
        <v>13236.234375</v>
      </c>
      <c r="AG210" s="13">
        <v>7684.97607421875</v>
      </c>
      <c r="AH210" s="13">
        <v>61573.67578125</v>
      </c>
      <c r="AI210" s="13">
        <v>9662.3544921875</v>
      </c>
      <c r="AJ210" s="13">
        <v>8854.28125</v>
      </c>
      <c r="AK210" s="13">
        <v>7800.10400390625</v>
      </c>
      <c r="AL210" s="13">
        <v>3986.770263671875</v>
      </c>
      <c r="AM210" s="13">
        <v>43516.62890625</v>
      </c>
      <c r="AN210" s="13">
        <v>11859.568359375</v>
      </c>
      <c r="AO210" s="13">
        <v>9009.9990234375</v>
      </c>
      <c r="AP210" s="13">
        <v>698.3865966796875</v>
      </c>
      <c r="AQ210" s="13">
        <v>2192.0693359375</v>
      </c>
      <c r="AR210" s="13">
        <v>825.68096923828125</v>
      </c>
      <c r="AS210" s="13">
        <v>2562.34375</v>
      </c>
      <c r="AT210" s="13">
        <v>1805.5618896484375</v>
      </c>
      <c r="AU210" s="13">
        <v>887.65228271484375</v>
      </c>
      <c r="AV210" s="13">
        <v>3516.439208984375</v>
      </c>
      <c r="AW210" s="13">
        <v>1040.562255859375</v>
      </c>
      <c r="AX210" s="13">
        <v>2031.1856689453125</v>
      </c>
      <c r="AY210" s="13">
        <v>8810.9111328125</v>
      </c>
      <c r="AZ210" s="13">
        <v>2268.5400390625</v>
      </c>
      <c r="BA210" s="13">
        <v>20704.908203125</v>
      </c>
      <c r="BB210" s="13">
        <v>7637.353515625</v>
      </c>
      <c r="BC210" s="13">
        <v>4626.19140625</v>
      </c>
      <c r="BD210" s="13">
        <v>25363.95703125</v>
      </c>
      <c r="BE210" s="13">
        <v>20921.6015625</v>
      </c>
      <c r="BF210" s="13">
        <v>25816.056640625</v>
      </c>
      <c r="BG210" s="13">
        <v>15877.1513671875</v>
      </c>
      <c r="BH210" s="13">
        <v>2065.957763671875</v>
      </c>
      <c r="BI210" s="13">
        <v>2644.539306640625</v>
      </c>
      <c r="BJ210" s="13">
        <v>4625.626953125</v>
      </c>
      <c r="BK210" s="13">
        <v>1281.2257080078125</v>
      </c>
      <c r="BL210" s="13">
        <v>3175.057373046875</v>
      </c>
      <c r="BM210" s="13">
        <v>3789.639404296875</v>
      </c>
      <c r="BN210" s="13">
        <v>9482.283203125</v>
      </c>
      <c r="BO210" s="13">
        <v>3181.407470703125</v>
      </c>
      <c r="BP210" s="13">
        <v>7363.611328125</v>
      </c>
      <c r="BQ210" s="13"/>
      <c r="BR210" s="13"/>
    </row>
    <row r="211" spans="2:70" x14ac:dyDescent="0.2">
      <c r="B211">
        <v>2006</v>
      </c>
      <c r="C211" s="13">
        <v>11332.62109375</v>
      </c>
      <c r="D211" s="13">
        <v>30436.623046875</v>
      </c>
      <c r="E211" s="13">
        <v>39139.46484375</v>
      </c>
      <c r="F211" s="13">
        <v>10949.2685546875</v>
      </c>
      <c r="G211" s="13">
        <v>11908.3017578125</v>
      </c>
      <c r="H211" s="13">
        <v>3083.361328125</v>
      </c>
      <c r="I211" s="13">
        <v>15822.6201171875</v>
      </c>
      <c r="J211" s="13">
        <v>8440.5185546875</v>
      </c>
      <c r="K211" s="13">
        <v>3655.3271484375</v>
      </c>
      <c r="L211" s="13">
        <v>36027.046875</v>
      </c>
      <c r="M211" s="13">
        <v>43138.65625</v>
      </c>
      <c r="N211" s="13">
        <v>29439.7109375</v>
      </c>
      <c r="O211" s="13">
        <v>33938.1796875</v>
      </c>
      <c r="P211" s="13">
        <v>34277.23828125</v>
      </c>
      <c r="Q211" s="13">
        <v>34993.53125</v>
      </c>
      <c r="R211" s="13">
        <v>40208.82421875</v>
      </c>
      <c r="S211" s="13">
        <v>59223.66796875</v>
      </c>
      <c r="T211" s="13">
        <v>38859.24609375</v>
      </c>
      <c r="U211" s="13">
        <v>35214.16796875</v>
      </c>
      <c r="V211" s="13">
        <v>14953.3076171875</v>
      </c>
      <c r="W211" s="13">
        <v>41019.62890625</v>
      </c>
      <c r="X211" s="13">
        <v>36642.84765625</v>
      </c>
      <c r="Y211" s="13">
        <v>34501.859375</v>
      </c>
      <c r="Z211" s="13">
        <v>23245.09375</v>
      </c>
      <c r="AA211" s="13">
        <v>5405.505859375</v>
      </c>
      <c r="AB211" s="13">
        <v>17646.671875</v>
      </c>
      <c r="AC211" s="13">
        <v>10577.45703125</v>
      </c>
      <c r="AD211" s="13">
        <v>13602.5498046875</v>
      </c>
      <c r="AE211" s="13">
        <v>8532.2177734375</v>
      </c>
      <c r="AF211" s="13">
        <v>13761.677734375</v>
      </c>
      <c r="AG211" s="13">
        <v>8126.869140625</v>
      </c>
      <c r="AH211" s="13">
        <v>64781.9453125</v>
      </c>
      <c r="AI211" s="13">
        <v>9946.4404296875</v>
      </c>
      <c r="AJ211" s="13">
        <v>9397.95703125</v>
      </c>
      <c r="AK211" s="13">
        <v>8106.791015625</v>
      </c>
      <c r="AL211" s="13">
        <v>4226.74560546875</v>
      </c>
      <c r="AM211" s="13">
        <v>44008.9609375</v>
      </c>
      <c r="AN211" s="13">
        <v>12497.1728515625</v>
      </c>
      <c r="AO211" s="13">
        <v>9541.4912109375</v>
      </c>
      <c r="AP211" s="13">
        <v>744.26226806640625</v>
      </c>
      <c r="AQ211" s="13">
        <v>2167.51171875</v>
      </c>
      <c r="AR211" s="13">
        <v>892.79498291015625</v>
      </c>
      <c r="AS211" s="13">
        <v>2685.14892578125</v>
      </c>
      <c r="AT211" s="13">
        <v>1806.6143798828125</v>
      </c>
      <c r="AU211" s="13">
        <v>901.165771484375</v>
      </c>
      <c r="AV211" s="13">
        <v>3673.768310546875</v>
      </c>
      <c r="AW211" s="13">
        <v>1107.3272705078125</v>
      </c>
      <c r="AX211" s="13">
        <v>2104.2666015625</v>
      </c>
      <c r="AY211" s="13">
        <v>9128.2587890625</v>
      </c>
      <c r="AZ211" s="13">
        <v>2372.6572265625</v>
      </c>
      <c r="BA211" s="13">
        <v>22495.140625</v>
      </c>
      <c r="BB211" s="13">
        <v>8355.6904296875</v>
      </c>
      <c r="BC211" s="13">
        <v>5188.10107421875</v>
      </c>
      <c r="BD211" s="13">
        <v>25781.859375</v>
      </c>
      <c r="BE211" s="13">
        <v>22130.4921875</v>
      </c>
      <c r="BF211" s="13">
        <v>27502.341796875</v>
      </c>
      <c r="BG211" s="13">
        <v>17244.060546875</v>
      </c>
      <c r="BH211" s="13">
        <v>2181.41015625</v>
      </c>
      <c r="BI211" s="13">
        <v>2803.869140625</v>
      </c>
      <c r="BJ211" s="13">
        <v>4803.21240234375</v>
      </c>
      <c r="BK211" s="13">
        <v>1484.9581298828125</v>
      </c>
      <c r="BL211" s="13">
        <v>3238.516357421875</v>
      </c>
      <c r="BM211" s="13">
        <v>3894.346435546875</v>
      </c>
      <c r="BN211" s="13">
        <v>9952.8603515625</v>
      </c>
      <c r="BO211" s="13">
        <v>3499.9208984375</v>
      </c>
      <c r="BP211" s="13">
        <v>7632.74169921875</v>
      </c>
      <c r="BQ211" s="13"/>
      <c r="BR211" s="13"/>
    </row>
    <row r="212" spans="2:70" x14ac:dyDescent="0.2">
      <c r="B212">
        <v>2007</v>
      </c>
      <c r="C212" s="13">
        <v>11665.681640625</v>
      </c>
      <c r="D212" s="13">
        <v>31162.623046875</v>
      </c>
      <c r="E212" s="13">
        <v>39571.328125</v>
      </c>
      <c r="F212" s="13">
        <v>11420.8271484375</v>
      </c>
      <c r="G212" s="13">
        <v>12334.5361328125</v>
      </c>
      <c r="H212" s="13">
        <v>3154.850341796875</v>
      </c>
      <c r="I212" s="13">
        <v>17251.9375</v>
      </c>
      <c r="J212" s="13">
        <v>9089.1640625</v>
      </c>
      <c r="K212" s="13">
        <v>3862.728515625</v>
      </c>
      <c r="L212" s="13">
        <v>36986.09765625</v>
      </c>
      <c r="M212" s="13">
        <v>42687.76171875</v>
      </c>
      <c r="N212" s="13">
        <v>29682.7265625</v>
      </c>
      <c r="O212" s="13">
        <v>34507.0390625</v>
      </c>
      <c r="P212" s="13">
        <v>35065.8125</v>
      </c>
      <c r="Q212" s="13">
        <v>35148.046875</v>
      </c>
      <c r="R212" s="13">
        <v>41507.2421875</v>
      </c>
      <c r="S212" s="13">
        <v>60120.87109375</v>
      </c>
      <c r="T212" s="13">
        <v>40042.265625</v>
      </c>
      <c r="U212" s="13">
        <v>36024.62109375</v>
      </c>
      <c r="V212" s="13">
        <v>15907.111328125</v>
      </c>
      <c r="W212" s="13">
        <v>41463.07421875</v>
      </c>
      <c r="X212" s="13">
        <v>37081.98828125</v>
      </c>
      <c r="Y212" s="13">
        <v>35193.93359375</v>
      </c>
      <c r="Z212" s="13">
        <v>23772.171875</v>
      </c>
      <c r="AA212" s="13">
        <v>5567.3232421875</v>
      </c>
      <c r="AB212" s="13">
        <v>19185.052734375</v>
      </c>
      <c r="AC212" s="13">
        <v>11138.6123046875</v>
      </c>
      <c r="AD212" s="13">
        <v>14365.115234375</v>
      </c>
      <c r="AE212" s="13">
        <v>8999.2392578125</v>
      </c>
      <c r="AF212" s="13">
        <v>13813.3662109375</v>
      </c>
      <c r="AG212" s="13">
        <v>8536.390625</v>
      </c>
      <c r="AH212" s="13">
        <v>60430.12890625</v>
      </c>
      <c r="AI212" s="13">
        <v>10338.4833984375</v>
      </c>
      <c r="AJ212" s="13">
        <v>9915.7939453125</v>
      </c>
      <c r="AK212" s="13">
        <v>8743.0146484375</v>
      </c>
      <c r="AL212" s="13">
        <v>4288.2763671875</v>
      </c>
      <c r="AM212" s="13">
        <v>43676.76171875</v>
      </c>
      <c r="AN212" s="13">
        <v>12963.82421875</v>
      </c>
      <c r="AO212" s="13">
        <v>9918.001953125</v>
      </c>
      <c r="AP212" s="13">
        <v>768.16552734375</v>
      </c>
      <c r="AQ212" s="13">
        <v>2156.369384765625</v>
      </c>
      <c r="AR212" s="13">
        <v>965.32110595703125</v>
      </c>
      <c r="AS212" s="13">
        <v>2786.93359375</v>
      </c>
      <c r="AT212" s="13">
        <v>1782.4700927734375</v>
      </c>
      <c r="AU212" s="13">
        <v>849.154052734375</v>
      </c>
      <c r="AV212" s="13">
        <v>3684.093017578125</v>
      </c>
      <c r="AW212" s="13">
        <v>1166.791748046875</v>
      </c>
      <c r="AX212" s="13">
        <v>2210.66845703125</v>
      </c>
      <c r="AY212" s="13">
        <v>9349.501953125</v>
      </c>
      <c r="AZ212" s="13">
        <v>2432.555908203125</v>
      </c>
      <c r="BA212" s="13">
        <v>24510.91796875</v>
      </c>
      <c r="BB212" s="13">
        <v>9195.7509765625</v>
      </c>
      <c r="BC212" s="13">
        <v>5829.46337890625</v>
      </c>
      <c r="BD212" s="13">
        <v>26072.82421875</v>
      </c>
      <c r="BE212" s="13">
        <v>23680.806640625</v>
      </c>
      <c r="BF212" s="13">
        <v>29691.12109375</v>
      </c>
      <c r="BG212" s="13">
        <v>18845.83984375</v>
      </c>
      <c r="BH212" s="13">
        <v>2340.950439453125</v>
      </c>
      <c r="BI212" s="13">
        <v>2974.0615234375</v>
      </c>
      <c r="BJ212" s="13">
        <v>5010.82373046875</v>
      </c>
      <c r="BK212" s="13">
        <v>1696.9248046875</v>
      </c>
      <c r="BL212" s="13">
        <v>3263.011962890625</v>
      </c>
      <c r="BM212" s="13">
        <v>4125.64794921875</v>
      </c>
      <c r="BN212" s="13">
        <v>10525.4228515625</v>
      </c>
      <c r="BO212" s="13">
        <v>3807.86083984375</v>
      </c>
      <c r="BP212" s="13">
        <v>8144.34326171875</v>
      </c>
      <c r="BQ212" s="13"/>
      <c r="BR212" s="13"/>
    </row>
    <row r="213" spans="2:70" x14ac:dyDescent="0.2">
      <c r="B213">
        <v>2008</v>
      </c>
      <c r="C213" s="13">
        <v>11707.1572265625</v>
      </c>
      <c r="D213" s="13">
        <v>30922.466796875</v>
      </c>
      <c r="E213" s="13">
        <v>39083.07421875</v>
      </c>
      <c r="F213" s="13">
        <v>11801.6708984375</v>
      </c>
      <c r="G213" s="13">
        <v>12638.8232421875</v>
      </c>
      <c r="H213" s="13">
        <v>3471.180908203125</v>
      </c>
      <c r="I213" s="13">
        <v>18307.310546875</v>
      </c>
      <c r="J213" s="13">
        <v>9327.4921875</v>
      </c>
      <c r="K213" s="13">
        <v>3981.23681640625</v>
      </c>
      <c r="L213" s="13">
        <v>37192.48828125</v>
      </c>
      <c r="M213" s="13">
        <v>41518.70703125</v>
      </c>
      <c r="N213" s="13">
        <v>29077.5859375</v>
      </c>
      <c r="O213" s="13">
        <v>34100.06640625</v>
      </c>
      <c r="P213" s="13">
        <v>34544.06640625</v>
      </c>
      <c r="Q213" s="13">
        <v>33909.890625</v>
      </c>
      <c r="R213" s="13">
        <v>41609.828125</v>
      </c>
      <c r="S213" s="13">
        <v>59646.82421875</v>
      </c>
      <c r="T213" s="13">
        <v>39181</v>
      </c>
      <c r="U213" s="13">
        <v>34829.98046875</v>
      </c>
      <c r="V213" s="13">
        <v>16922.646484375</v>
      </c>
      <c r="W213" s="13">
        <v>40940.69140625</v>
      </c>
      <c r="X213" s="13">
        <v>36536.75390625</v>
      </c>
      <c r="Y213" s="13">
        <v>35571.33984375</v>
      </c>
      <c r="Z213" s="13">
        <v>22979.4296875</v>
      </c>
      <c r="AA213" s="13">
        <v>5218.37255859375</v>
      </c>
      <c r="AB213" s="13">
        <v>19874.0078125</v>
      </c>
      <c r="AC213" s="13">
        <v>11611.798828125</v>
      </c>
      <c r="AD213" s="13">
        <v>15271.3857421875</v>
      </c>
      <c r="AE213" s="13">
        <v>9164.8271484375</v>
      </c>
      <c r="AF213" s="13">
        <v>13719.25390625</v>
      </c>
      <c r="AG213" s="13">
        <v>9057.20703125</v>
      </c>
      <c r="AH213" s="13">
        <v>57639.7109375</v>
      </c>
      <c r="AI213" s="13">
        <v>10535.91796875</v>
      </c>
      <c r="AJ213" s="13">
        <v>10231.23046875</v>
      </c>
      <c r="AK213" s="13">
        <v>8815.0458984375</v>
      </c>
      <c r="AL213" s="13">
        <v>4532.47802734375</v>
      </c>
      <c r="AM213" s="13">
        <v>45175.65625</v>
      </c>
      <c r="AN213" s="13">
        <v>12855.9541015625</v>
      </c>
      <c r="AO213" s="13">
        <v>10142.7451171875</v>
      </c>
      <c r="AP213" s="13">
        <v>790.74395751953125</v>
      </c>
      <c r="AQ213" s="13">
        <v>2167.654296875</v>
      </c>
      <c r="AR213" s="13">
        <v>1022.9811401367188</v>
      </c>
      <c r="AS213" s="13">
        <v>2744.54052734375</v>
      </c>
      <c r="AT213" s="13">
        <v>1796.116455078125</v>
      </c>
      <c r="AU213" s="13">
        <v>908.32666015625</v>
      </c>
      <c r="AV213" s="13">
        <v>3771.160888671875</v>
      </c>
      <c r="AW213" s="13">
        <v>1262.5009765625</v>
      </c>
      <c r="AX213" s="13">
        <v>1896.174560546875</v>
      </c>
      <c r="AY213" s="13">
        <v>9461.904296875</v>
      </c>
      <c r="AZ213" s="13">
        <v>3029.81787109375</v>
      </c>
      <c r="BA213" s="13">
        <v>26141.31640625</v>
      </c>
      <c r="BB213" s="13">
        <v>9649.2470703125</v>
      </c>
      <c r="BC213" s="13">
        <v>6201.61083984375</v>
      </c>
      <c r="BD213" s="13">
        <v>25430.705078125</v>
      </c>
      <c r="BE213" s="13">
        <v>24018.392578125</v>
      </c>
      <c r="BF213" s="13">
        <v>29373.03515625</v>
      </c>
      <c r="BG213" s="13">
        <v>19611.939453125</v>
      </c>
      <c r="BH213" s="13">
        <v>2492.96630859375</v>
      </c>
      <c r="BI213" s="13">
        <v>3067.933349609375</v>
      </c>
      <c r="BJ213" s="13">
        <v>5246.38427734375</v>
      </c>
      <c r="BK213" s="13">
        <v>1862.235107421875</v>
      </c>
      <c r="BL213" s="13">
        <v>3271.0615234375</v>
      </c>
      <c r="BM213" s="13">
        <v>4205.357421875</v>
      </c>
      <c r="BN213" s="13">
        <v>10571.447265625</v>
      </c>
      <c r="BO213" s="13">
        <v>4111.3232421875</v>
      </c>
      <c r="BP213" s="13">
        <v>8339.8544921875</v>
      </c>
      <c r="BQ213" s="13"/>
      <c r="BR213" s="13"/>
    </row>
    <row r="214" spans="2:70" x14ac:dyDescent="0.2">
      <c r="B214">
        <v>2009</v>
      </c>
      <c r="C214" s="13">
        <v>11280.517578125</v>
      </c>
      <c r="D214" s="13">
        <v>29424.32421875</v>
      </c>
      <c r="E214" s="13">
        <v>37436.9375</v>
      </c>
      <c r="F214" s="13">
        <v>11342.9697265625</v>
      </c>
      <c r="G214" s="13">
        <v>12195.310546875</v>
      </c>
      <c r="H214" s="13">
        <v>3507.187255859375</v>
      </c>
      <c r="I214" s="13">
        <v>16792.638671875</v>
      </c>
      <c r="J214" s="13">
        <v>9419.078125</v>
      </c>
      <c r="K214" s="13">
        <v>4047.171630859375</v>
      </c>
      <c r="L214" s="13">
        <v>35182.94140625</v>
      </c>
      <c r="M214" s="13">
        <v>39203.21484375</v>
      </c>
      <c r="N214" s="13">
        <v>27578.693359375</v>
      </c>
      <c r="O214" s="13">
        <v>32748.23046875</v>
      </c>
      <c r="P214" s="13">
        <v>32527.4140625</v>
      </c>
      <c r="Q214" s="13">
        <v>31959.57421875</v>
      </c>
      <c r="R214" s="13">
        <v>39607.2734375</v>
      </c>
      <c r="S214" s="13">
        <v>58291.51953125</v>
      </c>
      <c r="T214" s="13">
        <v>36327.23046875</v>
      </c>
      <c r="U214" s="13">
        <v>33514.359375</v>
      </c>
      <c r="V214" s="13">
        <v>16162.9208984375</v>
      </c>
      <c r="W214" s="13">
        <v>39110.0625</v>
      </c>
      <c r="X214" s="13">
        <v>35024.92578125</v>
      </c>
      <c r="Y214" s="13">
        <v>35394.58203125</v>
      </c>
      <c r="Z214" s="13">
        <v>24793.607421875</v>
      </c>
      <c r="AA214" s="13">
        <v>5109.03564453125</v>
      </c>
      <c r="AB214" s="13">
        <v>18052.41796875</v>
      </c>
      <c r="AC214" s="13">
        <v>11448.5771484375</v>
      </c>
      <c r="AD214" s="13">
        <v>14945.2744140625</v>
      </c>
      <c r="AE214" s="13">
        <v>9176.91796875</v>
      </c>
      <c r="AF214" s="13">
        <v>12588.4287109375</v>
      </c>
      <c r="AG214" s="13">
        <v>8940.1083984375</v>
      </c>
      <c r="AH214" s="13">
        <v>51836.98828125</v>
      </c>
      <c r="AI214" s="13">
        <v>10258.3212890625</v>
      </c>
      <c r="AJ214" s="13">
        <v>10229.7119140625</v>
      </c>
      <c r="AK214" s="13">
        <v>8763.9677734375</v>
      </c>
      <c r="AL214" s="13">
        <v>4870.853515625</v>
      </c>
      <c r="AM214" s="13">
        <v>42095.19140625</v>
      </c>
      <c r="AN214" s="13">
        <v>11839.6298828125</v>
      </c>
      <c r="AO214" s="13">
        <v>9941.4130859375</v>
      </c>
      <c r="AP214" s="13">
        <v>753.71978759765625</v>
      </c>
      <c r="AQ214" s="13">
        <v>2182.0068359375</v>
      </c>
      <c r="AR214" s="13">
        <v>1092.0584716796875</v>
      </c>
      <c r="AS214" s="13">
        <v>2771.3271484375</v>
      </c>
      <c r="AT214" s="13">
        <v>1806.3177490234375</v>
      </c>
      <c r="AU214" s="13">
        <v>870.05999755859375</v>
      </c>
      <c r="AV214" s="13">
        <v>3884.897216796875</v>
      </c>
      <c r="AW214" s="13">
        <v>1301.7943115234375</v>
      </c>
      <c r="AX214" s="13">
        <v>1813.0013427734375</v>
      </c>
      <c r="AY214" s="13">
        <v>9179.1875</v>
      </c>
      <c r="AZ214" s="13">
        <v>3143.4267578125</v>
      </c>
      <c r="BA214" s="13">
        <v>23968.080078125</v>
      </c>
      <c r="BB214" s="13">
        <v>8920.0068359375</v>
      </c>
      <c r="BC214" s="13">
        <v>6604.59619140625</v>
      </c>
      <c r="BD214" s="13">
        <v>23677.55859375</v>
      </c>
      <c r="BE214" s="13">
        <v>23823.263671875</v>
      </c>
      <c r="BF214" s="13">
        <v>28960.61328125</v>
      </c>
      <c r="BG214" s="13">
        <v>18306.4296875</v>
      </c>
      <c r="BH214" s="13">
        <v>2639.10400390625</v>
      </c>
      <c r="BI214" s="13">
        <v>3202.488037109375</v>
      </c>
      <c r="BJ214" s="13">
        <v>5318.08544921875</v>
      </c>
      <c r="BK214" s="13">
        <v>2068.054443359375</v>
      </c>
      <c r="BL214" s="13">
        <v>3326.96142578125</v>
      </c>
      <c r="BM214" s="13">
        <v>4160.99072265625</v>
      </c>
      <c r="BN214" s="13">
        <v>10076.7548828125</v>
      </c>
      <c r="BO214" s="13">
        <v>4525.49658203125</v>
      </c>
      <c r="BP214" s="13">
        <v>8104.078125</v>
      </c>
      <c r="BQ214" s="13"/>
      <c r="BR214" s="13"/>
    </row>
    <row r="215" spans="2:70" x14ac:dyDescent="0.2">
      <c r="B215">
        <v>2010</v>
      </c>
      <c r="C215" s="13">
        <v>11662.9091796875</v>
      </c>
      <c r="D215" s="13">
        <v>30260.240234375</v>
      </c>
      <c r="E215" s="13">
        <v>38460.48046875</v>
      </c>
      <c r="F215" s="13">
        <v>11787.4169921875</v>
      </c>
      <c r="G215" s="13">
        <v>12562.51171875</v>
      </c>
      <c r="H215" s="13">
        <v>3523.697509765625</v>
      </c>
      <c r="I215" s="13">
        <v>17545.529296875</v>
      </c>
      <c r="J215" s="13">
        <v>10107.4326171875</v>
      </c>
      <c r="K215" s="13">
        <v>4304.04736328125</v>
      </c>
      <c r="L215" s="13">
        <v>36685.0546875</v>
      </c>
      <c r="M215" s="13">
        <v>40414.66015625</v>
      </c>
      <c r="N215" s="13">
        <v>27669.712890625</v>
      </c>
      <c r="O215" s="13">
        <v>33483.640625</v>
      </c>
      <c r="P215" s="13">
        <v>33654.3515625</v>
      </c>
      <c r="Q215" s="13">
        <v>32045.658203125</v>
      </c>
      <c r="R215" s="13">
        <v>40752.42578125</v>
      </c>
      <c r="S215" s="13">
        <v>59462.8671875</v>
      </c>
      <c r="T215" s="13">
        <v>38903.65625</v>
      </c>
      <c r="U215" s="13">
        <v>34793.94921875</v>
      </c>
      <c r="V215" s="13">
        <v>16288.2958984375</v>
      </c>
      <c r="W215" s="13">
        <v>40261.25</v>
      </c>
      <c r="X215" s="13">
        <v>35887.33203125</v>
      </c>
      <c r="Y215" s="13">
        <v>35702.71875</v>
      </c>
      <c r="Z215" s="13">
        <v>24831.208984375</v>
      </c>
      <c r="AA215" s="13">
        <v>5185.22998046875</v>
      </c>
      <c r="AB215" s="13">
        <v>19890.853515625</v>
      </c>
      <c r="AC215" s="13">
        <v>12099.6416015625</v>
      </c>
      <c r="AD215" s="13">
        <v>15755.07421875</v>
      </c>
      <c r="AE215" s="13">
        <v>9419.689453125</v>
      </c>
      <c r="AF215" s="13">
        <v>13170.0859375</v>
      </c>
      <c r="AG215" s="13">
        <v>8811.9462890625</v>
      </c>
      <c r="AH215" s="13">
        <v>53893.80859375</v>
      </c>
      <c r="AI215" s="13">
        <v>10754.2314453125</v>
      </c>
      <c r="AJ215" s="13">
        <v>10343.3525390625</v>
      </c>
      <c r="AK215" s="13">
        <v>9407.9677734375</v>
      </c>
      <c r="AL215" s="13">
        <v>5063.89990234375</v>
      </c>
      <c r="AM215" s="13">
        <v>39380.390625</v>
      </c>
      <c r="AN215" s="13">
        <v>12967.6875</v>
      </c>
      <c r="AO215" s="13">
        <v>10209.8369140625</v>
      </c>
      <c r="AP215" s="13">
        <v>771.7445068359375</v>
      </c>
      <c r="AQ215" s="13">
        <v>2299.2451171875</v>
      </c>
      <c r="AR215" s="13">
        <v>1202.968017578125</v>
      </c>
      <c r="AS215" s="13">
        <v>2871.753173828125</v>
      </c>
      <c r="AT215" s="13">
        <v>1861.4390869140625</v>
      </c>
      <c r="AU215" s="13">
        <v>911.3751220703125</v>
      </c>
      <c r="AV215" s="13">
        <v>4066.263671875</v>
      </c>
      <c r="AW215" s="13">
        <v>1363.3966064453125</v>
      </c>
      <c r="AX215" s="13">
        <v>1603.321044921875</v>
      </c>
      <c r="AY215" s="13">
        <v>9489.0771484375</v>
      </c>
      <c r="AZ215" s="13">
        <v>3160.484619140625</v>
      </c>
      <c r="BA215" s="13">
        <v>25094.66796875</v>
      </c>
      <c r="BB215" s="13">
        <v>9320.26171875</v>
      </c>
      <c r="BC215" s="13">
        <v>7164.52099609375</v>
      </c>
      <c r="BD215" s="13">
        <v>24976.287109375</v>
      </c>
      <c r="BE215" s="13">
        <v>25416.3671875</v>
      </c>
      <c r="BF215" s="13">
        <v>31547.71484375</v>
      </c>
      <c r="BG215" s="13">
        <v>19478.66015625</v>
      </c>
      <c r="BH215" s="13">
        <v>2828.499755859375</v>
      </c>
      <c r="BI215" s="13">
        <v>3407.0517578125</v>
      </c>
      <c r="BJ215" s="13">
        <v>5488.55712890625</v>
      </c>
      <c r="BK215" s="13">
        <v>2298.93408203125</v>
      </c>
      <c r="BL215" s="13">
        <v>3335.756591796875</v>
      </c>
      <c r="BM215" s="13">
        <v>4374.11962890625</v>
      </c>
      <c r="BN215" s="13">
        <v>10804.1796875</v>
      </c>
      <c r="BO215" s="13">
        <v>4957.7451171875</v>
      </c>
      <c r="BP215" s="13">
        <v>8939.1591796875</v>
      </c>
      <c r="BQ215" s="13"/>
      <c r="BR215" s="13"/>
    </row>
    <row r="216" spans="2:70" x14ac:dyDescent="0.2">
      <c r="B216">
        <v>2011</v>
      </c>
      <c r="C216" s="13">
        <v>11890.498046875</v>
      </c>
      <c r="D216" s="13">
        <v>30705.451171875</v>
      </c>
      <c r="E216" s="13">
        <v>38875.90625</v>
      </c>
      <c r="F216" s="13">
        <v>12194.423828125</v>
      </c>
      <c r="G216" s="13">
        <v>13075.8583984375</v>
      </c>
      <c r="H216" s="13">
        <v>3592.135498046875</v>
      </c>
      <c r="I216" s="13">
        <v>17673.884765625</v>
      </c>
      <c r="J216" s="13">
        <v>10595.6005859375</v>
      </c>
      <c r="K216" s="13">
        <v>4513.40576171875</v>
      </c>
      <c r="L216" s="13">
        <v>38436.6953125</v>
      </c>
      <c r="M216" s="13">
        <v>41106.27734375</v>
      </c>
      <c r="N216" s="13">
        <v>27425.640625</v>
      </c>
      <c r="O216" s="13">
        <v>34137.6484375</v>
      </c>
      <c r="P216" s="13">
        <v>33602.453125</v>
      </c>
      <c r="Q216" s="13">
        <v>32053.669921875</v>
      </c>
      <c r="R216" s="13">
        <v>41755.671875</v>
      </c>
      <c r="S216" s="13">
        <v>59298.19140625</v>
      </c>
      <c r="T216" s="13">
        <v>39459.4609375</v>
      </c>
      <c r="U216" s="13">
        <v>34126.40625</v>
      </c>
      <c r="V216" s="13">
        <v>16942.41015625</v>
      </c>
      <c r="W216" s="13">
        <v>40663.1015625</v>
      </c>
      <c r="X216" s="13">
        <v>36577.1640625</v>
      </c>
      <c r="Y216" s="13">
        <v>36601.3203125</v>
      </c>
      <c r="Z216" s="13">
        <v>25421.142578125</v>
      </c>
      <c r="AA216" s="13">
        <v>4706.361328125</v>
      </c>
      <c r="AB216" s="13">
        <v>21052.623046875</v>
      </c>
      <c r="AC216" s="13">
        <v>12566.6572265625</v>
      </c>
      <c r="AD216" s="13">
        <v>16081.798828125</v>
      </c>
      <c r="AE216" s="13">
        <v>9872.6982421875</v>
      </c>
      <c r="AF216" s="13">
        <v>13401.6669921875</v>
      </c>
      <c r="AG216" s="13">
        <v>9113.720703125</v>
      </c>
      <c r="AH216" s="13">
        <v>55839.2578125</v>
      </c>
      <c r="AI216" s="13">
        <v>10825.384765625</v>
      </c>
      <c r="AJ216" s="13">
        <v>10359.046875</v>
      </c>
      <c r="AK216" s="13">
        <v>9739.185546875</v>
      </c>
      <c r="AL216" s="13">
        <v>5332.25927734375</v>
      </c>
      <c r="AM216" s="13">
        <v>42671.60546875</v>
      </c>
      <c r="AN216" s="13">
        <v>14366.0166015625</v>
      </c>
      <c r="AO216" s="13">
        <v>10016.1630859375</v>
      </c>
      <c r="AP216" s="13">
        <v>805.1533203125</v>
      </c>
      <c r="AQ216" s="13">
        <v>2259.28466796875</v>
      </c>
      <c r="AR216" s="13">
        <v>1293.48779296875</v>
      </c>
      <c r="AS216" s="13">
        <v>2918.3935546875</v>
      </c>
      <c r="AT216" s="13">
        <v>1864.0809326171875</v>
      </c>
      <c r="AU216" s="13">
        <v>907.814697265625</v>
      </c>
      <c r="AV216" s="13">
        <v>4305.97412109375</v>
      </c>
      <c r="AW216" s="13">
        <v>1433.056884765625</v>
      </c>
      <c r="AX216" s="13">
        <v>1648.9764404296875</v>
      </c>
      <c r="AY216" s="13">
        <v>9705.4765625</v>
      </c>
      <c r="AZ216" s="13">
        <v>3207.995361328125</v>
      </c>
      <c r="BA216" s="13">
        <v>24973.458984375</v>
      </c>
      <c r="BB216" s="13">
        <v>9834.931640625</v>
      </c>
      <c r="BC216" s="13">
        <v>7677.89697265625</v>
      </c>
      <c r="BD216" s="13">
        <v>25173.9921875</v>
      </c>
      <c r="BE216" s="13">
        <v>26298.115234375</v>
      </c>
      <c r="BF216" s="13">
        <v>32589.546875</v>
      </c>
      <c r="BG216" s="13">
        <v>20695.2265625</v>
      </c>
      <c r="BH216" s="13">
        <v>3045.16455078125</v>
      </c>
      <c r="BI216" s="13">
        <v>3581.33251953125</v>
      </c>
      <c r="BJ216" s="13">
        <v>5761.216796875</v>
      </c>
      <c r="BK216" s="13">
        <v>2449.732666015625</v>
      </c>
      <c r="BL216" s="13">
        <v>3397.220947265625</v>
      </c>
      <c r="BM216" s="13">
        <v>4499.19482421875</v>
      </c>
      <c r="BN216" s="13">
        <v>11120.6728515625</v>
      </c>
      <c r="BO216" s="13">
        <v>5219.40771484375</v>
      </c>
      <c r="BP216" s="13">
        <v>9483.9423828125</v>
      </c>
      <c r="BQ216" s="13"/>
      <c r="BR216" s="13"/>
    </row>
    <row r="217" spans="2:70" x14ac:dyDescent="0.2">
      <c r="B217">
        <v>2012</v>
      </c>
      <c r="C217" s="13">
        <v>11995.2705078125</v>
      </c>
      <c r="D217" s="13">
        <v>30482.41015625</v>
      </c>
      <c r="E217" s="13">
        <v>39448.4765625</v>
      </c>
      <c r="F217" s="13">
        <v>12380.6611328125</v>
      </c>
      <c r="G217" s="13">
        <v>13343.8544921875</v>
      </c>
      <c r="H217" s="13">
        <v>3131.143310546875</v>
      </c>
      <c r="I217" s="13">
        <v>18218.140625</v>
      </c>
      <c r="J217" s="13">
        <v>11106.408203125</v>
      </c>
      <c r="K217" s="13">
        <v>4666.7294921875</v>
      </c>
      <c r="L217" s="13">
        <v>38449.046875</v>
      </c>
      <c r="M217" s="13">
        <v>40926.84765625</v>
      </c>
      <c r="N217" s="13">
        <v>26722.21875</v>
      </c>
      <c r="O217" s="13">
        <v>33812.00390625</v>
      </c>
      <c r="P217" s="13">
        <v>33273.3359375</v>
      </c>
      <c r="Q217" s="13">
        <v>30756.98828125</v>
      </c>
      <c r="R217" s="13">
        <v>41126.16796875</v>
      </c>
      <c r="S217" s="13">
        <v>60247.56640625</v>
      </c>
      <c r="T217" s="13">
        <v>38994.71484375</v>
      </c>
      <c r="U217" s="13">
        <v>34186.5390625</v>
      </c>
      <c r="V217" s="13">
        <v>17113.453125</v>
      </c>
      <c r="W217" s="13">
        <v>41249.69140625</v>
      </c>
      <c r="X217" s="13">
        <v>37052.9921875</v>
      </c>
      <c r="Y217" s="13">
        <v>37608.04296875</v>
      </c>
      <c r="Z217" s="13">
        <v>26252.63671875</v>
      </c>
      <c r="AA217" s="13">
        <v>4813.796875</v>
      </c>
      <c r="AB217" s="13">
        <v>20516.4140625</v>
      </c>
      <c r="AC217" s="13">
        <v>12710.037109375</v>
      </c>
      <c r="AD217" s="13">
        <v>17480.306640625</v>
      </c>
      <c r="AE217" s="13">
        <v>10228.3505859375</v>
      </c>
      <c r="AF217" s="13">
        <v>13573.8076171875</v>
      </c>
      <c r="AG217" s="13">
        <v>9347.76171875</v>
      </c>
      <c r="AH217" s="13">
        <v>56194.72265625</v>
      </c>
      <c r="AI217" s="13">
        <v>10791.533203125</v>
      </c>
      <c r="AJ217" s="13">
        <v>10540.5302734375</v>
      </c>
      <c r="AK217" s="13">
        <v>8969.615234375</v>
      </c>
      <c r="AL217" s="13">
        <v>5428.2119140625</v>
      </c>
      <c r="AM217" s="13">
        <v>43593.30078125</v>
      </c>
      <c r="AN217" s="13">
        <v>14830.1748046875</v>
      </c>
      <c r="AO217" s="13">
        <v>10480.8720703125</v>
      </c>
      <c r="AP217" s="13">
        <v>839.931396484375</v>
      </c>
      <c r="AQ217" s="13">
        <v>2591.2119140625</v>
      </c>
      <c r="AR217" s="13">
        <v>1370.0640869140625</v>
      </c>
      <c r="AS217" s="13">
        <v>2934.071044921875</v>
      </c>
      <c r="AT217" s="13">
        <v>1782.682861328125</v>
      </c>
      <c r="AU217" s="13">
        <v>977.72686767578125</v>
      </c>
      <c r="AV217" s="13">
        <v>4572.2626953125</v>
      </c>
      <c r="AW217" s="13">
        <v>1505.6103515625</v>
      </c>
      <c r="AX217" s="13">
        <v>1677.7659912109375</v>
      </c>
      <c r="AY217" s="13">
        <v>9749.4326171875</v>
      </c>
      <c r="AZ217" s="13">
        <v>2390.943603515625</v>
      </c>
      <c r="BA217" s="13">
        <v>25891.060546875</v>
      </c>
      <c r="BB217" s="13">
        <v>10017.55859375</v>
      </c>
      <c r="BC217" s="13">
        <v>8232.83203125</v>
      </c>
      <c r="BD217" s="13">
        <v>25630.9609375</v>
      </c>
      <c r="BE217" s="13">
        <v>26670.89453125</v>
      </c>
      <c r="BF217" s="13">
        <v>33458.1640625</v>
      </c>
      <c r="BG217" s="13">
        <v>20779.099609375</v>
      </c>
      <c r="BH217" s="13">
        <v>3257.45849609375</v>
      </c>
      <c r="BI217" s="13">
        <v>3703.767822265625</v>
      </c>
      <c r="BJ217" s="13">
        <v>6002.38330078125</v>
      </c>
      <c r="BK217" s="13">
        <v>2581.490966796875</v>
      </c>
      <c r="BL217" s="13">
        <v>3454.695068359375</v>
      </c>
      <c r="BM217" s="13">
        <v>4701.546875</v>
      </c>
      <c r="BN217" s="13">
        <v>11455.7490234375</v>
      </c>
      <c r="BO217" s="13">
        <v>5350.36279296875</v>
      </c>
      <c r="BP217" s="13">
        <v>9708.103515625</v>
      </c>
      <c r="BQ217" s="13"/>
      <c r="BR217" s="13"/>
    </row>
    <row r="218" spans="2:70" x14ac:dyDescent="0.2">
      <c r="B218">
        <v>2013</v>
      </c>
      <c r="C218" s="13">
        <v>12165.376953125</v>
      </c>
      <c r="D218" s="13">
        <v>30570.23828125</v>
      </c>
      <c r="E218" s="13">
        <v>39860.70703125</v>
      </c>
      <c r="F218" s="13">
        <v>12578.90625</v>
      </c>
      <c r="G218" s="13">
        <v>13551.076171875</v>
      </c>
      <c r="H218" s="13">
        <v>3313.601318359375</v>
      </c>
      <c r="I218" s="13">
        <v>18423.302734375</v>
      </c>
      <c r="J218" s="13">
        <v>11629.3193359375</v>
      </c>
      <c r="K218" s="13">
        <v>4850.892578125</v>
      </c>
      <c r="L218" s="13">
        <v>38534.44921875</v>
      </c>
      <c r="M218" s="13">
        <v>41965.6875</v>
      </c>
      <c r="N218" s="13">
        <v>26568.12109375</v>
      </c>
      <c r="O218" s="13">
        <v>33991.1015625</v>
      </c>
      <c r="P218" s="13">
        <v>33611.94140625</v>
      </c>
      <c r="Q218" s="13">
        <v>30120.919921875</v>
      </c>
      <c r="R218" s="13">
        <v>41387.75390625</v>
      </c>
      <c r="S218" s="13">
        <v>60611.7109375</v>
      </c>
      <c r="T218" s="13">
        <v>39243.42578125</v>
      </c>
      <c r="U218" s="13">
        <v>34031.72265625</v>
      </c>
      <c r="V218" s="13">
        <v>17314.298828125</v>
      </c>
      <c r="W218" s="13">
        <v>41684.5703125</v>
      </c>
      <c r="X218" s="13">
        <v>37621.67578125</v>
      </c>
      <c r="Y218" s="13">
        <v>37941.4375</v>
      </c>
      <c r="Z218" s="13">
        <v>26835.634765625</v>
      </c>
      <c r="AA218" s="13">
        <v>4849.82470703125</v>
      </c>
      <c r="AB218" s="13">
        <v>20250.453125</v>
      </c>
      <c r="AC218" s="13">
        <v>13171.7392578125</v>
      </c>
      <c r="AD218" s="13">
        <v>18103.3125</v>
      </c>
      <c r="AE218" s="13">
        <v>10703.375</v>
      </c>
      <c r="AF218" s="13">
        <v>13411.28515625</v>
      </c>
      <c r="AG218" s="13">
        <v>9539.0283203125</v>
      </c>
      <c r="AH218" s="13">
        <v>56900.4765625</v>
      </c>
      <c r="AI218" s="13">
        <v>10727.60546875</v>
      </c>
      <c r="AJ218" s="13">
        <v>10619.837890625</v>
      </c>
      <c r="AK218" s="13">
        <v>8554.6611328125</v>
      </c>
      <c r="AL218" s="13">
        <v>5721.66162109375</v>
      </c>
      <c r="AM218" s="13">
        <v>42809.84375</v>
      </c>
      <c r="AN218" s="13">
        <v>15911.6806640625</v>
      </c>
      <c r="AO218" s="13">
        <v>10628.658203125</v>
      </c>
      <c r="AP218" s="13">
        <v>834.0980224609375</v>
      </c>
      <c r="AQ218" s="13">
        <v>2954.948974609375</v>
      </c>
      <c r="AR218" s="13">
        <v>1471.9644775390625</v>
      </c>
      <c r="AS218" s="13">
        <v>2956.14892578125</v>
      </c>
      <c r="AT218" s="13">
        <v>1797.0550537109375</v>
      </c>
      <c r="AU218" s="13">
        <v>986.35162353515625</v>
      </c>
      <c r="AV218" s="13">
        <v>4868.0849609375</v>
      </c>
      <c r="AW218" s="13">
        <v>1525.3310546875</v>
      </c>
      <c r="AX218" s="13">
        <v>1686.6929931640625</v>
      </c>
      <c r="AY218" s="13">
        <v>9773.591796875</v>
      </c>
      <c r="AZ218" s="13">
        <v>2636.5048828125</v>
      </c>
      <c r="BA218" s="13">
        <v>26118.341796875</v>
      </c>
      <c r="BB218" s="13">
        <v>10275.6796875</v>
      </c>
      <c r="BC218" s="13">
        <v>8756.677734375</v>
      </c>
      <c r="BD218" s="13">
        <v>26362.533203125</v>
      </c>
      <c r="BE218" s="13">
        <v>27231.54296875</v>
      </c>
      <c r="BF218" s="13">
        <v>33826.65625</v>
      </c>
      <c r="BG218" s="13">
        <v>21494.49609375</v>
      </c>
      <c r="BH218" s="13">
        <v>3471.560791015625</v>
      </c>
      <c r="BI218" s="13">
        <v>3848.764404296875</v>
      </c>
      <c r="BJ218" s="13">
        <v>6283.46630859375</v>
      </c>
      <c r="BK218" s="13">
        <v>2784.6904296875</v>
      </c>
      <c r="BL218" s="13">
        <v>3543.95947265625</v>
      </c>
      <c r="BM218" s="13">
        <v>4942.8388671875</v>
      </c>
      <c r="BN218" s="13">
        <v>11385.4306640625</v>
      </c>
      <c r="BO218" s="13">
        <v>5561.498046875</v>
      </c>
      <c r="BP218" s="13">
        <v>10169.080078125</v>
      </c>
      <c r="BQ218" s="13"/>
      <c r="BR218" s="13"/>
    </row>
    <row r="219" spans="2:70" x14ac:dyDescent="0.2">
      <c r="B219">
        <v>2014</v>
      </c>
      <c r="C219" s="13">
        <v>12372.9169921875</v>
      </c>
      <c r="D219" s="13">
        <v>30962.154296875</v>
      </c>
      <c r="E219" s="13">
        <v>40443.52734375</v>
      </c>
      <c r="F219" s="13">
        <v>12644.27734375</v>
      </c>
      <c r="G219" s="13">
        <v>13647.7109375</v>
      </c>
      <c r="H219" s="13">
        <v>3578.922607421875</v>
      </c>
      <c r="I219" s="13">
        <v>17989.525390625</v>
      </c>
      <c r="J219" s="13">
        <v>12217.5458984375</v>
      </c>
      <c r="K219" s="13">
        <v>5035.79345703125</v>
      </c>
      <c r="L219" s="13">
        <v>39034.25390625</v>
      </c>
      <c r="M219" s="13">
        <v>42737.37890625</v>
      </c>
      <c r="N219" s="13">
        <v>27121.76171875</v>
      </c>
      <c r="O219" s="13">
        <v>34031.625</v>
      </c>
      <c r="P219" s="13">
        <v>34089.1484375</v>
      </c>
      <c r="Q219" s="13">
        <v>30157.837890625</v>
      </c>
      <c r="R219" s="13">
        <v>41671.09375</v>
      </c>
      <c r="S219" s="13">
        <v>62722.23046875</v>
      </c>
      <c r="T219" s="13">
        <v>39713.90234375</v>
      </c>
      <c r="U219" s="13">
        <v>34136.21484375</v>
      </c>
      <c r="V219" s="13">
        <v>17859.107421875</v>
      </c>
      <c r="W219" s="13">
        <v>42297.171875</v>
      </c>
      <c r="X219" s="13">
        <v>38457.23828125</v>
      </c>
      <c r="Y219" s="13">
        <v>38346.27734375</v>
      </c>
      <c r="Z219" s="13">
        <v>26954.556640625</v>
      </c>
      <c r="AA219" s="13">
        <v>5079.38623046875</v>
      </c>
      <c r="AB219" s="13">
        <v>20284.072265625</v>
      </c>
      <c r="AC219" s="13">
        <v>13068.90625</v>
      </c>
      <c r="AD219" s="13">
        <v>18280.94140625</v>
      </c>
      <c r="AE219" s="13">
        <v>11240.11328125</v>
      </c>
      <c r="AF219" s="13">
        <v>13690.6923828125</v>
      </c>
      <c r="AG219" s="13">
        <v>9528.037109375</v>
      </c>
      <c r="AH219" s="13">
        <v>56767.0625</v>
      </c>
      <c r="AI219" s="13">
        <v>10787.0205078125</v>
      </c>
      <c r="AJ219" s="13">
        <v>10774.8251953125</v>
      </c>
      <c r="AK219" s="13">
        <v>8762.4873046875</v>
      </c>
      <c r="AL219" s="13">
        <v>5902.25244140625</v>
      </c>
      <c r="AM219" s="13">
        <v>42924.61328125</v>
      </c>
      <c r="AN219" s="13">
        <v>16267.703125</v>
      </c>
      <c r="AO219" s="13">
        <v>10399.4970703125</v>
      </c>
      <c r="AP219" s="13">
        <v>957.1424560546875</v>
      </c>
      <c r="AQ219" s="13">
        <v>3312.665283203125</v>
      </c>
      <c r="AR219" s="13">
        <v>1578.7572021484375</v>
      </c>
      <c r="AS219" s="13">
        <v>3040.14013671875</v>
      </c>
      <c r="AT219" s="13">
        <v>1865.6640625</v>
      </c>
      <c r="AU219" s="13">
        <v>1024.401123046875</v>
      </c>
      <c r="AV219" s="13">
        <v>5321.1435546875</v>
      </c>
      <c r="AW219" s="13">
        <v>1569.5469970703125</v>
      </c>
      <c r="AX219" s="13">
        <v>1820.7120361328125</v>
      </c>
      <c r="AY219" s="13">
        <v>9741.3115234375</v>
      </c>
      <c r="AZ219" s="13">
        <v>2944.175048828125</v>
      </c>
      <c r="BA219" s="13">
        <v>25411.861328125</v>
      </c>
      <c r="BB219" s="13">
        <v>10208.5888671875</v>
      </c>
      <c r="BC219" s="13">
        <v>9403.8583984375</v>
      </c>
      <c r="BD219" s="13">
        <v>26663.017578125</v>
      </c>
      <c r="BE219" s="13">
        <v>27773.388671875</v>
      </c>
      <c r="BF219" s="13">
        <v>35613.34375</v>
      </c>
      <c r="BG219" s="13">
        <v>21623.294921875</v>
      </c>
      <c r="BH219" s="13">
        <v>3723.2421875</v>
      </c>
      <c r="BI219" s="13">
        <v>4035.82958984375</v>
      </c>
      <c r="BJ219" s="13">
        <v>6464.8505859375</v>
      </c>
      <c r="BK219" s="13">
        <v>2941.427001953125</v>
      </c>
      <c r="BL219" s="13">
        <v>3645.734130859375</v>
      </c>
      <c r="BM219" s="13">
        <v>5157.09716796875</v>
      </c>
      <c r="BN219" s="13">
        <v>11451.271484375</v>
      </c>
      <c r="BO219" s="13">
        <v>5796.77685546875</v>
      </c>
      <c r="BP219" s="13">
        <v>10452.1796875</v>
      </c>
      <c r="BQ219" s="13"/>
      <c r="BR219" s="13"/>
    </row>
    <row r="220" spans="2:70" x14ac:dyDescent="0.2">
      <c r="B220">
        <v>2015</v>
      </c>
      <c r="C220" s="13">
        <v>12582.2646484375</v>
      </c>
      <c r="D220" s="13">
        <v>31524.966796875</v>
      </c>
      <c r="E220" s="13">
        <v>41094.9765625</v>
      </c>
      <c r="F220" s="13">
        <v>12621.8720703125</v>
      </c>
      <c r="G220" s="13">
        <v>13704.4384765625</v>
      </c>
      <c r="H220" s="13">
        <v>3616.33837890625</v>
      </c>
      <c r="I220" s="13">
        <v>17669.759765625</v>
      </c>
      <c r="J220" s="13">
        <v>12742.1865234375</v>
      </c>
      <c r="K220" s="13">
        <v>5305.28466796875</v>
      </c>
      <c r="L220" s="13">
        <v>39526.09765625</v>
      </c>
      <c r="M220" s="13">
        <v>42769.8125</v>
      </c>
      <c r="N220" s="13">
        <v>28507.087890625</v>
      </c>
      <c r="O220" s="13">
        <v>34261.30078125</v>
      </c>
      <c r="P220" s="13">
        <v>34926.7421875</v>
      </c>
      <c r="Q220" s="13">
        <v>30367.369140625</v>
      </c>
      <c r="R220" s="13">
        <v>41387.01953125</v>
      </c>
      <c r="S220" s="13">
        <v>63668.3359375</v>
      </c>
      <c r="T220" s="13">
        <v>40264.0390625</v>
      </c>
      <c r="U220" s="13">
        <v>34472.1171875</v>
      </c>
      <c r="V220" s="13">
        <v>18521.84375</v>
      </c>
      <c r="W220" s="13">
        <v>43109.2734375</v>
      </c>
      <c r="X220" s="13">
        <v>38254.8984375</v>
      </c>
      <c r="Y220" s="13">
        <v>38429.9140625</v>
      </c>
      <c r="Z220" s="13">
        <v>27757.552734375</v>
      </c>
      <c r="AA220" s="13">
        <v>5065.45751953125</v>
      </c>
      <c r="AB220" s="13">
        <v>21141.392578125</v>
      </c>
      <c r="AC220" s="13">
        <v>12459.7431640625</v>
      </c>
      <c r="AD220" s="13">
        <v>18723.6640625</v>
      </c>
      <c r="AE220" s="13">
        <v>11687.8544921875</v>
      </c>
      <c r="AF220" s="13">
        <v>13766.14453125</v>
      </c>
      <c r="AG220" s="13">
        <v>9681.44921875</v>
      </c>
      <c r="AH220" s="13">
        <v>57213.51171875</v>
      </c>
      <c r="AI220" s="13">
        <v>10710.2783203125</v>
      </c>
      <c r="AJ220" s="13">
        <v>11096.3447265625</v>
      </c>
      <c r="AK220" s="13">
        <v>8438.232421875</v>
      </c>
      <c r="AL220" s="13">
        <v>6112.57275390625</v>
      </c>
      <c r="AM220" s="13">
        <v>41712.890625</v>
      </c>
      <c r="AN220" s="13">
        <v>16769.736328125</v>
      </c>
      <c r="AO220" s="13">
        <v>10370.173828125</v>
      </c>
      <c r="AP220" s="13">
        <v>968.94354248046875</v>
      </c>
      <c r="AQ220" s="13">
        <v>3677.72509765625</v>
      </c>
      <c r="AR220" s="13">
        <v>1668.6434326171875</v>
      </c>
      <c r="AS220" s="13">
        <v>3150.04736328125</v>
      </c>
      <c r="AT220" s="13">
        <v>1931.0721435546875</v>
      </c>
      <c r="AU220" s="13">
        <v>1033.037841796875</v>
      </c>
      <c r="AV220" s="13">
        <v>5570.6630859375</v>
      </c>
      <c r="AW220" s="13">
        <v>1683.032470703125</v>
      </c>
      <c r="AX220" s="13">
        <v>1843.458740234375</v>
      </c>
      <c r="AY220" s="13">
        <v>9699.642578125</v>
      </c>
      <c r="AZ220" s="13">
        <v>2943.30078125</v>
      </c>
      <c r="BA220" s="13">
        <v>24917.85546875</v>
      </c>
      <c r="BB220" s="13">
        <v>10136.953125</v>
      </c>
      <c r="BC220" s="13">
        <v>9968.2490234375</v>
      </c>
      <c r="BD220" s="13">
        <v>27236.732421875</v>
      </c>
      <c r="BE220" s="13">
        <v>28444.853515625</v>
      </c>
      <c r="BF220" s="13">
        <v>35792.6328125</v>
      </c>
      <c r="BG220" s="13">
        <v>21152.28515625</v>
      </c>
      <c r="BH220" s="13">
        <v>4027.91845703125</v>
      </c>
      <c r="BI220" s="13">
        <v>4330.34912109375</v>
      </c>
      <c r="BJ220" s="13">
        <v>6722.43701171875</v>
      </c>
      <c r="BK220" s="13">
        <v>3138.803955078125</v>
      </c>
      <c r="BL220" s="13">
        <v>3786.404296875</v>
      </c>
      <c r="BM220" s="13">
        <v>5471.11376953125</v>
      </c>
      <c r="BN220" s="13">
        <v>11708.7705078125</v>
      </c>
      <c r="BO220" s="13">
        <v>6110.36962890625</v>
      </c>
      <c r="BP220" s="13">
        <v>10764.2939453125</v>
      </c>
      <c r="BQ220" s="13"/>
      <c r="BR220" s="13"/>
    </row>
    <row r="221" spans="2:70" x14ac:dyDescent="0.2">
      <c r="B221">
        <v>2016</v>
      </c>
      <c r="C221" s="13">
        <v>12722.0625</v>
      </c>
      <c r="D221" s="13">
        <v>32087.6640625</v>
      </c>
      <c r="E221" s="13">
        <v>41324.45703125</v>
      </c>
      <c r="F221" s="13">
        <v>12345.552734375</v>
      </c>
      <c r="G221" s="13">
        <v>13978.470703125</v>
      </c>
      <c r="H221" s="13">
        <v>3526.80126953125</v>
      </c>
      <c r="I221" s="13">
        <v>16887.287109375</v>
      </c>
      <c r="J221" s="13">
        <v>13249.787109375</v>
      </c>
      <c r="K221" s="13">
        <v>5583.68359375</v>
      </c>
      <c r="L221" s="13">
        <v>40222.74609375</v>
      </c>
      <c r="M221" s="13">
        <v>43514.578125</v>
      </c>
      <c r="N221" s="13">
        <v>29408.99609375</v>
      </c>
      <c r="O221" s="13">
        <v>34403.46875</v>
      </c>
      <c r="P221" s="13">
        <v>35285.18359375</v>
      </c>
      <c r="Q221" s="13">
        <v>31120.787109375</v>
      </c>
      <c r="R221" s="13">
        <v>42600.0625</v>
      </c>
      <c r="S221" s="13">
        <v>63601.8984375</v>
      </c>
      <c r="T221" s="13">
        <v>40566.79296875</v>
      </c>
      <c r="U221" s="13">
        <v>34748.97265625</v>
      </c>
      <c r="V221" s="13">
        <v>19103.857421875</v>
      </c>
      <c r="W221" s="13">
        <v>43388.91796875</v>
      </c>
      <c r="X221" s="13">
        <v>38221.15625</v>
      </c>
      <c r="Y221" s="13">
        <v>38419.76171875</v>
      </c>
      <c r="Z221" s="13">
        <v>29739.744140625</v>
      </c>
      <c r="AA221" s="13">
        <v>5011.2685546875</v>
      </c>
      <c r="AB221" s="13">
        <v>20539.1015625</v>
      </c>
      <c r="AC221" s="13">
        <v>11893.623046875</v>
      </c>
      <c r="AD221" s="13">
        <v>18780.650390625</v>
      </c>
      <c r="AE221" s="13">
        <v>11806.791015625</v>
      </c>
      <c r="AF221" s="13">
        <v>13754.28515625</v>
      </c>
      <c r="AG221" s="13">
        <v>9467.0458984375</v>
      </c>
      <c r="AH221" s="13">
        <v>56141.40625</v>
      </c>
      <c r="AI221" s="13">
        <v>11139.34765625</v>
      </c>
      <c r="AJ221" s="13">
        <v>11385.6103515625</v>
      </c>
      <c r="AK221" s="13">
        <v>9047.927734375</v>
      </c>
      <c r="AL221" s="13">
        <v>6087.958984375</v>
      </c>
      <c r="AM221" s="13">
        <v>41526.765625</v>
      </c>
      <c r="AN221" s="13">
        <v>16969.71484375</v>
      </c>
      <c r="AO221" s="13">
        <v>10647.6650390625</v>
      </c>
      <c r="AP221" s="13">
        <v>980.4749755859375</v>
      </c>
      <c r="AQ221" s="13">
        <v>3817.421875</v>
      </c>
      <c r="AR221" s="13">
        <v>1757.6859130859375</v>
      </c>
      <c r="AS221" s="13">
        <v>3218.616455078125</v>
      </c>
      <c r="AT221" s="13">
        <v>1973.209228515625</v>
      </c>
      <c r="AU221" s="13">
        <v>1036.5494384765625</v>
      </c>
      <c r="AV221" s="13">
        <v>5624.0634765625</v>
      </c>
      <c r="AW221" s="13">
        <v>1693.586181640625</v>
      </c>
      <c r="AX221" s="13">
        <v>1871.5592041015625</v>
      </c>
      <c r="AY221" s="13">
        <v>9605.2275390625</v>
      </c>
      <c r="AZ221" s="13">
        <v>2782.748291015625</v>
      </c>
      <c r="BA221" s="13">
        <v>23710.09765625</v>
      </c>
      <c r="BB221" s="13">
        <v>9865.78515625</v>
      </c>
      <c r="BC221" s="13">
        <v>10526.0556640625</v>
      </c>
      <c r="BD221" s="13">
        <v>27428.720703125</v>
      </c>
      <c r="BE221" s="13">
        <v>29120.34765625</v>
      </c>
      <c r="BF221" s="13">
        <v>36929.296875</v>
      </c>
      <c r="BG221" s="13">
        <v>21590.853515625</v>
      </c>
      <c r="BH221" s="13">
        <v>4305.99609375</v>
      </c>
      <c r="BI221" s="13">
        <v>4644.26416015625</v>
      </c>
      <c r="BJ221" s="13">
        <v>7152.712890625</v>
      </c>
      <c r="BK221" s="13">
        <v>3302.34521484375</v>
      </c>
      <c r="BL221" s="13">
        <v>3941.31884765625</v>
      </c>
      <c r="BM221" s="13">
        <v>5803.73828125</v>
      </c>
      <c r="BN221" s="13">
        <v>12091.634765625</v>
      </c>
      <c r="BO221" s="13">
        <v>6407.68505859375</v>
      </c>
      <c r="BP221" s="13">
        <v>10812.5087890625</v>
      </c>
      <c r="BQ221" s="13"/>
      <c r="BR221" s="13"/>
    </row>
    <row r="222" spans="2:70" x14ac:dyDescent="0.2">
      <c r="B222">
        <v>2017</v>
      </c>
      <c r="C222" s="13">
        <v>12987.916015625</v>
      </c>
      <c r="D222" s="13">
        <v>32879.01171875</v>
      </c>
      <c r="E222" s="13">
        <v>42053.98828125</v>
      </c>
      <c r="F222" s="13">
        <v>12427.5712890625</v>
      </c>
      <c r="G222" s="13">
        <v>14066.6240234375</v>
      </c>
      <c r="H222" s="13">
        <v>3510.175048828125</v>
      </c>
      <c r="I222" s="13">
        <v>17177.330078125</v>
      </c>
      <c r="J222" s="13">
        <v>13850.7431640625</v>
      </c>
      <c r="K222" s="13">
        <v>5818.52587890625</v>
      </c>
      <c r="L222" s="13">
        <v>41056.47265625</v>
      </c>
      <c r="M222" s="13">
        <v>44628.89453125</v>
      </c>
      <c r="N222" s="13">
        <v>30091.08984375</v>
      </c>
      <c r="O222" s="13">
        <v>35078.94921875</v>
      </c>
      <c r="P222" s="13">
        <v>36100.734375</v>
      </c>
      <c r="Q222" s="13">
        <v>31806.48828125</v>
      </c>
      <c r="R222" s="13">
        <v>42967.89453125</v>
      </c>
      <c r="S222" s="13">
        <v>64732.8046875</v>
      </c>
      <c r="T222" s="13">
        <v>41353.875</v>
      </c>
      <c r="U222" s="13">
        <v>35306.67578125</v>
      </c>
      <c r="V222" s="13">
        <v>20182.666015625</v>
      </c>
      <c r="W222" s="13">
        <v>44164.78515625</v>
      </c>
      <c r="X222" s="13">
        <v>39408.9921875</v>
      </c>
      <c r="Y222" s="13">
        <v>38661.21875</v>
      </c>
      <c r="Z222" s="13">
        <v>30077.654296875</v>
      </c>
      <c r="AA222" s="13">
        <v>5043.37548828125</v>
      </c>
      <c r="AB222" s="13">
        <v>21166.509765625</v>
      </c>
      <c r="AC222" s="13">
        <v>12006.99609375</v>
      </c>
      <c r="AD222" s="13">
        <v>18676.076171875</v>
      </c>
      <c r="AE222" s="13">
        <v>11704.1376953125</v>
      </c>
      <c r="AF222" s="13">
        <v>13825.291015625</v>
      </c>
      <c r="AG222" s="13">
        <v>9464.0380859375</v>
      </c>
      <c r="AH222" s="13">
        <v>53710.78515625</v>
      </c>
      <c r="AI222" s="13">
        <v>10969.408203125</v>
      </c>
      <c r="AJ222" s="13">
        <v>11113.640625</v>
      </c>
      <c r="AK222" s="13">
        <v>9215.05078125</v>
      </c>
      <c r="AL222" s="13">
        <v>6309.79248046875</v>
      </c>
      <c r="AM222" s="13">
        <v>42208.32421875</v>
      </c>
      <c r="AN222" s="13">
        <v>17826.169921875</v>
      </c>
      <c r="AO222" s="13">
        <v>10614.7109375</v>
      </c>
      <c r="AP222" s="13">
        <v>966.17474365234375</v>
      </c>
      <c r="AQ222" s="13">
        <v>3938.831298828125</v>
      </c>
      <c r="AR222" s="13">
        <v>1847.7750244140625</v>
      </c>
      <c r="AS222" s="13">
        <v>3239.020751953125</v>
      </c>
      <c r="AT222" s="13">
        <v>2000.463134765625</v>
      </c>
      <c r="AU222" s="13">
        <v>1061.6903076171875</v>
      </c>
      <c r="AV222" s="13">
        <v>5700.92236328125</v>
      </c>
      <c r="AW222" s="13">
        <v>1738.48095703125</v>
      </c>
      <c r="AX222" s="13">
        <v>1886.4041748046875</v>
      </c>
      <c r="AY222" s="13">
        <v>9636.3564453125</v>
      </c>
      <c r="AZ222" s="13">
        <v>2737.673095703125</v>
      </c>
      <c r="BA222" s="13">
        <v>24118.244140625</v>
      </c>
      <c r="BB222" s="13">
        <v>10087.11328125</v>
      </c>
      <c r="BC222" s="13">
        <v>11124.0625</v>
      </c>
      <c r="BD222" s="13">
        <v>28040.916015625</v>
      </c>
      <c r="BE222" s="13">
        <v>29959.5625</v>
      </c>
      <c r="BF222" s="13">
        <v>38291.359375</v>
      </c>
      <c r="BG222" s="13">
        <v>22741.78125</v>
      </c>
      <c r="BH222" s="13">
        <v>4580.13037109375</v>
      </c>
      <c r="BI222" s="13">
        <v>4907.4697265625</v>
      </c>
      <c r="BJ222" s="13">
        <v>7297.4443359375</v>
      </c>
      <c r="BK222" s="13">
        <v>3433.181640625</v>
      </c>
      <c r="BL222" s="13">
        <v>4099.521484375</v>
      </c>
      <c r="BM222" s="13">
        <v>6125.36083984375</v>
      </c>
      <c r="BN222" s="13">
        <v>12519.095703125</v>
      </c>
      <c r="BO222" s="13">
        <v>6676.30908203125</v>
      </c>
      <c r="BP222" s="13">
        <v>11029.5546875</v>
      </c>
      <c r="BQ222" s="13"/>
      <c r="BR222" s="13"/>
    </row>
    <row r="223" spans="2:70" x14ac:dyDescent="0.2">
      <c r="B223">
        <v>2018</v>
      </c>
      <c r="C223" s="13">
        <v>13236.9013671875</v>
      </c>
      <c r="D223" s="13">
        <v>33574.15625</v>
      </c>
      <c r="E223" s="13">
        <v>42818.08203125</v>
      </c>
      <c r="F223" s="13">
        <v>12368.4716796875</v>
      </c>
      <c r="G223" s="13">
        <v>14058.4228515625</v>
      </c>
      <c r="H223" s="13">
        <v>3526.81005859375</v>
      </c>
      <c r="I223" s="13">
        <v>17808.470703125</v>
      </c>
      <c r="J223" s="13">
        <v>14412.919921875</v>
      </c>
      <c r="K223" s="13">
        <v>6082.89599609375</v>
      </c>
      <c r="L223" s="13">
        <v>41877.1796875</v>
      </c>
      <c r="M223" s="13">
        <v>45419.32421875</v>
      </c>
      <c r="N223" s="13">
        <v>30778.033203125</v>
      </c>
      <c r="O223" s="13">
        <v>35408.0625</v>
      </c>
      <c r="P223" s="13">
        <v>36535.30078125</v>
      </c>
      <c r="Q223" s="13">
        <v>32136.50390625</v>
      </c>
      <c r="R223" s="13">
        <v>44416.8203125</v>
      </c>
      <c r="S223" s="13">
        <v>64627.7734375</v>
      </c>
      <c r="T223" s="13">
        <v>41519.9296875</v>
      </c>
      <c r="U223" s="13">
        <v>36066.1796875</v>
      </c>
      <c r="V223" s="13">
        <v>21323.16015625</v>
      </c>
      <c r="W223" s="13">
        <v>45049.14453125</v>
      </c>
      <c r="X223" s="13">
        <v>39855.15234375</v>
      </c>
      <c r="Y223" s="13">
        <v>38793.35546875</v>
      </c>
      <c r="Z223" s="13">
        <v>31400.216796875</v>
      </c>
      <c r="AA223" s="13">
        <v>5057.517578125</v>
      </c>
      <c r="AB223" s="13">
        <v>20039.9453125</v>
      </c>
      <c r="AC223" s="13">
        <v>12047.4296875</v>
      </c>
      <c r="AD223" s="13">
        <v>19088.068359375</v>
      </c>
      <c r="AE223" s="13">
        <v>11632.4521484375</v>
      </c>
      <c r="AF223" s="13">
        <v>13841.384765625</v>
      </c>
      <c r="AG223" s="13">
        <v>9432.5625</v>
      </c>
      <c r="AH223" s="13">
        <v>53112.89453125</v>
      </c>
      <c r="AI223" s="13">
        <v>10849.224609375</v>
      </c>
      <c r="AJ223" s="13">
        <v>11302.333984375</v>
      </c>
      <c r="AK223" s="13">
        <v>8511.490234375</v>
      </c>
      <c r="AL223" s="13">
        <v>6431.9150390625</v>
      </c>
      <c r="AM223" s="13">
        <v>44596.62890625</v>
      </c>
      <c r="AN223" s="13">
        <v>17823.189453125</v>
      </c>
      <c r="AO223" s="13">
        <v>10634.048828125</v>
      </c>
      <c r="AP223" s="13">
        <v>982.5247802734375</v>
      </c>
      <c r="AQ223" s="13">
        <v>4027.3525390625</v>
      </c>
      <c r="AR223" s="13">
        <v>1938.67333984375</v>
      </c>
      <c r="AS223" s="13">
        <v>3356.645263671875</v>
      </c>
      <c r="AT223" s="13">
        <v>2039.395263671875</v>
      </c>
      <c r="AU223" s="13">
        <v>1103.0169677734375</v>
      </c>
      <c r="AV223" s="13">
        <v>5865.60302734375</v>
      </c>
      <c r="AW223" s="13">
        <v>1827.252685546875</v>
      </c>
      <c r="AX223" s="13">
        <v>1836.0772705078125</v>
      </c>
      <c r="AY223" s="13">
        <v>9610.150390625</v>
      </c>
      <c r="AZ223" s="13">
        <v>2741.944580078125</v>
      </c>
      <c r="BA223" s="13">
        <v>25119.318359375</v>
      </c>
      <c r="BB223" s="13">
        <v>10381.1240234375</v>
      </c>
      <c r="BC223" s="13">
        <v>11714.8974609375</v>
      </c>
      <c r="BD223" s="13">
        <v>28346.732421875</v>
      </c>
      <c r="BE223" s="13">
        <v>30810.39453125</v>
      </c>
      <c r="BF223" s="13">
        <v>39447.39453125</v>
      </c>
      <c r="BG223" s="13">
        <v>23804.642578125</v>
      </c>
      <c r="BH223" s="13">
        <v>4907.2998046875</v>
      </c>
      <c r="BI223" s="13">
        <v>5205.11865234375</v>
      </c>
      <c r="BJ223" s="13">
        <v>7548.1484375</v>
      </c>
      <c r="BK223" s="13">
        <v>3598.218994140625</v>
      </c>
      <c r="BL223" s="13">
        <v>4197.56982421875</v>
      </c>
      <c r="BM223" s="13">
        <v>6458.16552734375</v>
      </c>
      <c r="BN223" s="13">
        <v>13030.8896484375</v>
      </c>
      <c r="BO223" s="13">
        <v>7135.92041015625</v>
      </c>
      <c r="BP223" s="13">
        <v>11153.185546875</v>
      </c>
      <c r="BQ223" s="13"/>
      <c r="BR223" s="13"/>
    </row>
    <row r="224" spans="2:70" x14ac:dyDescent="0.2">
      <c r="B224">
        <v>2019</v>
      </c>
      <c r="C224" s="13">
        <v>13394.12890625</v>
      </c>
      <c r="D224" s="13">
        <v>34031.88671875</v>
      </c>
      <c r="E224" s="13">
        <v>43268.71875</v>
      </c>
      <c r="F224" s="13">
        <v>12278.3681640625</v>
      </c>
      <c r="G224" s="13">
        <v>14008.2490234375</v>
      </c>
      <c r="H224" s="13">
        <v>3547.447021484375</v>
      </c>
      <c r="I224" s="13">
        <v>17990.50390625</v>
      </c>
      <c r="J224" s="13">
        <v>14926.52734375</v>
      </c>
      <c r="K224" s="13">
        <v>6260.37890625</v>
      </c>
      <c r="L224" s="13">
        <v>42137.84375</v>
      </c>
      <c r="M224" s="13">
        <v>46236.5</v>
      </c>
      <c r="N224" s="13">
        <v>30909.994140625</v>
      </c>
      <c r="O224" s="13">
        <v>35822.16796875</v>
      </c>
      <c r="P224" s="13">
        <v>36896.203125</v>
      </c>
      <c r="Q224" s="13">
        <v>32250.88671875</v>
      </c>
      <c r="R224" s="13">
        <v>43946.79296875</v>
      </c>
      <c r="S224" s="13">
        <v>65598.9765625</v>
      </c>
      <c r="T224" s="13">
        <v>42503.8515625</v>
      </c>
      <c r="U224" s="13">
        <v>36675.546875</v>
      </c>
      <c r="V224" s="13">
        <v>22349.5078125</v>
      </c>
      <c r="W224" s="13">
        <v>45593.05859375</v>
      </c>
      <c r="X224" s="13">
        <v>40203.10546875</v>
      </c>
      <c r="Y224" s="13">
        <v>38656.84765625</v>
      </c>
      <c r="Z224" s="13">
        <v>31793.439453125</v>
      </c>
      <c r="AA224" s="13">
        <v>5087.1103515625</v>
      </c>
      <c r="AB224" s="13">
        <v>19343.90625</v>
      </c>
      <c r="AC224" s="13">
        <v>12091.6748046875</v>
      </c>
      <c r="AD224" s="13">
        <v>18516.205078125</v>
      </c>
      <c r="AE224" s="13">
        <v>11813.12890625</v>
      </c>
      <c r="AF224" s="13">
        <v>13455.1103515625</v>
      </c>
      <c r="AG224" s="13">
        <v>9529.76953125</v>
      </c>
      <c r="AH224" s="13">
        <v>53520.5</v>
      </c>
      <c r="AI224" s="13">
        <v>10706.5986328125</v>
      </c>
      <c r="AJ224" s="13">
        <v>11526.7275390625</v>
      </c>
      <c r="AK224" s="13">
        <v>7903.49853515625</v>
      </c>
      <c r="AL224" s="13">
        <v>6566.23828125</v>
      </c>
      <c r="AM224" s="13">
        <v>44406.0703125</v>
      </c>
      <c r="AN224" s="13">
        <v>17835.03515625</v>
      </c>
      <c r="AO224" s="13">
        <v>10781.3642578125</v>
      </c>
      <c r="AP224" s="13">
        <v>1003.86474609375</v>
      </c>
      <c r="AQ224" s="13">
        <v>4236.142578125</v>
      </c>
      <c r="AR224" s="13">
        <v>2016.67041015625</v>
      </c>
      <c r="AS224" s="13">
        <v>3522.97021484375</v>
      </c>
      <c r="AT224" s="13">
        <v>2063.060546875</v>
      </c>
      <c r="AU224" s="13">
        <v>1122.2684326171875</v>
      </c>
      <c r="AV224" s="13">
        <v>6043.41943359375</v>
      </c>
      <c r="AW224" s="13">
        <v>1975.070556640625</v>
      </c>
      <c r="AX224" s="13">
        <v>1758.6240234375</v>
      </c>
      <c r="AY224" s="13">
        <v>9525.765625</v>
      </c>
      <c r="AZ224" s="13">
        <v>2758.29931640625</v>
      </c>
      <c r="BA224" s="13">
        <v>25298.052734375</v>
      </c>
      <c r="BB224" s="13">
        <v>10650.912109375</v>
      </c>
      <c r="BC224" s="13">
        <v>12308.43359375</v>
      </c>
      <c r="BD224" s="13">
        <v>28083.357421875</v>
      </c>
      <c r="BE224" s="13">
        <v>32163.619140625</v>
      </c>
      <c r="BF224" s="13">
        <v>41114.4609375</v>
      </c>
      <c r="BG224" s="13">
        <v>23452.83984375</v>
      </c>
      <c r="BH224" s="13">
        <v>5101.658203125</v>
      </c>
      <c r="BI224" s="13">
        <v>5350.20068359375</v>
      </c>
      <c r="BJ224" s="13">
        <v>7742.1884765625</v>
      </c>
      <c r="BK224" s="13">
        <v>3667.035888671875</v>
      </c>
      <c r="BL224" s="13">
        <v>4152.59619140625</v>
      </c>
      <c r="BM224" s="13">
        <v>6847.53564453125</v>
      </c>
      <c r="BN224" s="13">
        <v>13244.462890625</v>
      </c>
      <c r="BO224" s="13">
        <v>7686.6611328125</v>
      </c>
      <c r="BP224" s="13">
        <v>11462.8310546875</v>
      </c>
      <c r="BQ224" s="13"/>
      <c r="BR224" s="13"/>
    </row>
    <row r="225" spans="2:70" x14ac:dyDescent="0.2">
      <c r="B225">
        <v>2020</v>
      </c>
      <c r="C225" s="13">
        <v>12714.9111328125</v>
      </c>
      <c r="D225" s="13">
        <v>31458.947265625</v>
      </c>
      <c r="E225" s="13">
        <v>41590.6796875</v>
      </c>
      <c r="F225" s="13">
        <v>11240.30859375</v>
      </c>
      <c r="G225" s="13">
        <v>13227.8037109375</v>
      </c>
      <c r="H225" s="13">
        <v>3366.722412109375</v>
      </c>
      <c r="I225" s="13">
        <v>17515.701171875</v>
      </c>
      <c r="J225" s="13">
        <v>14750.419921875</v>
      </c>
      <c r="K225" s="13">
        <v>5998.5615234375</v>
      </c>
      <c r="L225" s="13">
        <v>39611.55078125</v>
      </c>
      <c r="M225" s="13">
        <v>44730.359375</v>
      </c>
      <c r="N225" s="13">
        <v>26928.833984375</v>
      </c>
      <c r="O225" s="13">
        <v>32877.5078125</v>
      </c>
      <c r="P225" s="13">
        <v>32126.560546875</v>
      </c>
      <c r="Q225" s="13">
        <v>29077.6796875</v>
      </c>
      <c r="R225" s="13">
        <v>42004.1484375</v>
      </c>
      <c r="S225" s="13">
        <v>63179.20703125</v>
      </c>
      <c r="T225" s="13">
        <v>41712.296875</v>
      </c>
      <c r="U225" s="13">
        <v>34622.3046875</v>
      </c>
      <c r="V225" s="13">
        <v>21551.015625</v>
      </c>
      <c r="W225" s="13">
        <v>43821.80078125</v>
      </c>
      <c r="X225" s="13">
        <v>37533.59375</v>
      </c>
      <c r="Y225" s="13">
        <v>38907.625</v>
      </c>
      <c r="Z225" s="13">
        <v>31809.326171875</v>
      </c>
      <c r="AA225" s="13">
        <v>4803.74267578125</v>
      </c>
      <c r="AB225" s="13">
        <v>17498.03515625</v>
      </c>
      <c r="AC225" s="13">
        <v>11504.8095703125</v>
      </c>
      <c r="AD225" s="13">
        <v>16560.55859375</v>
      </c>
      <c r="AE225" s="13">
        <v>10805.1923828125</v>
      </c>
      <c r="AF225" s="13">
        <v>11943.7685546875</v>
      </c>
      <c r="AG225" s="13">
        <v>8655.697265625</v>
      </c>
      <c r="AH225" s="13">
        <v>48366.47265625</v>
      </c>
      <c r="AI225" s="13">
        <v>9950.34375</v>
      </c>
      <c r="AJ225" s="13">
        <v>11830.5283203125</v>
      </c>
      <c r="AK225" s="13">
        <v>7443.26611328125</v>
      </c>
      <c r="AL225" s="13">
        <v>6066.07421875</v>
      </c>
      <c r="AM225" s="13">
        <v>41350.97265625</v>
      </c>
      <c r="AN225" s="13">
        <v>18187.853515625</v>
      </c>
      <c r="AO225" s="13">
        <v>9742.6572265625</v>
      </c>
      <c r="AP225" s="13">
        <v>984.88031005859375</v>
      </c>
      <c r="AQ225" s="13">
        <v>4141.1103515625</v>
      </c>
      <c r="AR225" s="13">
        <v>2076.273681640625</v>
      </c>
      <c r="AS225" s="13">
        <v>3483.28125</v>
      </c>
      <c r="AT225" s="13">
        <v>1969.3331298828125</v>
      </c>
      <c r="AU225" s="13">
        <v>1131.4454345703125</v>
      </c>
      <c r="AV225" s="13">
        <v>5559.005859375</v>
      </c>
      <c r="AW225" s="13">
        <v>1891.6790771484375</v>
      </c>
      <c r="AX225" s="13">
        <v>1690.286376953125</v>
      </c>
      <c r="AY225" s="13">
        <v>8826.0615234375</v>
      </c>
      <c r="AZ225" s="13">
        <v>2619.34423828125</v>
      </c>
      <c r="BA225" s="13">
        <v>24669.267578125</v>
      </c>
      <c r="BB225" s="13">
        <v>10406.1533203125</v>
      </c>
      <c r="BC225" s="13">
        <v>12333.201171875</v>
      </c>
      <c r="BD225" s="13">
        <v>26677.408203125</v>
      </c>
      <c r="BE225" s="13">
        <v>31462.19921875</v>
      </c>
      <c r="BF225" s="13">
        <v>41774.15234375</v>
      </c>
      <c r="BG225" s="13">
        <v>21507.31640625</v>
      </c>
      <c r="BH225" s="13">
        <v>5295.71484375</v>
      </c>
      <c r="BI225" s="13">
        <v>5038.5693359375</v>
      </c>
      <c r="BJ225" s="13">
        <v>7654.74853515625</v>
      </c>
      <c r="BK225" s="13">
        <v>3658.475341796875</v>
      </c>
      <c r="BL225" s="13">
        <v>4172.20654296875</v>
      </c>
      <c r="BM225" s="13">
        <v>5929.68212890625</v>
      </c>
      <c r="BN225" s="13">
        <v>12422.2734375</v>
      </c>
      <c r="BO225" s="13">
        <v>7819.96728515625</v>
      </c>
      <c r="BP225" s="13">
        <v>10938.6953125</v>
      </c>
      <c r="BQ225" s="13"/>
      <c r="BR225" s="13"/>
    </row>
    <row r="226" spans="2:70" x14ac:dyDescent="0.2">
      <c r="B226">
        <v>2021</v>
      </c>
      <c r="C226" s="13">
        <v>13468.7626953125</v>
      </c>
      <c r="D226" s="13">
        <v>33917.31640625</v>
      </c>
      <c r="E226" s="13">
        <v>44017.28515625</v>
      </c>
      <c r="F226" s="13">
        <v>11938.2763671875</v>
      </c>
      <c r="G226" s="13">
        <v>13917.7763671875</v>
      </c>
      <c r="H226" s="13">
        <v>3403.978515625</v>
      </c>
      <c r="I226" s="13">
        <v>18412.544921875</v>
      </c>
      <c r="J226" s="13">
        <v>15913.88671875</v>
      </c>
      <c r="K226" s="13">
        <v>6236.30029296875</v>
      </c>
      <c r="L226" s="13">
        <v>41375.46484375</v>
      </c>
      <c r="M226" s="13">
        <v>48368.79296875</v>
      </c>
      <c r="N226" s="13">
        <v>29154.63671875</v>
      </c>
      <c r="O226" s="13">
        <v>35680.125</v>
      </c>
      <c r="P226" s="13">
        <v>35658.5078125</v>
      </c>
      <c r="Q226" s="13">
        <v>32066.6875</v>
      </c>
      <c r="R226" s="13">
        <v>46766.8984375</v>
      </c>
      <c r="S226" s="13">
        <v>65056.859375</v>
      </c>
      <c r="T226" s="13">
        <v>44075.97265625</v>
      </c>
      <c r="U226" s="13">
        <v>37009.74609375</v>
      </c>
      <c r="V226" s="13">
        <v>22934.8125</v>
      </c>
      <c r="W226" s="13">
        <v>46537.34375</v>
      </c>
      <c r="X226" s="13">
        <v>39665.65234375</v>
      </c>
      <c r="Y226" s="13">
        <v>39818.32421875</v>
      </c>
      <c r="Z226" s="13">
        <v>32468.08203125</v>
      </c>
      <c r="AA226" s="13">
        <v>4774.13818359375</v>
      </c>
      <c r="AB226" s="13">
        <v>19411.4375</v>
      </c>
      <c r="AC226" s="13">
        <v>11907.986328125</v>
      </c>
      <c r="AD226" s="13">
        <v>18718.533203125</v>
      </c>
      <c r="AE226" s="13">
        <v>11800.177734375</v>
      </c>
      <c r="AF226" s="13">
        <v>12864.4033203125</v>
      </c>
      <c r="AG226" s="13">
        <v>9039.2529296875</v>
      </c>
      <c r="AH226" s="13">
        <v>49765.578125</v>
      </c>
      <c r="AI226" s="13">
        <v>10238.8310546875</v>
      </c>
      <c r="AJ226" s="13">
        <v>12179.814453125</v>
      </c>
      <c r="AK226" s="13">
        <v>7953.982421875</v>
      </c>
      <c r="AL226" s="13">
        <v>6467.57666015625</v>
      </c>
      <c r="AM226" s="13">
        <v>44274.65625</v>
      </c>
      <c r="AN226" s="13">
        <v>20476.990234375</v>
      </c>
      <c r="AO226" s="13">
        <v>9671.4677734375</v>
      </c>
      <c r="AP226" s="13">
        <v>1007.59423828125</v>
      </c>
      <c r="AQ226" s="13">
        <v>4322.91650390625</v>
      </c>
      <c r="AR226" s="13">
        <v>2135.321533203125</v>
      </c>
      <c r="AS226" s="13">
        <v>3673.445556640625</v>
      </c>
      <c r="AT226" s="13">
        <v>1968.54443359375</v>
      </c>
      <c r="AU226" s="13">
        <v>1098.963134765625</v>
      </c>
      <c r="AV226" s="13">
        <v>5447.11181640625</v>
      </c>
      <c r="AW226" s="13">
        <v>2013.2525634765625</v>
      </c>
      <c r="AX226" s="13">
        <v>1621.7608642578125</v>
      </c>
      <c r="AY226" s="13">
        <v>9293.3056640625</v>
      </c>
      <c r="AZ226" s="13">
        <v>2641.307861328125</v>
      </c>
      <c r="BA226" s="13">
        <v>26259.255859375</v>
      </c>
      <c r="BB226" s="13">
        <v>10659.3564453125</v>
      </c>
      <c r="BC226" s="13">
        <v>13454.359375</v>
      </c>
      <c r="BD226" s="13">
        <v>27985.361328125</v>
      </c>
      <c r="BE226" s="13">
        <v>33075.40234375</v>
      </c>
      <c r="BF226" s="13">
        <v>44711.52734375</v>
      </c>
      <c r="BG226" s="13">
        <v>23544.42578125</v>
      </c>
      <c r="BH226" s="13">
        <v>5619.10546875</v>
      </c>
      <c r="BI226" s="13">
        <v>5314.03564453125</v>
      </c>
      <c r="BJ226" s="13">
        <v>7977.18994140625</v>
      </c>
      <c r="BK226" s="13">
        <v>3664.2783203125</v>
      </c>
      <c r="BL226" s="13">
        <v>4317.91552734375</v>
      </c>
      <c r="BM226" s="13">
        <v>6149.92041015625</v>
      </c>
      <c r="BN226" s="13">
        <v>12433.009765625</v>
      </c>
      <c r="BO226" s="13">
        <v>7889.1474609375</v>
      </c>
      <c r="BP226" s="13">
        <v>11193.5869140625</v>
      </c>
      <c r="BQ226" s="13"/>
      <c r="BR226" s="13"/>
    </row>
    <row r="227" spans="2:70" x14ac:dyDescent="0.2">
      <c r="B227">
        <v>2022</v>
      </c>
      <c r="C227" s="13">
        <v>13773.4150390625</v>
      </c>
      <c r="D227" s="13">
        <v>35109.29296875</v>
      </c>
      <c r="E227" s="13">
        <v>44875.16015625</v>
      </c>
      <c r="F227" s="13">
        <v>12388.39453125</v>
      </c>
      <c r="G227" s="13">
        <v>14705.6396484375</v>
      </c>
      <c r="H227" s="13">
        <v>3377.61474609375</v>
      </c>
      <c r="I227" s="13">
        <v>18194.369140625</v>
      </c>
      <c r="J227" s="13">
        <v>16209.1259765625</v>
      </c>
      <c r="K227" s="13">
        <v>6530.08203125</v>
      </c>
      <c r="L227" s="13">
        <v>41867.3671875</v>
      </c>
      <c r="M227" s="13">
        <v>47226.9296875</v>
      </c>
      <c r="N227" s="13">
        <v>30894.005859375</v>
      </c>
      <c r="O227" s="13">
        <v>36462.80859375</v>
      </c>
      <c r="P227" s="13">
        <v>37433.0859375</v>
      </c>
      <c r="Q227" s="13">
        <v>33731.77734375</v>
      </c>
      <c r="R227" s="13">
        <v>48355.15234375</v>
      </c>
      <c r="S227" s="13">
        <v>67249.125</v>
      </c>
      <c r="T227" s="13">
        <v>44361.62109375</v>
      </c>
      <c r="U227" s="13">
        <v>38602.6171875</v>
      </c>
      <c r="V227" s="13">
        <v>23980.01953125</v>
      </c>
      <c r="W227" s="13">
        <v>47486.88671875</v>
      </c>
      <c r="X227" s="13">
        <v>40817.94921875</v>
      </c>
      <c r="Y227" s="13">
        <v>39820.76171875</v>
      </c>
      <c r="Z227" s="13">
        <v>33292.78125</v>
      </c>
      <c r="AA227" s="13">
        <v>4949.59130859375</v>
      </c>
      <c r="AB227" s="13">
        <v>20538.310546875</v>
      </c>
      <c r="AC227" s="13">
        <v>12304.939453125</v>
      </c>
      <c r="AD227" s="13">
        <v>19519.193359375</v>
      </c>
      <c r="AE227" s="13">
        <v>12327.056640625</v>
      </c>
      <c r="AF227" s="13">
        <v>13238.0869140625</v>
      </c>
      <c r="AG227" s="13">
        <v>9407.935546875</v>
      </c>
      <c r="AH227" s="13">
        <v>51389.9140625</v>
      </c>
      <c r="AI227" s="13">
        <v>10433.6337890625</v>
      </c>
      <c r="AJ227" s="13">
        <v>12585.041015625</v>
      </c>
      <c r="AK227" s="13">
        <v>8521.4951171875</v>
      </c>
      <c r="AL227" s="13">
        <v>6544.1962890625</v>
      </c>
      <c r="AM227" s="13">
        <v>48854.33984375</v>
      </c>
      <c r="AN227" s="13">
        <v>21731.3359375</v>
      </c>
      <c r="AO227" s="13">
        <v>9935.5283203125</v>
      </c>
      <c r="AP227" s="13">
        <v>1057.5394287109375</v>
      </c>
      <c r="AQ227" s="13">
        <v>4485.69580078125</v>
      </c>
      <c r="AR227" s="13">
        <v>2205.871826171875</v>
      </c>
      <c r="AS227" s="13">
        <v>3803.52734375</v>
      </c>
      <c r="AT227" s="13">
        <v>1971.3414306640625</v>
      </c>
      <c r="AU227" s="13">
        <v>1195.6258544921875</v>
      </c>
      <c r="AV227" s="13">
        <v>5527.9873046875</v>
      </c>
      <c r="AW227" s="13">
        <v>2159.922119140625</v>
      </c>
      <c r="AX227" s="13">
        <v>1603.9588623046875</v>
      </c>
      <c r="AY227" s="13">
        <v>9342.99609375</v>
      </c>
      <c r="AZ227" s="13">
        <v>2561.86328125</v>
      </c>
      <c r="BA227" s="13">
        <v>25905.078125</v>
      </c>
      <c r="BB227" s="13">
        <v>10480.27734375</v>
      </c>
      <c r="BC227" s="13">
        <v>13691.3291015625</v>
      </c>
      <c r="BD227" s="13">
        <v>28727.8984375</v>
      </c>
      <c r="BE227" s="13">
        <v>33907.78125</v>
      </c>
      <c r="BF227" s="13">
        <v>46014.1875</v>
      </c>
      <c r="BG227" s="13">
        <v>22922.388671875</v>
      </c>
      <c r="BH227" s="13">
        <v>5907.7275390625</v>
      </c>
      <c r="BI227" s="13">
        <v>5684.26806640625</v>
      </c>
      <c r="BJ227" s="13">
        <v>8444.9130859375</v>
      </c>
      <c r="BK227" s="13">
        <v>3764.133544921875</v>
      </c>
      <c r="BL227" s="13">
        <v>4301.05126953125</v>
      </c>
      <c r="BM227" s="13">
        <v>6688.19873046875</v>
      </c>
      <c r="BN227" s="13">
        <v>12913.34375</v>
      </c>
      <c r="BO227" s="13">
        <v>8501.95703125</v>
      </c>
      <c r="BP227" s="13">
        <v>10980.9375</v>
      </c>
      <c r="BQ227" s="13"/>
      <c r="BR227" s="13"/>
    </row>
    <row r="228" spans="2:70" x14ac:dyDescent="0.2">
      <c r="B228">
        <v>2023</v>
      </c>
      <c r="C228" s="13">
        <v>14066.7041015625</v>
      </c>
      <c r="D228" s="13">
        <v>35303.546875</v>
      </c>
      <c r="E228" s="13">
        <v>45743.5546875</v>
      </c>
      <c r="F228" s="13">
        <v>12625.2509765625</v>
      </c>
      <c r="G228" s="13">
        <v>14969.474609375</v>
      </c>
      <c r="H228" s="13">
        <v>3496.666748046875</v>
      </c>
      <c r="I228" s="13">
        <v>19266.197265625</v>
      </c>
      <c r="J228" s="13">
        <v>16883.220703125</v>
      </c>
      <c r="K228" s="13">
        <v>6910.03076171875</v>
      </c>
      <c r="L228" s="13">
        <v>41274.1640625</v>
      </c>
      <c r="M228" s="13">
        <v>47143.37890625</v>
      </c>
      <c r="N228" s="13">
        <v>31613.97265625</v>
      </c>
      <c r="O228" s="13">
        <v>36680.875</v>
      </c>
      <c r="P228" s="13">
        <v>36926.0390625</v>
      </c>
      <c r="Q228" s="13">
        <v>33852.68359375</v>
      </c>
      <c r="R228" s="13">
        <v>48152.87890625</v>
      </c>
      <c r="S228" s="13">
        <v>69928.3671875</v>
      </c>
      <c r="T228" s="13">
        <v>44262.79296875</v>
      </c>
      <c r="U228" s="13">
        <v>39696.76171875</v>
      </c>
      <c r="V228" s="13">
        <v>24626.994140625</v>
      </c>
      <c r="W228" s="13">
        <v>48416.57421875</v>
      </c>
      <c r="X228" s="13">
        <v>41301.02734375</v>
      </c>
      <c r="Y228" s="13">
        <v>41293.50390625</v>
      </c>
      <c r="Z228" s="13">
        <v>33543.8984375</v>
      </c>
      <c r="AA228" s="13">
        <v>5108.7587890625</v>
      </c>
      <c r="AB228" s="13">
        <v>19925.400390625</v>
      </c>
      <c r="AC228" s="13">
        <v>12517.1044921875</v>
      </c>
      <c r="AD228" s="13">
        <v>19590.853515625</v>
      </c>
      <c r="AE228" s="13">
        <v>12448.8525390625</v>
      </c>
      <c r="AF228" s="13">
        <v>13701.935546875</v>
      </c>
      <c r="AG228" s="13">
        <v>9722.25</v>
      </c>
      <c r="AH228" s="13">
        <v>50933.9765625</v>
      </c>
      <c r="AI228" s="13">
        <v>10842.228515625</v>
      </c>
      <c r="AJ228" s="13">
        <v>12623.1650390625</v>
      </c>
      <c r="AK228" s="13">
        <v>8824.7783203125</v>
      </c>
      <c r="AL228" s="13">
        <v>6678.677734375</v>
      </c>
      <c r="AM228" s="13">
        <v>47210.20703125</v>
      </c>
      <c r="AN228" s="13">
        <v>22886.404296875</v>
      </c>
      <c r="AO228" s="13">
        <v>10136.15625</v>
      </c>
      <c r="AP228" s="13">
        <v>1132.171630859375</v>
      </c>
      <c r="AQ228" s="13">
        <v>4630.18212890625</v>
      </c>
      <c r="AR228" s="13">
        <v>2302.180419921875</v>
      </c>
      <c r="AS228" s="13">
        <v>3955.809814453125</v>
      </c>
      <c r="AT228" s="13">
        <v>2012.832763671875</v>
      </c>
      <c r="AU228" s="13">
        <v>1180.4483642578125</v>
      </c>
      <c r="AV228" s="13">
        <v>5625.16259765625</v>
      </c>
      <c r="AW228" s="13">
        <v>2296.154052734375</v>
      </c>
      <c r="AX228" s="13">
        <v>1319.43896484375</v>
      </c>
      <c r="AY228" s="13">
        <v>9298.1494140625</v>
      </c>
      <c r="AZ228" s="13">
        <v>2803.522705078125</v>
      </c>
      <c r="BA228" s="13">
        <v>27223.115234375</v>
      </c>
      <c r="BB228" s="13">
        <v>11222.44140625</v>
      </c>
      <c r="BC228" s="13">
        <v>14446.0703125</v>
      </c>
      <c r="BD228" s="13">
        <v>29396.384765625</v>
      </c>
      <c r="BE228" s="13">
        <v>32439.04296875</v>
      </c>
      <c r="BF228" s="13">
        <v>48104.2109375</v>
      </c>
      <c r="BG228" s="13">
        <v>24470.794921875</v>
      </c>
      <c r="BH228" s="13">
        <v>6090.65380859375</v>
      </c>
      <c r="BI228" s="13">
        <v>6147.2197265625</v>
      </c>
      <c r="BJ228" s="13">
        <v>8876.462890625</v>
      </c>
      <c r="BK228" s="13">
        <v>3875.50927734375</v>
      </c>
      <c r="BL228" s="13">
        <v>4251.30126953125</v>
      </c>
      <c r="BM228" s="13">
        <v>7093.2392578125</v>
      </c>
      <c r="BN228" s="13">
        <v>13331.9521484375</v>
      </c>
      <c r="BO228" s="13">
        <v>8809.908203125</v>
      </c>
      <c r="BP228" s="13">
        <v>11624.1279296875</v>
      </c>
      <c r="BQ228" s="13"/>
      <c r="BR228" s="13"/>
    </row>
    <row r="229" spans="2:70" x14ac:dyDescent="0.2">
      <c r="B229">
        <v>2024</v>
      </c>
      <c r="C229" s="13">
        <v>14305.2578125</v>
      </c>
      <c r="D229" s="13">
        <v>35795.74609375</v>
      </c>
      <c r="E229" s="13">
        <v>46332.59375</v>
      </c>
      <c r="F229" s="13">
        <v>12852.046875</v>
      </c>
      <c r="G229" s="13">
        <v>15073.8232421875</v>
      </c>
      <c r="H229" s="13">
        <v>3281.715087890625</v>
      </c>
      <c r="I229" s="13">
        <v>20061.75</v>
      </c>
      <c r="J229" s="13">
        <v>17626.28125</v>
      </c>
      <c r="K229" s="13">
        <v>7232.76904296875</v>
      </c>
      <c r="L229" s="13">
        <v>41448.390625</v>
      </c>
      <c r="M229" s="13">
        <v>48675.47265625</v>
      </c>
      <c r="N229" s="13">
        <v>32610.5546875</v>
      </c>
      <c r="O229" s="13">
        <v>36993.91015625</v>
      </c>
      <c r="P229" s="13">
        <v>37308.43359375</v>
      </c>
      <c r="Q229" s="13">
        <v>34390.91015625</v>
      </c>
      <c r="R229" s="13">
        <v>47436.53125</v>
      </c>
      <c r="S229" s="13">
        <v>70930.796875</v>
      </c>
      <c r="T229" s="13">
        <v>44563.203125</v>
      </c>
      <c r="U229" s="13">
        <v>40289.75</v>
      </c>
      <c r="V229" s="13">
        <v>25392.349609375</v>
      </c>
      <c r="W229" s="13">
        <v>49150.65234375</v>
      </c>
      <c r="X229" s="13">
        <v>41769.3359375</v>
      </c>
      <c r="Y229" s="13">
        <v>41136.52734375</v>
      </c>
      <c r="Z229" s="13">
        <v>32821.2578125</v>
      </c>
      <c r="AA229" s="13">
        <v>4739.39306640625</v>
      </c>
      <c r="AB229" s="13">
        <v>19451.509765625</v>
      </c>
      <c r="AC229" s="13">
        <v>12878.2705078125</v>
      </c>
      <c r="AD229" s="13">
        <v>19221.3046875</v>
      </c>
      <c r="AE229" s="13">
        <v>12533.6103515625</v>
      </c>
      <c r="AF229" s="13">
        <v>13814.4638671875</v>
      </c>
      <c r="AG229" s="13">
        <v>10122.55859375</v>
      </c>
      <c r="AH229" s="13">
        <v>51692.59765625</v>
      </c>
      <c r="AI229" s="13">
        <v>11121.7587890625</v>
      </c>
      <c r="AJ229" s="13">
        <v>12707.013671875</v>
      </c>
      <c r="AK229" s="13">
        <v>9158.05078125</v>
      </c>
      <c r="AL229" s="13">
        <v>6862.36962890625</v>
      </c>
      <c r="AM229" s="13">
        <v>47368.87109375</v>
      </c>
      <c r="AN229" s="13">
        <v>23540.9765625</v>
      </c>
      <c r="AO229" s="13">
        <v>9829.2431640625</v>
      </c>
      <c r="AP229" s="13">
        <v>1163.6202392578125</v>
      </c>
      <c r="AQ229" s="13">
        <v>4754.25341796875</v>
      </c>
      <c r="AR229" s="13">
        <v>2415.093505859375</v>
      </c>
      <c r="AS229" s="13">
        <v>4081.47900390625</v>
      </c>
      <c r="AT229" s="13">
        <v>2074.35107421875</v>
      </c>
      <c r="AU229" s="13">
        <v>1227.2784423828125</v>
      </c>
      <c r="AV229" s="13">
        <v>5725.9345703125</v>
      </c>
      <c r="AW229" s="13">
        <v>2397.6865234375</v>
      </c>
      <c r="AX229" s="13">
        <v>894.4296875</v>
      </c>
      <c r="AY229" s="13">
        <v>9153.6572265625</v>
      </c>
      <c r="AZ229" s="13">
        <v>2554.39111328125</v>
      </c>
      <c r="BA229" s="13">
        <v>28536.80078125</v>
      </c>
      <c r="BB229" s="13">
        <v>11624.7802734375</v>
      </c>
      <c r="BC229" s="13">
        <v>15156.8974609375</v>
      </c>
      <c r="BD229" s="13">
        <v>29704.091796875</v>
      </c>
      <c r="BE229" s="13">
        <v>34568.73046875</v>
      </c>
      <c r="BF229" s="13">
        <v>51079.1875</v>
      </c>
      <c r="BG229" s="13">
        <v>25736.51953125</v>
      </c>
      <c r="BH229" s="13">
        <v>6242.61376953125</v>
      </c>
      <c r="BI229" s="13">
        <v>6531.3935546875</v>
      </c>
      <c r="BJ229" s="13">
        <v>9308.5087890625</v>
      </c>
      <c r="BK229" s="13">
        <v>3820.09033203125</v>
      </c>
      <c r="BL229" s="13">
        <v>4288.7998046875</v>
      </c>
      <c r="BM229" s="13">
        <v>7371.34326171875</v>
      </c>
      <c r="BN229" s="13">
        <v>13621.9482421875</v>
      </c>
      <c r="BO229" s="13">
        <v>9491.7431640625</v>
      </c>
      <c r="BP229" s="13">
        <v>11978.4658203125</v>
      </c>
      <c r="BQ229" s="13"/>
      <c r="BR229" s="13"/>
    </row>
    <row r="230" spans="2:70" x14ac:dyDescent="0.2">
      <c r="B230">
        <v>2025</v>
      </c>
      <c r="C230" s="13">
        <v>14588.109375</v>
      </c>
      <c r="D230" s="13">
        <v>36333.796875</v>
      </c>
      <c r="E230" s="13">
        <v>47013.390625</v>
      </c>
      <c r="F230" s="13">
        <v>13002.3427734375</v>
      </c>
      <c r="G230" s="13">
        <v>15391.8564453125</v>
      </c>
      <c r="H230" s="13">
        <v>3509</v>
      </c>
      <c r="I230" s="13">
        <v>20376.61328125</v>
      </c>
      <c r="J230" s="13">
        <v>18345.845703125</v>
      </c>
      <c r="K230" s="13">
        <v>7596.63720703125</v>
      </c>
      <c r="L230" s="13">
        <v>41797.78515625</v>
      </c>
      <c r="M230" s="13">
        <v>49726.015625</v>
      </c>
      <c r="N230" s="13">
        <v>33533.67578125</v>
      </c>
      <c r="O230" s="13">
        <v>37176.3515625</v>
      </c>
      <c r="P230" s="13">
        <v>38013.41015625</v>
      </c>
      <c r="Q230" s="13">
        <v>34700.18359375</v>
      </c>
      <c r="R230" s="13">
        <v>47551.40234375</v>
      </c>
      <c r="S230" s="13">
        <v>70146.8359375</v>
      </c>
      <c r="T230" s="13">
        <v>45180.14453125</v>
      </c>
      <c r="U230" s="13">
        <v>41160.83203125</v>
      </c>
      <c r="V230" s="13">
        <v>25895.28515625</v>
      </c>
      <c r="W230" s="13">
        <v>49940.40234375</v>
      </c>
      <c r="X230" s="13">
        <v>42166.84765625</v>
      </c>
      <c r="Y230" s="13">
        <v>41639.875</v>
      </c>
      <c r="Z230" s="13">
        <v>32442.92578125</v>
      </c>
      <c r="AA230" s="13">
        <v>4771.2880859375</v>
      </c>
      <c r="AB230" s="13">
        <v>20248.099609375</v>
      </c>
      <c r="AC230" s="13">
        <v>13109.828125</v>
      </c>
      <c r="AD230" s="13">
        <v>19354.24609375</v>
      </c>
      <c r="AE230" s="13">
        <v>12763.9033203125</v>
      </c>
      <c r="AF230" s="13">
        <v>13822.1337890625</v>
      </c>
      <c r="AG230" s="13">
        <v>10159.318359375</v>
      </c>
      <c r="AH230" s="13">
        <v>53645.625</v>
      </c>
      <c r="AI230" s="13">
        <v>11393.84765625</v>
      </c>
      <c r="AJ230" s="13">
        <v>13136.634765625</v>
      </c>
      <c r="AK230" s="13">
        <v>9042.8203125</v>
      </c>
      <c r="AL230" s="13">
        <v>7146.048828125</v>
      </c>
      <c r="AM230" s="13">
        <v>48625.16796875</v>
      </c>
      <c r="AN230" s="13">
        <v>24358.060546875</v>
      </c>
      <c r="AO230" s="13">
        <v>9848.681640625</v>
      </c>
      <c r="AP230" s="13">
        <v>1174.9881591796875</v>
      </c>
      <c r="AQ230" s="13">
        <v>4940.71923828125</v>
      </c>
      <c r="AR230" s="13">
        <v>2571.2158203125</v>
      </c>
      <c r="AS230" s="13">
        <v>4177.35107421875</v>
      </c>
      <c r="AT230" s="13">
        <v>2113.9609375</v>
      </c>
      <c r="AU230" s="13">
        <v>1268.6309814453125</v>
      </c>
      <c r="AV230" s="13">
        <v>5774.8212890625</v>
      </c>
      <c r="AW230" s="13">
        <v>2506.84619140625</v>
      </c>
      <c r="AX230" s="13">
        <v>916.99755859375</v>
      </c>
      <c r="AY230" s="13">
        <v>9131.0087890625</v>
      </c>
      <c r="AZ230" s="13">
        <v>2886.675048828125</v>
      </c>
      <c r="BA230" s="13">
        <v>29058.376953125</v>
      </c>
      <c r="BB230" s="13">
        <v>11971.2490234375</v>
      </c>
      <c r="BC230" s="13">
        <v>15891.3466796875</v>
      </c>
      <c r="BD230" s="13">
        <v>30128.580078125</v>
      </c>
      <c r="BE230" s="13">
        <v>35047.71875</v>
      </c>
      <c r="BF230" s="13">
        <v>55286.75390625</v>
      </c>
      <c r="BG230" s="13">
        <v>26422.28515625</v>
      </c>
      <c r="BH230" s="13">
        <v>6363.22802734375</v>
      </c>
      <c r="BI230" s="13">
        <v>6995.490234375</v>
      </c>
      <c r="BJ230" s="13">
        <v>9755.375</v>
      </c>
      <c r="BK230" s="13">
        <v>3684.119873046875</v>
      </c>
      <c r="BL230" s="13">
        <v>4349.1474609375</v>
      </c>
      <c r="BM230" s="13">
        <v>7613.03076171875</v>
      </c>
      <c r="BN230" s="13">
        <v>14093.056640625</v>
      </c>
      <c r="BO230" s="13">
        <v>10207.1640625</v>
      </c>
      <c r="BP230" s="13">
        <v>12319.26171875</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sheetPr>
  <dimension ref="B2:H13"/>
  <sheetViews>
    <sheetView workbookViewId="0">
      <selection activeCell="E5" sqref="E5"/>
    </sheetView>
  </sheetViews>
  <sheetFormatPr baseColWidth="10" defaultColWidth="8.83203125" defaultRowHeight="15" x14ac:dyDescent="0.2"/>
  <cols>
    <col min="2" max="2" width="25.83203125" customWidth="1"/>
    <col min="3" max="3" width="19.5" customWidth="1"/>
    <col min="4" max="4" width="12.5" customWidth="1"/>
    <col min="5" max="5" width="17.33203125" customWidth="1"/>
    <col min="6" max="7" width="17" customWidth="1"/>
    <col min="8" max="8" width="16.33203125" customWidth="1"/>
  </cols>
  <sheetData>
    <row r="2" spans="2:8" ht="16" thickBot="1" x14ac:dyDescent="0.25"/>
    <row r="3" spans="2:8" ht="17" thickBot="1" x14ac:dyDescent="0.25">
      <c r="B3" s="111" t="s">
        <v>596</v>
      </c>
      <c r="C3" s="112"/>
      <c r="D3" s="112"/>
      <c r="E3" s="112"/>
      <c r="F3" s="112"/>
      <c r="G3" s="112"/>
      <c r="H3" s="113"/>
    </row>
    <row r="4" spans="2:8" ht="52" thickBot="1" x14ac:dyDescent="0.25">
      <c r="B4" s="21"/>
      <c r="C4" s="1" t="s">
        <v>484</v>
      </c>
      <c r="D4" s="1" t="s">
        <v>485</v>
      </c>
      <c r="E4" s="15" t="s">
        <v>597</v>
      </c>
      <c r="F4" s="1" t="s">
        <v>486</v>
      </c>
      <c r="G4" s="1" t="s">
        <v>598</v>
      </c>
      <c r="H4" s="1" t="s">
        <v>487</v>
      </c>
    </row>
    <row r="5" spans="2:8" ht="18" thickBot="1" x14ac:dyDescent="0.25">
      <c r="B5" s="22" t="s">
        <v>230</v>
      </c>
      <c r="C5" s="2">
        <v>1652.185614</v>
      </c>
      <c r="D5" s="16">
        <v>20.073858128574191</v>
      </c>
      <c r="E5" s="2">
        <v>30310.745591808001</v>
      </c>
      <c r="F5" s="16">
        <v>25.244665192927389</v>
      </c>
      <c r="G5" s="2">
        <v>18345.847666851794</v>
      </c>
      <c r="H5" s="16">
        <v>125.75891007714559</v>
      </c>
    </row>
    <row r="6" spans="2:8" ht="18" thickBot="1" x14ac:dyDescent="0.25">
      <c r="B6" s="22" t="s">
        <v>226</v>
      </c>
      <c r="C6" s="2">
        <v>555.98502099999996</v>
      </c>
      <c r="D6" s="16">
        <v>6.755151684286691</v>
      </c>
      <c r="E6" s="2">
        <v>20201.048096896</v>
      </c>
      <c r="F6" s="16">
        <v>16.82468331924472</v>
      </c>
      <c r="G6" s="2">
        <v>36333.799174233507</v>
      </c>
      <c r="H6" s="16">
        <v>249.06447857242046</v>
      </c>
    </row>
    <row r="7" spans="2:8" ht="18" thickBot="1" x14ac:dyDescent="0.25">
      <c r="B7" s="22" t="s">
        <v>229</v>
      </c>
      <c r="C7" s="2">
        <v>666.73669299999995</v>
      </c>
      <c r="D7" s="16">
        <v>8.1007712880356344</v>
      </c>
      <c r="E7" s="2">
        <v>8669.1391562240005</v>
      </c>
      <c r="F7" s="16">
        <v>7.2201957172877931</v>
      </c>
      <c r="G7" s="2">
        <v>13002.342974731106</v>
      </c>
      <c r="H7" s="16">
        <v>89.129731732478376</v>
      </c>
    </row>
    <row r="8" spans="2:8" ht="18" thickBot="1" x14ac:dyDescent="0.25">
      <c r="B8" s="22" t="s">
        <v>231</v>
      </c>
      <c r="C8" s="2">
        <v>612.22661800000003</v>
      </c>
      <c r="D8" s="16">
        <v>7.4384803790385661</v>
      </c>
      <c r="E8" s="2">
        <v>9423.3042083839991</v>
      </c>
      <c r="F8" s="16">
        <v>7.8483110562628706</v>
      </c>
      <c r="G8" s="2">
        <v>15391.856432455865</v>
      </c>
      <c r="H8" s="16">
        <v>105.50960218137023</v>
      </c>
    </row>
    <row r="9" spans="2:8" ht="18" thickBot="1" x14ac:dyDescent="0.25">
      <c r="B9" s="22" t="s">
        <v>227</v>
      </c>
      <c r="C9" s="2">
        <v>433.84501899999998</v>
      </c>
      <c r="D9" s="16">
        <v>5.2711652294985862</v>
      </c>
      <c r="E9" s="2">
        <v>20396.524346400001</v>
      </c>
      <c r="F9" s="16">
        <v>16.987488039997988</v>
      </c>
      <c r="G9" s="2">
        <v>47013.388314134361</v>
      </c>
      <c r="H9" s="16">
        <v>322.27197024544625</v>
      </c>
    </row>
    <row r="10" spans="2:8" ht="18" thickBot="1" x14ac:dyDescent="0.25">
      <c r="B10" s="22" t="s">
        <v>233</v>
      </c>
      <c r="C10" s="2">
        <v>292.729918</v>
      </c>
      <c r="D10" s="16">
        <v>3.5566335853116535</v>
      </c>
      <c r="E10" s="2">
        <v>5964.8444989440004</v>
      </c>
      <c r="F10" s="16">
        <v>4.9678917282857258</v>
      </c>
      <c r="G10" s="2">
        <v>20376.613841513801</v>
      </c>
      <c r="H10" s="16">
        <v>139.67960457895779</v>
      </c>
    </row>
    <row r="11" spans="2:8" ht="18" thickBot="1" x14ac:dyDescent="0.25">
      <c r="B11" s="22" t="s">
        <v>228</v>
      </c>
      <c r="C11" s="2">
        <v>2692.8217340000001</v>
      </c>
      <c r="D11" s="16">
        <v>32.717462853938848</v>
      </c>
      <c r="E11" s="2">
        <v>20456.390714879999</v>
      </c>
      <c r="F11" s="16">
        <v>17.037348457453458</v>
      </c>
      <c r="G11" s="2">
        <v>7596.6375555404666</v>
      </c>
      <c r="H11" s="16">
        <v>52.074173763147833</v>
      </c>
    </row>
    <row r="12" spans="2:8" ht="18" thickBot="1" x14ac:dyDescent="0.25">
      <c r="B12" s="22" t="s">
        <v>232</v>
      </c>
      <c r="C12" s="2">
        <v>1324.0028629999999</v>
      </c>
      <c r="D12" s="16">
        <v>16.08647685131584</v>
      </c>
      <c r="E12" s="2">
        <v>4645.926494976</v>
      </c>
      <c r="F12" s="16">
        <v>3.8694151722984356</v>
      </c>
      <c r="G12" s="2">
        <v>3509.0003389033459</v>
      </c>
      <c r="H12" s="16">
        <v>24.053838563053201</v>
      </c>
    </row>
    <row r="13" spans="2:8" ht="18" thickBot="1" x14ac:dyDescent="0.25">
      <c r="B13" s="23" t="s">
        <v>450</v>
      </c>
      <c r="C13" s="18">
        <v>8230.5334800000001</v>
      </c>
      <c r="D13" s="19">
        <v>100</v>
      </c>
      <c r="E13" s="18">
        <v>120067.924688896</v>
      </c>
      <c r="F13" s="19">
        <v>100</v>
      </c>
      <c r="G13" s="18">
        <v>14588.109626266412</v>
      </c>
      <c r="H13" s="19">
        <v>100.00000000000003</v>
      </c>
    </row>
  </sheetData>
  <mergeCells count="1">
    <mergeCell ref="B3:H3"/>
  </mergeCell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8"/>
  </sheetPr>
  <dimension ref="B1:J13"/>
  <sheetViews>
    <sheetView topLeftCell="B1" workbookViewId="0">
      <selection activeCell="E30" sqref="E30"/>
    </sheetView>
  </sheetViews>
  <sheetFormatPr baseColWidth="10" defaultColWidth="8.83203125" defaultRowHeight="15" x14ac:dyDescent="0.2"/>
  <cols>
    <col min="2" max="2" width="24.6640625" customWidth="1"/>
    <col min="3" max="10" width="16.6640625" customWidth="1"/>
  </cols>
  <sheetData>
    <row r="1" spans="2:10" ht="16" thickBot="1" x14ac:dyDescent="0.25"/>
    <row r="2" spans="2:10" ht="17" thickBot="1" x14ac:dyDescent="0.25">
      <c r="B2" s="151" t="s">
        <v>595</v>
      </c>
      <c r="C2" s="152"/>
      <c r="D2" s="152"/>
      <c r="E2" s="152"/>
      <c r="F2" s="152"/>
      <c r="G2" s="152"/>
      <c r="H2" s="152"/>
      <c r="I2" s="152"/>
      <c r="J2" s="153"/>
    </row>
    <row r="3" spans="2:10" ht="17" thickBot="1" x14ac:dyDescent="0.25">
      <c r="B3" s="21"/>
      <c r="C3" s="120" t="s">
        <v>586</v>
      </c>
      <c r="D3" s="121"/>
      <c r="E3" s="120" t="s">
        <v>587</v>
      </c>
      <c r="F3" s="121"/>
      <c r="G3" s="120" t="s">
        <v>588</v>
      </c>
      <c r="H3" s="121"/>
      <c r="I3" s="120" t="s">
        <v>589</v>
      </c>
      <c r="J3" s="121"/>
    </row>
    <row r="4" spans="2:10" ht="35" thickBot="1" x14ac:dyDescent="0.25">
      <c r="B4" s="21"/>
      <c r="C4" s="1" t="s">
        <v>488</v>
      </c>
      <c r="D4" s="1" t="s">
        <v>486</v>
      </c>
      <c r="E4" s="1" t="s">
        <v>488</v>
      </c>
      <c r="F4" s="1" t="s">
        <v>486</v>
      </c>
      <c r="G4" s="1" t="s">
        <v>488</v>
      </c>
      <c r="H4" s="1" t="s">
        <v>486</v>
      </c>
      <c r="I4" s="1" t="s">
        <v>488</v>
      </c>
      <c r="J4" s="1" t="s">
        <v>486</v>
      </c>
    </row>
    <row r="5" spans="2:10" ht="18" thickBot="1" x14ac:dyDescent="0.25">
      <c r="B5" s="22" t="s">
        <v>230</v>
      </c>
      <c r="C5" s="2">
        <v>30310.745591808001</v>
      </c>
      <c r="D5" s="17">
        <v>25.244665192927389</v>
      </c>
      <c r="E5" s="2">
        <v>18893.621907455999</v>
      </c>
      <c r="F5" s="17">
        <v>21.966724235238882</v>
      </c>
      <c r="G5" s="17">
        <v>44705.815773183996</v>
      </c>
      <c r="H5" s="24">
        <v>25.244664137230735</v>
      </c>
      <c r="I5" s="2">
        <v>22268.711763968</v>
      </c>
      <c r="J5" s="16">
        <v>21.966724088001953</v>
      </c>
    </row>
    <row r="6" spans="2:10" ht="18" thickBot="1" x14ac:dyDescent="0.25">
      <c r="B6" s="22" t="s">
        <v>226</v>
      </c>
      <c r="C6" s="2">
        <v>20201.048096896</v>
      </c>
      <c r="D6" s="17">
        <v>16.824683319244727</v>
      </c>
      <c r="E6" s="2">
        <v>19982.897585408002</v>
      </c>
      <c r="F6" s="17">
        <v>23.233173757248313</v>
      </c>
      <c r="G6" s="17">
        <v>29794.857556608</v>
      </c>
      <c r="H6" s="24">
        <v>16.824682852211165</v>
      </c>
      <c r="I6" s="2">
        <v>23552.572467456001</v>
      </c>
      <c r="J6" s="16">
        <v>23.233174259878602</v>
      </c>
    </row>
    <row r="7" spans="2:10" ht="18" thickBot="1" x14ac:dyDescent="0.25">
      <c r="B7" s="22" t="s">
        <v>229</v>
      </c>
      <c r="C7" s="2">
        <v>8669.1391562240005</v>
      </c>
      <c r="D7" s="17">
        <v>7.2201957172877904</v>
      </c>
      <c r="E7" s="2">
        <v>5460.5558694560004</v>
      </c>
      <c r="F7" s="17">
        <v>6.3487310978801261</v>
      </c>
      <c r="G7" s="17">
        <v>12786.256091264</v>
      </c>
      <c r="H7" s="24">
        <v>7.2201957399510643</v>
      </c>
      <c r="I7" s="2">
        <v>6436.0103133359999</v>
      </c>
      <c r="J7" s="16">
        <v>6.3487310931629368</v>
      </c>
    </row>
    <row r="8" spans="2:10" ht="18" thickBot="1" x14ac:dyDescent="0.25">
      <c r="B8" s="22" t="s">
        <v>231</v>
      </c>
      <c r="C8" s="2">
        <v>9423.3042083839991</v>
      </c>
      <c r="D8" s="17">
        <v>7.8483110562628688</v>
      </c>
      <c r="E8" s="2">
        <v>4949.7013893120002</v>
      </c>
      <c r="F8" s="17">
        <v>5.7547846568734293</v>
      </c>
      <c r="G8" s="17">
        <v>13898.586200064001</v>
      </c>
      <c r="H8" s="24">
        <v>7.8483108860620758</v>
      </c>
      <c r="I8" s="2">
        <v>5833.8985615359998</v>
      </c>
      <c r="J8" s="16">
        <v>5.7547846241383915</v>
      </c>
    </row>
    <row r="9" spans="2:10" ht="18" thickBot="1" x14ac:dyDescent="0.25">
      <c r="B9" s="22" t="s">
        <v>227</v>
      </c>
      <c r="C9" s="2">
        <v>20396.524346400001</v>
      </c>
      <c r="D9" s="17">
        <v>16.987488039997988</v>
      </c>
      <c r="E9" s="2">
        <v>25039.376745612</v>
      </c>
      <c r="F9" s="17">
        <v>29.112103898726389</v>
      </c>
      <c r="G9" s="17">
        <v>30083.170254592002</v>
      </c>
      <c r="H9" s="24">
        <v>16.987488453702294</v>
      </c>
      <c r="I9" s="2">
        <v>29512.321424927999</v>
      </c>
      <c r="J9" s="16">
        <v>29.112102613263385</v>
      </c>
    </row>
    <row r="10" spans="2:10" ht="18" thickBot="1" x14ac:dyDescent="0.25">
      <c r="B10" s="22" t="s">
        <v>233</v>
      </c>
      <c r="C10" s="2">
        <v>5964.8444989440004</v>
      </c>
      <c r="D10" s="17">
        <v>4.9678917282857258</v>
      </c>
      <c r="E10" s="2">
        <v>2684.9699901439999</v>
      </c>
      <c r="F10" s="17">
        <v>3.1216881359370285</v>
      </c>
      <c r="G10" s="17">
        <v>8797.6470814719996</v>
      </c>
      <c r="H10" s="24">
        <v>4.967891580291167</v>
      </c>
      <c r="I10" s="2">
        <v>3164.6034165760002</v>
      </c>
      <c r="J10" s="16">
        <v>3.1216879915053708</v>
      </c>
    </row>
    <row r="11" spans="2:10" ht="18" thickBot="1" x14ac:dyDescent="0.25">
      <c r="B11" s="22" t="s">
        <v>228</v>
      </c>
      <c r="C11" s="2">
        <v>20456.390714879999</v>
      </c>
      <c r="D11" s="17">
        <v>17.037348457453454</v>
      </c>
      <c r="E11" s="2">
        <v>6950.2577022719997</v>
      </c>
      <c r="F11" s="17">
        <v>8.0807372486587159</v>
      </c>
      <c r="G11" s="17">
        <v>30171.468353024</v>
      </c>
      <c r="H11" s="24">
        <v>17.037348987512512</v>
      </c>
      <c r="I11" s="2">
        <v>8191.8270330879996</v>
      </c>
      <c r="J11" s="16">
        <v>8.0807370502520417</v>
      </c>
    </row>
    <row r="12" spans="2:10" ht="18" thickBot="1" x14ac:dyDescent="0.25">
      <c r="B12" s="22" t="s">
        <v>232</v>
      </c>
      <c r="C12" s="2">
        <v>4645.926494976</v>
      </c>
      <c r="D12" s="17">
        <v>3.8694151722984342</v>
      </c>
      <c r="E12" s="2">
        <v>2048.8168535680002</v>
      </c>
      <c r="F12" s="17">
        <v>2.3820628491076881</v>
      </c>
      <c r="G12" s="17">
        <v>6852.3532578559998</v>
      </c>
      <c r="H12" s="24">
        <v>3.8694150537791061</v>
      </c>
      <c r="I12" s="2">
        <v>2414.8102761599998</v>
      </c>
      <c r="J12" s="16">
        <v>2.3820628522889682</v>
      </c>
    </row>
    <row r="13" spans="2:10" ht="18" thickBot="1" x14ac:dyDescent="0.25">
      <c r="B13" s="23" t="s">
        <v>450</v>
      </c>
      <c r="C13" s="18">
        <v>120067.924688896</v>
      </c>
      <c r="D13" s="20">
        <v>100</v>
      </c>
      <c r="E13" s="18">
        <v>86010.192986112001</v>
      </c>
      <c r="F13" s="20">
        <v>100</v>
      </c>
      <c r="G13" s="20">
        <v>177090.158657536</v>
      </c>
      <c r="H13" s="25">
        <v>100</v>
      </c>
      <c r="I13" s="18">
        <v>101374.750621696</v>
      </c>
      <c r="J13" s="19">
        <v>100</v>
      </c>
    </row>
  </sheetData>
  <mergeCells count="5">
    <mergeCell ref="E3:F3"/>
    <mergeCell ref="G3:H3"/>
    <mergeCell ref="I3:J3"/>
    <mergeCell ref="B2:J2"/>
    <mergeCell ref="C3:D3"/>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8"/>
  </sheetPr>
  <dimension ref="B1:J13"/>
  <sheetViews>
    <sheetView topLeftCell="B1" workbookViewId="0">
      <selection activeCell="D33" sqref="D33"/>
    </sheetView>
  </sheetViews>
  <sheetFormatPr baseColWidth="10" defaultColWidth="8.83203125" defaultRowHeight="15" x14ac:dyDescent="0.2"/>
  <cols>
    <col min="2" max="2" width="27.5" customWidth="1"/>
    <col min="3" max="3" width="16.6640625" customWidth="1"/>
    <col min="4" max="4" width="17.33203125" customWidth="1"/>
    <col min="5" max="5" width="16.6640625" customWidth="1"/>
    <col min="6" max="6" width="17.5" customWidth="1"/>
    <col min="7" max="7" width="16.5" customWidth="1"/>
    <col min="8" max="8" width="15.6640625" customWidth="1"/>
    <col min="9" max="9" width="16.1640625" customWidth="1"/>
    <col min="10" max="10" width="17" customWidth="1"/>
  </cols>
  <sheetData>
    <row r="1" spans="2:10" ht="16" thickBot="1" x14ac:dyDescent="0.25"/>
    <row r="2" spans="2:10" ht="17" thickBot="1" x14ac:dyDescent="0.25">
      <c r="B2" s="151" t="s">
        <v>590</v>
      </c>
      <c r="C2" s="152"/>
      <c r="D2" s="152"/>
      <c r="E2" s="152"/>
      <c r="F2" s="152"/>
      <c r="G2" s="152"/>
      <c r="H2" s="152"/>
      <c r="I2" s="152"/>
      <c r="J2" s="153"/>
    </row>
    <row r="3" spans="2:10" ht="17" thickBot="1" x14ac:dyDescent="0.25">
      <c r="B3" s="21"/>
      <c r="C3" s="120" t="s">
        <v>591</v>
      </c>
      <c r="D3" s="121"/>
      <c r="E3" s="120" t="s">
        <v>592</v>
      </c>
      <c r="F3" s="121"/>
      <c r="G3" s="120" t="s">
        <v>593</v>
      </c>
      <c r="H3" s="121"/>
      <c r="I3" s="120" t="s">
        <v>594</v>
      </c>
      <c r="J3" s="121"/>
    </row>
    <row r="4" spans="2:10" ht="52" thickBot="1" x14ac:dyDescent="0.25">
      <c r="B4" s="21"/>
      <c r="C4" s="1" t="s">
        <v>489</v>
      </c>
      <c r="D4" s="1" t="s">
        <v>490</v>
      </c>
      <c r="E4" s="1" t="s">
        <v>489</v>
      </c>
      <c r="F4" s="1" t="s">
        <v>490</v>
      </c>
      <c r="G4" s="1" t="s">
        <v>489</v>
      </c>
      <c r="H4" s="1" t="s">
        <v>490</v>
      </c>
      <c r="I4" s="1" t="s">
        <v>489</v>
      </c>
      <c r="J4" s="1" t="s">
        <v>490</v>
      </c>
    </row>
    <row r="5" spans="2:10" ht="18" thickBot="1" x14ac:dyDescent="0.25">
      <c r="B5" s="22" t="s">
        <v>230</v>
      </c>
      <c r="C5" s="2">
        <v>18345.847666851794</v>
      </c>
      <c r="D5" s="17">
        <v>125.75891007714557</v>
      </c>
      <c r="E5" s="2">
        <v>11435.532271530843</v>
      </c>
      <c r="F5" s="17">
        <v>109.42950824171808</v>
      </c>
      <c r="G5" s="17">
        <v>27058.591597919578</v>
      </c>
      <c r="H5" s="24">
        <v>125.75890481808352</v>
      </c>
      <c r="I5" s="2">
        <v>13478.335348807848</v>
      </c>
      <c r="J5" s="16">
        <v>109.42950750824205</v>
      </c>
    </row>
    <row r="6" spans="2:10" ht="18" thickBot="1" x14ac:dyDescent="0.25">
      <c r="B6" s="22" t="s">
        <v>226</v>
      </c>
      <c r="C6" s="2">
        <v>36333.799174233507</v>
      </c>
      <c r="D6" s="17">
        <v>249.0644785724204</v>
      </c>
      <c r="E6" s="2">
        <v>35941.431568545799</v>
      </c>
      <c r="F6" s="17">
        <v>343.9326730633083</v>
      </c>
      <c r="G6" s="17">
        <v>53589.317034150816</v>
      </c>
      <c r="H6" s="24">
        <v>249.06447165868136</v>
      </c>
      <c r="I6" s="2">
        <v>42361.883104501838</v>
      </c>
      <c r="J6" s="16">
        <v>343.93268050400422</v>
      </c>
    </row>
    <row r="7" spans="2:10" ht="18" thickBot="1" x14ac:dyDescent="0.25">
      <c r="B7" s="22" t="s">
        <v>229</v>
      </c>
      <c r="C7" s="2">
        <v>13002.342974731106</v>
      </c>
      <c r="D7" s="17">
        <v>89.129731732478362</v>
      </c>
      <c r="E7" s="2">
        <v>8189.9735334590323</v>
      </c>
      <c r="F7" s="17">
        <v>78.371933636206066</v>
      </c>
      <c r="G7" s="17">
        <v>19177.36975556556</v>
      </c>
      <c r="H7" s="24">
        <v>89.129732012245242</v>
      </c>
      <c r="I7" s="2">
        <v>9653.001523550467</v>
      </c>
      <c r="J7" s="16">
        <v>78.371933577974744</v>
      </c>
    </row>
    <row r="8" spans="2:10" ht="18" thickBot="1" x14ac:dyDescent="0.25">
      <c r="B8" s="22" t="s">
        <v>231</v>
      </c>
      <c r="C8" s="2">
        <v>15391.856432455865</v>
      </c>
      <c r="D8" s="17">
        <v>105.50960218137023</v>
      </c>
      <c r="E8" s="2">
        <v>8084.7536578554973</v>
      </c>
      <c r="F8" s="17">
        <v>77.365057963858547</v>
      </c>
      <c r="G8" s="17">
        <v>22701.701937539736</v>
      </c>
      <c r="H8" s="24">
        <v>105.50959989325779</v>
      </c>
      <c r="I8" s="2">
        <v>9528.9854933030692</v>
      </c>
      <c r="J8" s="16">
        <v>77.365057523781573</v>
      </c>
    </row>
    <row r="9" spans="2:10" ht="18" thickBot="1" x14ac:dyDescent="0.25">
      <c r="B9" s="22" t="s">
        <v>227</v>
      </c>
      <c r="C9" s="2">
        <v>47013.388314134361</v>
      </c>
      <c r="D9" s="17">
        <v>322.2719702454462</v>
      </c>
      <c r="E9" s="2">
        <v>57715.026447294535</v>
      </c>
      <c r="F9" s="17">
        <v>552.28972402171587</v>
      </c>
      <c r="G9" s="17">
        <v>69340.822038092825</v>
      </c>
      <c r="H9" s="24">
        <v>322.27197809388736</v>
      </c>
      <c r="I9" s="2">
        <v>68025.032286766902</v>
      </c>
      <c r="J9" s="16">
        <v>552.2896996350205</v>
      </c>
    </row>
    <row r="10" spans="2:10" ht="18" thickBot="1" x14ac:dyDescent="0.25">
      <c r="B10" s="22" t="s">
        <v>233</v>
      </c>
      <c r="C10" s="2">
        <v>20376.613841513801</v>
      </c>
      <c r="D10" s="17">
        <v>139.67960457895779</v>
      </c>
      <c r="E10" s="2">
        <v>9172.1748446088113</v>
      </c>
      <c r="F10" s="17">
        <v>87.770867058926655</v>
      </c>
      <c r="G10" s="17">
        <v>30053.802295233792</v>
      </c>
      <c r="H10" s="24">
        <v>139.67960041787242</v>
      </c>
      <c r="I10" s="2">
        <v>10810.659321046918</v>
      </c>
      <c r="J10" s="16">
        <v>87.770862998017535</v>
      </c>
    </row>
    <row r="11" spans="2:10" ht="18" thickBot="1" x14ac:dyDescent="0.25">
      <c r="B11" s="22" t="s">
        <v>228</v>
      </c>
      <c r="C11" s="2">
        <v>7596.6375555404666</v>
      </c>
      <c r="D11" s="17">
        <v>52.074173763147826</v>
      </c>
      <c r="E11" s="2">
        <v>2581.0314936621794</v>
      </c>
      <c r="F11" s="17">
        <v>24.698544886361447</v>
      </c>
      <c r="G11" s="17">
        <v>11204.406133563984</v>
      </c>
      <c r="H11" s="24">
        <v>52.074175383258329</v>
      </c>
      <c r="I11" s="2">
        <v>3042.0977852550263</v>
      </c>
      <c r="J11" s="16">
        <v>24.69854427993705</v>
      </c>
    </row>
    <row r="12" spans="2:10" ht="18" thickBot="1" x14ac:dyDescent="0.25">
      <c r="B12" s="22" t="s">
        <v>232</v>
      </c>
      <c r="C12" s="2">
        <v>3509.0003389033459</v>
      </c>
      <c r="D12" s="17">
        <v>24.053838563053198</v>
      </c>
      <c r="E12" s="2">
        <v>1547.4414072834222</v>
      </c>
      <c r="F12" s="17">
        <v>14.807859241800605</v>
      </c>
      <c r="G12" s="17">
        <v>5175.4822057782812</v>
      </c>
      <c r="H12" s="24">
        <v>24.053837826289449</v>
      </c>
      <c r="I12" s="2">
        <v>1823.8708870223945</v>
      </c>
      <c r="J12" s="16">
        <v>14.80785926157672</v>
      </c>
    </row>
    <row r="13" spans="2:10" ht="18" thickBot="1" x14ac:dyDescent="0.25">
      <c r="B13" s="23" t="s">
        <v>450</v>
      </c>
      <c r="C13" s="18">
        <v>14588.109626266412</v>
      </c>
      <c r="D13" s="20">
        <v>100</v>
      </c>
      <c r="E13" s="18">
        <v>10450.135850259854</v>
      </c>
      <c r="F13" s="20">
        <v>100</v>
      </c>
      <c r="G13" s="20">
        <v>21516.243034289437</v>
      </c>
      <c r="H13" s="25">
        <v>100</v>
      </c>
      <c r="I13" s="18">
        <v>12316.911275318207</v>
      </c>
      <c r="J13" s="19">
        <v>100</v>
      </c>
    </row>
  </sheetData>
  <mergeCells count="5">
    <mergeCell ref="B2:J2"/>
    <mergeCell ref="C3:D3"/>
    <mergeCell ref="E3:F3"/>
    <mergeCell ref="G3:H3"/>
    <mergeCell ref="I3:J3"/>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8"/>
  </sheetPr>
  <dimension ref="B1:J13"/>
  <sheetViews>
    <sheetView workbookViewId="0">
      <selection activeCell="J33" sqref="J33"/>
    </sheetView>
  </sheetViews>
  <sheetFormatPr baseColWidth="10" defaultColWidth="8.83203125" defaultRowHeight="15" x14ac:dyDescent="0.2"/>
  <cols>
    <col min="2" max="2" width="25.1640625" customWidth="1"/>
    <col min="3" max="3" width="16" customWidth="1"/>
    <col min="4" max="4" width="18.83203125" bestFit="1" customWidth="1"/>
    <col min="5" max="5" width="16" customWidth="1"/>
    <col min="6" max="6" width="18.83203125" bestFit="1" customWidth="1"/>
    <col min="7" max="7" width="17.83203125" customWidth="1"/>
    <col min="8" max="8" width="18.83203125" bestFit="1" customWidth="1"/>
    <col min="9" max="9" width="16" customWidth="1"/>
    <col min="10" max="10" width="19.1640625" customWidth="1"/>
  </cols>
  <sheetData>
    <row r="1" spans="2:10" ht="16" thickBot="1" x14ac:dyDescent="0.25"/>
    <row r="2" spans="2:10" ht="17" thickBot="1" x14ac:dyDescent="0.25">
      <c r="B2" s="151" t="s">
        <v>585</v>
      </c>
      <c r="C2" s="152"/>
      <c r="D2" s="152"/>
      <c r="E2" s="152"/>
      <c r="F2" s="152"/>
      <c r="G2" s="152"/>
      <c r="H2" s="152"/>
      <c r="I2" s="152"/>
      <c r="J2" s="153"/>
    </row>
    <row r="3" spans="2:10" ht="17" thickBot="1" x14ac:dyDescent="0.25">
      <c r="B3" s="21"/>
      <c r="C3" s="120" t="s">
        <v>586</v>
      </c>
      <c r="D3" s="121"/>
      <c r="E3" s="120" t="s">
        <v>587</v>
      </c>
      <c r="F3" s="121"/>
      <c r="G3" s="120" t="s">
        <v>588</v>
      </c>
      <c r="H3" s="121"/>
      <c r="I3" s="120" t="s">
        <v>589</v>
      </c>
      <c r="J3" s="121"/>
    </row>
    <row r="4" spans="2:10" ht="52" thickBot="1" x14ac:dyDescent="0.25">
      <c r="B4" s="21"/>
      <c r="C4" s="1" t="s">
        <v>491</v>
      </c>
      <c r="D4" s="1" t="s">
        <v>493</v>
      </c>
      <c r="E4" s="1" t="s">
        <v>491</v>
      </c>
      <c r="F4" s="1" t="s">
        <v>493</v>
      </c>
      <c r="G4" s="1" t="s">
        <v>491</v>
      </c>
      <c r="H4" s="1" t="s">
        <v>493</v>
      </c>
      <c r="I4" s="1" t="s">
        <v>491</v>
      </c>
      <c r="J4" s="1" t="s">
        <v>492</v>
      </c>
    </row>
    <row r="5" spans="2:10" ht="18" thickBot="1" x14ac:dyDescent="0.25">
      <c r="B5" s="22" t="s">
        <v>230</v>
      </c>
      <c r="C5" s="2">
        <v>37298.111905792</v>
      </c>
      <c r="D5" s="17">
        <v>26.015709438921249</v>
      </c>
      <c r="E5" s="2">
        <v>23215.606549503998</v>
      </c>
      <c r="F5" s="17">
        <v>22.605072453081256</v>
      </c>
      <c r="G5" s="17">
        <v>55011.596443647999</v>
      </c>
      <c r="H5" s="24">
        <v>26.015707463414415</v>
      </c>
      <c r="I5" s="2">
        <v>27362.760548351998</v>
      </c>
      <c r="J5" s="16">
        <v>22.605072577067876</v>
      </c>
    </row>
    <row r="6" spans="2:10" ht="18" thickBot="1" x14ac:dyDescent="0.25">
      <c r="B6" s="22" t="s">
        <v>226</v>
      </c>
      <c r="C6" s="2">
        <v>24116.720456192001</v>
      </c>
      <c r="D6" s="17">
        <v>16.821591226727719</v>
      </c>
      <c r="E6" s="2">
        <v>23800.622032512001</v>
      </c>
      <c r="F6" s="17">
        <v>23.174702945025164</v>
      </c>
      <c r="G6" s="17">
        <v>35570.147095808003</v>
      </c>
      <c r="H6" s="24">
        <v>16.82159037546004</v>
      </c>
      <c r="I6" s="2">
        <v>28052.281453055999</v>
      </c>
      <c r="J6" s="16">
        <v>23.174703337337725</v>
      </c>
    </row>
    <row r="7" spans="2:10" ht="18" thickBot="1" x14ac:dyDescent="0.25">
      <c r="B7" s="22" t="s">
        <v>229</v>
      </c>
      <c r="C7" s="2">
        <v>10322.061010432</v>
      </c>
      <c r="D7" s="17">
        <v>7.1997140428042963</v>
      </c>
      <c r="E7" s="2">
        <v>6496.2751414080003</v>
      </c>
      <c r="F7" s="17">
        <v>6.3254332784088261</v>
      </c>
      <c r="G7" s="17">
        <v>15224.177616831999</v>
      </c>
      <c r="H7" s="24">
        <v>7.1997138213627618</v>
      </c>
      <c r="I7" s="2">
        <v>7656.7467999680002</v>
      </c>
      <c r="J7" s="16">
        <v>6.3254333133406444</v>
      </c>
    </row>
    <row r="8" spans="2:10" ht="18" thickBot="1" x14ac:dyDescent="0.25">
      <c r="B8" s="22" t="s">
        <v>231</v>
      </c>
      <c r="C8" s="2">
        <v>10670.036061184001</v>
      </c>
      <c r="D8" s="17">
        <v>7.4424292192513954</v>
      </c>
      <c r="E8" s="2">
        <v>5608.5067007999996</v>
      </c>
      <c r="F8" s="17">
        <v>5.4610117575361983</v>
      </c>
      <c r="G8" s="17">
        <v>15737.411805184</v>
      </c>
      <c r="H8" s="24">
        <v>7.4424290190223319</v>
      </c>
      <c r="I8" s="2">
        <v>6610.3905802239997</v>
      </c>
      <c r="J8" s="16">
        <v>5.4610118216938854</v>
      </c>
    </row>
    <row r="9" spans="2:10" ht="18" thickBot="1" x14ac:dyDescent="0.25">
      <c r="B9" s="22" t="s">
        <v>227</v>
      </c>
      <c r="C9" s="2">
        <v>24436.477086264</v>
      </c>
      <c r="D9" s="17">
        <v>17.044623845647767</v>
      </c>
      <c r="E9" s="2">
        <v>30016.639396652001</v>
      </c>
      <c r="F9" s="17">
        <v>29.227248786822177</v>
      </c>
      <c r="G9" s="17">
        <v>36041.763814951999</v>
      </c>
      <c r="H9" s="24">
        <v>17.044624124583713</v>
      </c>
      <c r="I9" s="2">
        <v>35378.706292116003</v>
      </c>
      <c r="J9" s="16">
        <v>29.227249275629713</v>
      </c>
    </row>
    <row r="10" spans="2:10" ht="18" thickBot="1" x14ac:dyDescent="0.25">
      <c r="B10" s="22" t="s">
        <v>233</v>
      </c>
      <c r="C10" s="2">
        <v>7011.3183825919996</v>
      </c>
      <c r="D10" s="17">
        <v>4.8904465267839816</v>
      </c>
      <c r="E10" s="2">
        <v>3149.6031139840002</v>
      </c>
      <c r="F10" s="17">
        <v>3.0667734843903869</v>
      </c>
      <c r="G10" s="17">
        <v>10341.109071872001</v>
      </c>
      <c r="H10" s="24">
        <v>4.8904464849819336</v>
      </c>
      <c r="I10" s="2">
        <v>3712.2372392960001</v>
      </c>
      <c r="J10" s="16">
        <v>3.0667736199092754</v>
      </c>
    </row>
    <row r="11" spans="2:10" ht="18" thickBot="1" x14ac:dyDescent="0.25">
      <c r="B11" s="22" t="s">
        <v>228</v>
      </c>
      <c r="C11" s="2">
        <v>23742.547959296</v>
      </c>
      <c r="D11" s="17">
        <v>16.560603137468156</v>
      </c>
      <c r="E11" s="2">
        <v>8057.2838160640003</v>
      </c>
      <c r="F11" s="17">
        <v>7.8453898694736903</v>
      </c>
      <c r="G11" s="17">
        <v>35018.274633727997</v>
      </c>
      <c r="H11" s="24">
        <v>16.560602629989052</v>
      </c>
      <c r="I11" s="2">
        <v>9496.6087681280005</v>
      </c>
      <c r="J11" s="16">
        <v>7.8453900899440434</v>
      </c>
    </row>
    <row r="12" spans="2:10" ht="18" thickBot="1" x14ac:dyDescent="0.25">
      <c r="B12" s="22" t="s">
        <v>232</v>
      </c>
      <c r="C12" s="2">
        <v>5298.7378963199999</v>
      </c>
      <c r="D12" s="17">
        <v>3.6959089471297131</v>
      </c>
      <c r="E12" s="2">
        <v>2356.3307279999999</v>
      </c>
      <c r="F12" s="17">
        <v>2.2943629198867375</v>
      </c>
      <c r="G12" s="17">
        <v>7815.1956748800003</v>
      </c>
      <c r="H12" s="24">
        <v>3.6959088190667506</v>
      </c>
      <c r="I12" s="2">
        <v>2777.2573352320001</v>
      </c>
      <c r="J12" s="16">
        <v>2.2943629359755735</v>
      </c>
    </row>
    <row r="13" spans="2:10" ht="18" thickBot="1" x14ac:dyDescent="0.25">
      <c r="B13" s="23" t="s">
        <v>450</v>
      </c>
      <c r="C13" s="18">
        <v>143367.65250764799</v>
      </c>
      <c r="D13" s="20">
        <v>100</v>
      </c>
      <c r="E13" s="18">
        <v>102700.872105984</v>
      </c>
      <c r="F13" s="20">
        <v>100</v>
      </c>
      <c r="G13" s="20">
        <v>211455.31606630399</v>
      </c>
      <c r="H13" s="25">
        <v>100</v>
      </c>
      <c r="I13" s="18">
        <v>121046.99268300799</v>
      </c>
      <c r="J13" s="19">
        <v>100</v>
      </c>
    </row>
  </sheetData>
  <mergeCells count="5">
    <mergeCell ref="B2:J2"/>
    <mergeCell ref="C3:D3"/>
    <mergeCell ref="E3:F3"/>
    <mergeCell ref="G3:H3"/>
    <mergeCell ref="I3:J3"/>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8"/>
  </sheetPr>
  <dimension ref="B1:J13"/>
  <sheetViews>
    <sheetView workbookViewId="0">
      <selection activeCell="B3" sqref="B3"/>
    </sheetView>
  </sheetViews>
  <sheetFormatPr baseColWidth="10" defaultColWidth="8.83203125" defaultRowHeight="15" x14ac:dyDescent="0.2"/>
  <cols>
    <col min="2" max="2" width="26.6640625" customWidth="1"/>
    <col min="3" max="3" width="17.83203125" customWidth="1"/>
    <col min="4" max="4" width="17.1640625" customWidth="1"/>
    <col min="5" max="5" width="17.5" customWidth="1"/>
    <col min="6" max="6" width="16.83203125" customWidth="1"/>
    <col min="7" max="7" width="17.5" customWidth="1"/>
    <col min="8" max="8" width="17" customWidth="1"/>
    <col min="9" max="9" width="18" customWidth="1"/>
    <col min="10" max="10" width="17.1640625" customWidth="1"/>
  </cols>
  <sheetData>
    <row r="1" spans="2:10" ht="16" thickBot="1" x14ac:dyDescent="0.25"/>
    <row r="2" spans="2:10" ht="17" thickBot="1" x14ac:dyDescent="0.25">
      <c r="B2" s="151" t="s">
        <v>580</v>
      </c>
      <c r="C2" s="152"/>
      <c r="D2" s="152"/>
      <c r="E2" s="152"/>
      <c r="F2" s="152"/>
      <c r="G2" s="152"/>
      <c r="H2" s="152"/>
      <c r="I2" s="152"/>
      <c r="J2" s="153"/>
    </row>
    <row r="3" spans="2:10" ht="17" thickBot="1" x14ac:dyDescent="0.25">
      <c r="B3" s="21"/>
      <c r="C3" s="120" t="s">
        <v>581</v>
      </c>
      <c r="D3" s="121"/>
      <c r="E3" s="120" t="s">
        <v>582</v>
      </c>
      <c r="F3" s="121"/>
      <c r="G3" s="120" t="s">
        <v>583</v>
      </c>
      <c r="H3" s="121"/>
      <c r="I3" s="120" t="s">
        <v>584</v>
      </c>
      <c r="J3" s="121"/>
    </row>
    <row r="4" spans="2:10" ht="52" thickBot="1" x14ac:dyDescent="0.25">
      <c r="B4" s="21"/>
      <c r="C4" s="1" t="s">
        <v>494</v>
      </c>
      <c r="D4" s="1" t="s">
        <v>495</v>
      </c>
      <c r="E4" s="1" t="s">
        <v>494</v>
      </c>
      <c r="F4" s="1" t="s">
        <v>495</v>
      </c>
      <c r="G4" s="1" t="s">
        <v>494</v>
      </c>
      <c r="H4" s="1" t="s">
        <v>495</v>
      </c>
      <c r="I4" s="1" t="s">
        <v>494</v>
      </c>
      <c r="J4" s="1" t="s">
        <v>496</v>
      </c>
    </row>
    <row r="5" spans="2:10" ht="18" thickBot="1" x14ac:dyDescent="0.25">
      <c r="B5" s="22" t="s">
        <v>230</v>
      </c>
      <c r="C5" s="2">
        <v>22575.013115803584</v>
      </c>
      <c r="D5" s="17">
        <v>129.59994671821016</v>
      </c>
      <c r="E5" s="2">
        <v>14051.451817994101</v>
      </c>
      <c r="F5" s="17">
        <v>112.60950589714491</v>
      </c>
      <c r="G5" s="2">
        <v>33296.256774965477</v>
      </c>
      <c r="H5" s="24">
        <v>129.59993687701862</v>
      </c>
      <c r="I5" s="2">
        <v>16561.55356667571</v>
      </c>
      <c r="J5" s="16">
        <v>112.60950651479709</v>
      </c>
    </row>
    <row r="6" spans="2:10" ht="18" thickBot="1" x14ac:dyDescent="0.25">
      <c r="B6" s="22" t="s">
        <v>226</v>
      </c>
      <c r="C6" s="2">
        <v>43376.565096691695</v>
      </c>
      <c r="D6" s="17">
        <v>249.01870472955915</v>
      </c>
      <c r="E6" s="2">
        <v>42808.027435170778</v>
      </c>
      <c r="F6" s="17">
        <v>343.06709942475987</v>
      </c>
      <c r="G6" s="2">
        <v>63976.808281329577</v>
      </c>
      <c r="H6" s="24">
        <v>249.01869212780397</v>
      </c>
      <c r="I6" s="2">
        <v>50455.102913745584</v>
      </c>
      <c r="J6" s="16">
        <v>343.06710523236529</v>
      </c>
    </row>
    <row r="7" spans="2:10" ht="18" thickBot="1" x14ac:dyDescent="0.25">
      <c r="B7" s="22" t="s">
        <v>229</v>
      </c>
      <c r="C7" s="2">
        <v>15481.465350268341</v>
      </c>
      <c r="D7" s="17">
        <v>88.876895628911967</v>
      </c>
      <c r="E7" s="2">
        <v>9743.38927137463</v>
      </c>
      <c r="F7" s="17">
        <v>78.084333620813652</v>
      </c>
      <c r="G7" s="2">
        <v>22833.867967173661</v>
      </c>
      <c r="H7" s="24">
        <v>88.876892895326137</v>
      </c>
      <c r="I7" s="2">
        <v>11483.913935374185</v>
      </c>
      <c r="J7" s="16">
        <v>78.08433405202959</v>
      </c>
    </row>
    <row r="8" spans="2:10" ht="18" thickBot="1" x14ac:dyDescent="0.25">
      <c r="B8" s="22" t="s">
        <v>231</v>
      </c>
      <c r="C8" s="2">
        <v>17428.245926386691</v>
      </c>
      <c r="D8" s="17">
        <v>100.05308665226782</v>
      </c>
      <c r="E8" s="2">
        <v>9160.8344621174238</v>
      </c>
      <c r="F8" s="17">
        <v>73.415690830148321</v>
      </c>
      <c r="G8" s="2">
        <v>25705.206769013759</v>
      </c>
      <c r="H8" s="24">
        <v>100.05308396046718</v>
      </c>
      <c r="I8" s="2">
        <v>10797.293658708581</v>
      </c>
      <c r="J8" s="16">
        <v>73.41569169265901</v>
      </c>
    </row>
    <row r="9" spans="2:10" ht="18" thickBot="1" x14ac:dyDescent="0.25">
      <c r="B9" s="22" t="s">
        <v>227</v>
      </c>
      <c r="C9" s="2">
        <v>56325.360476857291</v>
      </c>
      <c r="D9" s="17">
        <v>323.3559014667639</v>
      </c>
      <c r="E9" s="2">
        <v>69187.470368657159</v>
      </c>
      <c r="F9" s="17">
        <v>554.47415351846939</v>
      </c>
      <c r="G9" s="2">
        <v>83075.204823204389</v>
      </c>
      <c r="H9" s="24">
        <v>323.35590675849613</v>
      </c>
      <c r="I9" s="2">
        <v>81546.876747975301</v>
      </c>
      <c r="J9" s="16">
        <v>554.47416279170432</v>
      </c>
    </row>
    <row r="10" spans="2:10" ht="18" thickBot="1" x14ac:dyDescent="0.25">
      <c r="B10" s="22" t="s">
        <v>233</v>
      </c>
      <c r="C10" s="2">
        <v>23951.492319251087</v>
      </c>
      <c r="D10" s="17">
        <v>137.5021184915075</v>
      </c>
      <c r="E10" s="2">
        <v>10759.416514385797</v>
      </c>
      <c r="F10" s="17">
        <v>86.226860620551037</v>
      </c>
      <c r="G10" s="2">
        <v>35326.450888672065</v>
      </c>
      <c r="H10" s="24">
        <v>137.50211731618126</v>
      </c>
      <c r="I10" s="2">
        <v>12681.441188720588</v>
      </c>
      <c r="J10" s="16">
        <v>86.226864430864509</v>
      </c>
    </row>
    <row r="11" spans="2:10" ht="18" thickBot="1" x14ac:dyDescent="0.25">
      <c r="B11" s="22" t="s">
        <v>228</v>
      </c>
      <c r="C11" s="2">
        <v>8816.9772471451688</v>
      </c>
      <c r="D11" s="17">
        <v>50.617015174434378</v>
      </c>
      <c r="E11" s="2">
        <v>2992.1341299096925</v>
      </c>
      <c r="F11" s="17">
        <v>23.979212277241682</v>
      </c>
      <c r="G11" s="2">
        <v>13004.304812153599</v>
      </c>
      <c r="H11" s="24">
        <v>50.617013623338849</v>
      </c>
      <c r="I11" s="2">
        <v>3526.638487881426</v>
      </c>
      <c r="J11" s="16">
        <v>23.979212951103079</v>
      </c>
    </row>
    <row r="12" spans="2:10" ht="18" thickBot="1" x14ac:dyDescent="0.25">
      <c r="B12" s="22" t="s">
        <v>232</v>
      </c>
      <c r="C12" s="2">
        <v>4002.0592435229501</v>
      </c>
      <c r="D12" s="17">
        <v>22.975254192016546</v>
      </c>
      <c r="E12" s="2">
        <v>1779.702139511159</v>
      </c>
      <c r="F12" s="17">
        <v>14.262681263853402</v>
      </c>
      <c r="G12" s="2">
        <v>5902.7030025991717</v>
      </c>
      <c r="H12" s="24">
        <v>22.975253395925737</v>
      </c>
      <c r="I12" s="2">
        <v>2097.6218502572829</v>
      </c>
      <c r="J12" s="16">
        <v>14.262681363868058</v>
      </c>
    </row>
    <row r="13" spans="2:10" ht="18" thickBot="1" x14ac:dyDescent="0.25">
      <c r="B13" s="23" t="s">
        <v>450</v>
      </c>
      <c r="C13" s="18">
        <v>17418.998763084797</v>
      </c>
      <c r="D13" s="20">
        <v>100</v>
      </c>
      <c r="E13" s="18">
        <v>12478.033453790653</v>
      </c>
      <c r="F13" s="20">
        <v>100</v>
      </c>
      <c r="G13" s="18">
        <v>25691.568666859246</v>
      </c>
      <c r="H13" s="25">
        <v>100</v>
      </c>
      <c r="I13" s="18">
        <v>14707.065219666418</v>
      </c>
      <c r="J13" s="19">
        <v>100</v>
      </c>
    </row>
  </sheetData>
  <mergeCells count="5">
    <mergeCell ref="B2:J2"/>
    <mergeCell ref="C3:D3"/>
    <mergeCell ref="E3:F3"/>
    <mergeCell ref="G3:H3"/>
    <mergeCell ref="I3:J3"/>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B2:G13"/>
  <sheetViews>
    <sheetView workbookViewId="0">
      <selection activeCell="I27" sqref="I27"/>
    </sheetView>
  </sheetViews>
  <sheetFormatPr baseColWidth="10" defaultColWidth="8.83203125" defaultRowHeight="15" x14ac:dyDescent="0.2"/>
  <cols>
    <col min="2" max="2" width="25.33203125" customWidth="1"/>
    <col min="3" max="3" width="20.5" customWidth="1"/>
    <col min="4" max="4" width="18.83203125" customWidth="1"/>
    <col min="5" max="5" width="21.1640625" customWidth="1"/>
    <col min="6" max="6" width="19" customWidth="1"/>
    <col min="7" max="7" width="20.6640625" customWidth="1"/>
  </cols>
  <sheetData>
    <row r="2" spans="2:7" ht="16" thickBot="1" x14ac:dyDescent="0.25"/>
    <row r="3" spans="2:7" ht="17" thickBot="1" x14ac:dyDescent="0.25">
      <c r="B3" s="111" t="s">
        <v>690</v>
      </c>
      <c r="C3" s="112"/>
      <c r="D3" s="112"/>
      <c r="E3" s="112"/>
      <c r="F3" s="112"/>
      <c r="G3" s="113"/>
    </row>
    <row r="4" spans="2:7" ht="69" thickBot="1" x14ac:dyDescent="0.25">
      <c r="B4" s="21"/>
      <c r="C4" s="1" t="s">
        <v>497</v>
      </c>
      <c r="D4" s="1" t="s">
        <v>498</v>
      </c>
      <c r="E4" s="1" t="s">
        <v>499</v>
      </c>
      <c r="F4" s="1" t="s">
        <v>500</v>
      </c>
      <c r="G4" s="1" t="s">
        <v>501</v>
      </c>
    </row>
    <row r="5" spans="2:7" ht="18" thickBot="1" x14ac:dyDescent="0.25">
      <c r="B5" s="26" t="s">
        <v>230</v>
      </c>
      <c r="C5" s="2">
        <v>20173.1640625</v>
      </c>
      <c r="D5" s="17">
        <v>80.835988562219384</v>
      </c>
      <c r="E5" s="2">
        <v>22226.44921875</v>
      </c>
      <c r="F5" s="17">
        <v>89.435225461222473</v>
      </c>
      <c r="G5" s="27">
        <v>0.90761974006545898</v>
      </c>
    </row>
    <row r="6" spans="2:7" ht="18" thickBot="1" x14ac:dyDescent="0.25">
      <c r="B6" s="26" t="s">
        <v>226</v>
      </c>
      <c r="C6" s="2">
        <v>51773.4375</v>
      </c>
      <c r="D6" s="17">
        <v>207.46160535900219</v>
      </c>
      <c r="E6" s="2">
        <v>49076.03125</v>
      </c>
      <c r="F6" s="17">
        <v>197.47310406572407</v>
      </c>
      <c r="G6" s="27">
        <v>1.0549638220796429</v>
      </c>
    </row>
    <row r="7" spans="2:7" ht="18" thickBot="1" x14ac:dyDescent="0.25">
      <c r="B7" s="26" t="s">
        <v>229</v>
      </c>
      <c r="C7" s="2">
        <v>53226.296875</v>
      </c>
      <c r="D7" s="17">
        <v>213.28336556757202</v>
      </c>
      <c r="E7" s="2">
        <v>47374.796875</v>
      </c>
      <c r="F7" s="17">
        <v>190.62764357884816</v>
      </c>
      <c r="G7" s="27">
        <v>1.1235150414563122</v>
      </c>
    </row>
    <row r="8" spans="2:7" ht="18" thickBot="1" x14ac:dyDescent="0.25">
      <c r="B8" s="26" t="s">
        <v>231</v>
      </c>
      <c r="C8" s="2">
        <v>54142.49609375</v>
      </c>
      <c r="D8" s="17">
        <v>216.95467212801697</v>
      </c>
      <c r="E8" s="2">
        <v>58300.875</v>
      </c>
      <c r="F8" s="17">
        <v>234.59221258845724</v>
      </c>
      <c r="G8" s="27">
        <v>0.92867381653791647</v>
      </c>
    </row>
    <row r="9" spans="2:7" ht="18" thickBot="1" x14ac:dyDescent="0.25">
      <c r="B9" s="26" t="s">
        <v>227</v>
      </c>
      <c r="C9" s="2">
        <v>64741.1796875</v>
      </c>
      <c r="D9" s="17">
        <v>259.42471119103061</v>
      </c>
      <c r="E9" s="2">
        <v>64410.83203125</v>
      </c>
      <c r="F9" s="17">
        <v>259.17757839611176</v>
      </c>
      <c r="G9" s="27">
        <v>1.0051287593380214</v>
      </c>
    </row>
    <row r="10" spans="2:7" ht="18" thickBot="1" x14ac:dyDescent="0.25">
      <c r="B10" s="26" t="s">
        <v>233</v>
      </c>
      <c r="C10" s="2">
        <v>35201.66796875</v>
      </c>
      <c r="D10" s="17">
        <v>141.05678318368257</v>
      </c>
      <c r="E10" s="2">
        <v>28604.58984375</v>
      </c>
      <c r="F10" s="17">
        <v>115.09971371151163</v>
      </c>
      <c r="G10" s="27">
        <v>1.2306300548630813</v>
      </c>
    </row>
    <row r="11" spans="2:7" ht="18" thickBot="1" x14ac:dyDescent="0.25">
      <c r="B11" s="26" t="s">
        <v>228</v>
      </c>
      <c r="C11" s="2">
        <v>9398.123046875</v>
      </c>
      <c r="D11" s="17">
        <v>37.659266774900246</v>
      </c>
      <c r="E11" s="2">
        <v>9697.7509765625</v>
      </c>
      <c r="F11" s="17">
        <v>39.022001963498298</v>
      </c>
      <c r="G11" s="27">
        <v>0.96910335907659007</v>
      </c>
    </row>
    <row r="12" spans="2:7" ht="18" thickBot="1" x14ac:dyDescent="0.25">
      <c r="B12" s="26" t="s">
        <v>232</v>
      </c>
      <c r="C12" s="2">
        <v>7088.83642578125</v>
      </c>
      <c r="D12" s="17">
        <v>28.4057125822474</v>
      </c>
      <c r="E12" s="2">
        <v>7057.2314453125</v>
      </c>
      <c r="F12" s="17">
        <v>28.397027308847345</v>
      </c>
      <c r="G12" s="27">
        <v>1.0044783823109191</v>
      </c>
    </row>
    <row r="13" spans="2:7" ht="18" thickBot="1" x14ac:dyDescent="0.25">
      <c r="B13" s="28" t="s">
        <v>450</v>
      </c>
      <c r="C13" s="18">
        <v>24955.671875</v>
      </c>
      <c r="D13" s="20">
        <v>100</v>
      </c>
      <c r="E13" s="18">
        <v>24852.0078125</v>
      </c>
      <c r="F13" s="20">
        <v>100</v>
      </c>
      <c r="G13" s="29">
        <v>1.0041712550262381</v>
      </c>
    </row>
  </sheetData>
  <mergeCells count="1">
    <mergeCell ref="B3:G3"/>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8"/>
  </sheetPr>
  <dimension ref="B2:M13"/>
  <sheetViews>
    <sheetView workbookViewId="0">
      <selection activeCell="G26" sqref="G26"/>
    </sheetView>
  </sheetViews>
  <sheetFormatPr baseColWidth="10" defaultColWidth="8.83203125" defaultRowHeight="15" x14ac:dyDescent="0.2"/>
  <cols>
    <col min="2" max="2" width="27.6640625" customWidth="1"/>
    <col min="3" max="3" width="15.83203125" customWidth="1"/>
    <col min="4" max="4" width="18.83203125" customWidth="1"/>
    <col min="5" max="5" width="15.6640625" customWidth="1"/>
    <col min="6" max="7" width="16" customWidth="1"/>
    <col min="8" max="8" width="16.5" customWidth="1"/>
    <col min="9" max="9" width="17.1640625" customWidth="1"/>
    <col min="10" max="10" width="15.6640625" customWidth="1"/>
    <col min="11" max="11" width="16.1640625" customWidth="1"/>
  </cols>
  <sheetData>
    <row r="2" spans="2:13" ht="16" thickBot="1" x14ac:dyDescent="0.25"/>
    <row r="3" spans="2:13" ht="17" thickBot="1" x14ac:dyDescent="0.25">
      <c r="B3" s="111" t="s">
        <v>695</v>
      </c>
      <c r="C3" s="112"/>
      <c r="D3" s="112"/>
      <c r="E3" s="112"/>
      <c r="F3" s="112"/>
      <c r="G3" s="112"/>
      <c r="H3" s="112"/>
      <c r="I3" s="112"/>
      <c r="J3" s="112"/>
      <c r="K3" s="113"/>
      <c r="L3" s="32"/>
      <c r="M3" s="32"/>
    </row>
    <row r="4" spans="2:13" ht="52" thickBot="1" x14ac:dyDescent="0.25">
      <c r="B4" s="21"/>
      <c r="C4" s="1" t="s">
        <v>574</v>
      </c>
      <c r="D4" s="1" t="s">
        <v>576</v>
      </c>
      <c r="E4" s="1" t="s">
        <v>625</v>
      </c>
      <c r="F4" s="1" t="s">
        <v>626</v>
      </c>
      <c r="G4" s="1" t="s">
        <v>575</v>
      </c>
      <c r="H4" s="15" t="s">
        <v>570</v>
      </c>
      <c r="I4" s="15" t="s">
        <v>502</v>
      </c>
      <c r="J4" s="15" t="s">
        <v>571</v>
      </c>
      <c r="K4" s="15" t="s">
        <v>627</v>
      </c>
      <c r="L4" s="33"/>
      <c r="M4" s="33"/>
    </row>
    <row r="5" spans="2:13" ht="18" thickBot="1" x14ac:dyDescent="0.25">
      <c r="B5" s="22" t="s">
        <v>230</v>
      </c>
      <c r="C5" s="2">
        <v>756.87939453125</v>
      </c>
      <c r="D5" s="2">
        <v>3203.625</v>
      </c>
      <c r="E5" s="2">
        <v>5852.9580078125</v>
      </c>
      <c r="F5" s="2">
        <v>14669.6259765625</v>
      </c>
      <c r="G5" s="2">
        <v>18345.84765625</v>
      </c>
      <c r="H5" s="30">
        <v>1.426953911781311</v>
      </c>
      <c r="I5" s="30">
        <v>3.059180736541748</v>
      </c>
      <c r="J5" s="30">
        <v>4.6758499145507812</v>
      </c>
      <c r="K5" s="30">
        <v>4.574007511138916</v>
      </c>
    </row>
    <row r="6" spans="2:13" ht="18" thickBot="1" x14ac:dyDescent="0.25">
      <c r="B6" s="22" t="s">
        <v>226</v>
      </c>
      <c r="C6" s="2">
        <v>1516.14453125</v>
      </c>
      <c r="D6" s="2">
        <v>18521.8203125</v>
      </c>
      <c r="E6" s="2">
        <v>26905.693359375</v>
      </c>
      <c r="F6" s="2">
        <v>31373.419921875</v>
      </c>
      <c r="G6" s="2">
        <v>36333.80078125</v>
      </c>
      <c r="H6" s="30">
        <v>1.4218255281448364</v>
      </c>
      <c r="I6" s="30">
        <v>1.884477972984314</v>
      </c>
      <c r="J6" s="30">
        <v>1.2088909149169922</v>
      </c>
      <c r="K6" s="30">
        <v>2.9792656898498535</v>
      </c>
    </row>
    <row r="7" spans="2:13" ht="18" thickBot="1" x14ac:dyDescent="0.25">
      <c r="B7" s="22" t="s">
        <v>229</v>
      </c>
      <c r="C7" s="2">
        <v>770.736328125</v>
      </c>
      <c r="D7" s="2">
        <v>9067.34375</v>
      </c>
      <c r="E7" s="2">
        <v>9728.673828125</v>
      </c>
      <c r="F7" s="2">
        <v>11199.8916015625</v>
      </c>
      <c r="G7" s="2">
        <v>13002.3427734375</v>
      </c>
      <c r="H7" s="30">
        <v>1.2637131214141846</v>
      </c>
      <c r="I7" s="30">
        <v>0.35261136293411255</v>
      </c>
      <c r="J7" s="30">
        <v>1.1669642925262451</v>
      </c>
      <c r="K7" s="30">
        <v>3.0294919013977051</v>
      </c>
    </row>
    <row r="8" spans="2:13" ht="18" thickBot="1" x14ac:dyDescent="0.25">
      <c r="B8" s="22" t="s">
        <v>231</v>
      </c>
      <c r="C8" s="2">
        <v>696.99273681640625</v>
      </c>
      <c r="D8" s="2">
        <v>10019.8623046875</v>
      </c>
      <c r="E8" s="2">
        <v>9918.3623046875</v>
      </c>
      <c r="F8" s="2">
        <v>13260.6640625</v>
      </c>
      <c r="G8" s="2">
        <v>15391.8564453125</v>
      </c>
      <c r="H8" s="30">
        <v>1.384978175163269</v>
      </c>
      <c r="I8" s="30">
        <v>-5.0895128399133682E-2</v>
      </c>
      <c r="J8" s="30">
        <v>1.7733434438705444</v>
      </c>
      <c r="K8" s="30">
        <v>3.0255978107452393</v>
      </c>
    </row>
    <row r="9" spans="2:13" ht="18" thickBot="1" x14ac:dyDescent="0.25">
      <c r="B9" s="22" t="s">
        <v>227</v>
      </c>
      <c r="C9" s="2">
        <v>1351.0242919921875</v>
      </c>
      <c r="D9" s="2">
        <v>23183.130859375</v>
      </c>
      <c r="E9" s="2">
        <v>35849.42578125</v>
      </c>
      <c r="F9" s="2">
        <v>41591.23046875</v>
      </c>
      <c r="G9" s="2">
        <v>47013.38671875</v>
      </c>
      <c r="H9" s="30">
        <v>1.5900959968566895</v>
      </c>
      <c r="I9" s="30">
        <v>2.2034382820129395</v>
      </c>
      <c r="J9" s="30">
        <v>1.0903207063674927</v>
      </c>
      <c r="K9" s="30">
        <v>2.4811418056488037</v>
      </c>
    </row>
    <row r="10" spans="2:13" ht="18" thickBot="1" x14ac:dyDescent="0.25">
      <c r="B10" s="22" t="s">
        <v>233</v>
      </c>
      <c r="C10" s="2">
        <v>749.3887939453125</v>
      </c>
      <c r="D10" s="2">
        <v>11946.0732421875</v>
      </c>
      <c r="E10" s="2">
        <v>10243.3671875</v>
      </c>
      <c r="F10" s="2">
        <v>17544.9765625</v>
      </c>
      <c r="G10" s="2">
        <v>20376.61328125</v>
      </c>
      <c r="H10" s="30">
        <v>1.4787763357162476</v>
      </c>
      <c r="I10" s="30">
        <v>-0.76591336727142334</v>
      </c>
      <c r="J10" s="30">
        <v>2.7892203330993652</v>
      </c>
      <c r="K10" s="30">
        <v>3.0376272201538086</v>
      </c>
    </row>
    <row r="11" spans="2:13" ht="18" thickBot="1" x14ac:dyDescent="0.25">
      <c r="B11" s="22" t="s">
        <v>228</v>
      </c>
      <c r="C11" s="2">
        <v>833.79705810546875</v>
      </c>
      <c r="D11" s="2">
        <v>1616.82421875</v>
      </c>
      <c r="E11" s="2">
        <v>2820.212890625</v>
      </c>
      <c r="F11" s="2">
        <v>5935.77197265625</v>
      </c>
      <c r="G11" s="2">
        <v>7596.6376953125</v>
      </c>
      <c r="H11" s="30">
        <v>0.9868243932723999</v>
      </c>
      <c r="I11" s="30">
        <v>2.8207941055297852</v>
      </c>
      <c r="J11" s="30">
        <v>4.0431709289550781</v>
      </c>
      <c r="K11" s="30">
        <v>5.057929515838623</v>
      </c>
    </row>
    <row r="12" spans="2:13" ht="18" thickBot="1" x14ac:dyDescent="0.25">
      <c r="B12" s="22" t="s">
        <v>232</v>
      </c>
      <c r="C12" s="2">
        <v>505.861328125</v>
      </c>
      <c r="D12" s="2">
        <v>2422.373779296875</v>
      </c>
      <c r="E12" s="2">
        <v>2135.560302734375</v>
      </c>
      <c r="F12" s="2">
        <v>3225.896240234375</v>
      </c>
      <c r="G12" s="2">
        <v>3509.000244140625</v>
      </c>
      <c r="H12" s="30">
        <v>0.86452621221542358</v>
      </c>
      <c r="I12" s="30">
        <v>-0.62811386585235596</v>
      </c>
      <c r="J12" s="30">
        <v>2.0062689781188965</v>
      </c>
      <c r="K12" s="30">
        <v>1.6966404914855957</v>
      </c>
    </row>
    <row r="13" spans="2:13" ht="18" thickBot="1" x14ac:dyDescent="0.25">
      <c r="B13" s="23" t="s">
        <v>450</v>
      </c>
      <c r="C13" s="18">
        <v>730.17230224609375</v>
      </c>
      <c r="D13" s="18">
        <v>7915.16650390625</v>
      </c>
      <c r="E13" s="18">
        <v>10036.203125</v>
      </c>
      <c r="F13" s="18">
        <v>12714.9111328125</v>
      </c>
      <c r="G13" s="18">
        <v>14588.109375</v>
      </c>
      <c r="H13" s="31">
        <v>1.3398663997650146</v>
      </c>
      <c r="I13" s="31">
        <v>1.1941647529602051</v>
      </c>
      <c r="J13" s="31">
        <v>1.5072780847549438</v>
      </c>
      <c r="K13" s="31">
        <v>2.7867505550384521</v>
      </c>
    </row>
  </sheetData>
  <mergeCells count="1">
    <mergeCell ref="B3:K3"/>
  </mergeCell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8"/>
  </sheetPr>
  <dimension ref="B2:K13"/>
  <sheetViews>
    <sheetView workbookViewId="0">
      <selection activeCell="B3" sqref="B3:K3"/>
    </sheetView>
  </sheetViews>
  <sheetFormatPr baseColWidth="10" defaultColWidth="8.83203125" defaultRowHeight="15" x14ac:dyDescent="0.2"/>
  <cols>
    <col min="2" max="2" width="27.1640625" customWidth="1"/>
    <col min="3" max="3" width="15.6640625" customWidth="1"/>
    <col min="4" max="4" width="16.6640625" customWidth="1"/>
    <col min="5" max="6" width="16.33203125" customWidth="1"/>
    <col min="7" max="7" width="17.1640625" customWidth="1"/>
    <col min="8" max="8" width="16" customWidth="1"/>
    <col min="9" max="9" width="14.83203125" customWidth="1"/>
    <col min="10" max="10" width="15.5" customWidth="1"/>
    <col min="11" max="11" width="16.6640625" customWidth="1"/>
  </cols>
  <sheetData>
    <row r="2" spans="2:11" ht="16" thickBot="1" x14ac:dyDescent="0.25"/>
    <row r="3" spans="2:11" ht="17" thickBot="1" x14ac:dyDescent="0.25">
      <c r="B3" s="111" t="s">
        <v>694</v>
      </c>
      <c r="C3" s="112"/>
      <c r="D3" s="112"/>
      <c r="E3" s="112"/>
      <c r="F3" s="112"/>
      <c r="G3" s="112"/>
      <c r="H3" s="112"/>
      <c r="I3" s="112"/>
      <c r="J3" s="112"/>
      <c r="K3" s="113"/>
    </row>
    <row r="4" spans="2:11" ht="52" thickBot="1" x14ac:dyDescent="0.25">
      <c r="B4" s="100"/>
      <c r="C4" s="1" t="s">
        <v>577</v>
      </c>
      <c r="D4" s="1" t="s">
        <v>578</v>
      </c>
      <c r="E4" s="1" t="s">
        <v>628</v>
      </c>
      <c r="F4" s="1" t="s">
        <v>629</v>
      </c>
      <c r="G4" s="1" t="s">
        <v>579</v>
      </c>
      <c r="H4" s="15" t="s">
        <v>570</v>
      </c>
      <c r="I4" s="15" t="s">
        <v>502</v>
      </c>
      <c r="J4" s="15" t="s">
        <v>571</v>
      </c>
      <c r="K4" s="15" t="s">
        <v>627</v>
      </c>
    </row>
    <row r="5" spans="2:11" ht="18" thickBot="1" x14ac:dyDescent="0.25">
      <c r="B5" s="1" t="s">
        <v>230</v>
      </c>
      <c r="C5" s="2">
        <v>1116.3338623046875</v>
      </c>
      <c r="D5" s="2">
        <v>4725.0791015625</v>
      </c>
      <c r="E5" s="2">
        <v>8632.6240234375</v>
      </c>
      <c r="F5" s="2">
        <v>21636.470703125</v>
      </c>
      <c r="G5" s="2">
        <v>27058.591796875</v>
      </c>
      <c r="H5" s="30">
        <v>1.426953911781311</v>
      </c>
      <c r="I5" s="30">
        <v>3.0591809749603271</v>
      </c>
      <c r="J5" s="30">
        <v>4.675849437713623</v>
      </c>
      <c r="K5" s="30">
        <v>4.574007511138916</v>
      </c>
    </row>
    <row r="6" spans="2:11" ht="18" thickBot="1" x14ac:dyDescent="0.25">
      <c r="B6" s="1" t="s">
        <v>226</v>
      </c>
      <c r="C6" s="2">
        <v>2236.1865234375</v>
      </c>
      <c r="D6" s="2">
        <v>27318.138671875</v>
      </c>
      <c r="E6" s="2">
        <v>39683.6484375</v>
      </c>
      <c r="F6" s="2">
        <v>46273.171875</v>
      </c>
      <c r="G6" s="2">
        <v>53589.31640625</v>
      </c>
      <c r="H6" s="30">
        <v>1.4218255281448364</v>
      </c>
      <c r="I6" s="30">
        <v>1.8844780921936035</v>
      </c>
      <c r="J6" s="30">
        <v>1.2088906764984131</v>
      </c>
      <c r="K6" s="30">
        <v>2.9792652130126953</v>
      </c>
    </row>
    <row r="7" spans="2:11" ht="18" thickBot="1" x14ac:dyDescent="0.25">
      <c r="B7" s="1" t="s">
        <v>229</v>
      </c>
      <c r="C7" s="2">
        <v>1136.771728515625</v>
      </c>
      <c r="D7" s="2">
        <v>13373.5751953125</v>
      </c>
      <c r="E7" s="2">
        <v>14348.982421875</v>
      </c>
      <c r="F7" s="2">
        <v>16518.90625</v>
      </c>
      <c r="G7" s="2">
        <v>19177.369140625</v>
      </c>
      <c r="H7" s="30">
        <v>1.2637131214141846</v>
      </c>
      <c r="I7" s="30">
        <v>0.35261145234107971</v>
      </c>
      <c r="J7" s="30">
        <v>1.1669641733169556</v>
      </c>
      <c r="K7" s="30">
        <v>3.0294911861419678</v>
      </c>
    </row>
    <row r="8" spans="2:11" ht="18" thickBot="1" x14ac:dyDescent="0.25">
      <c r="B8" s="1" t="s">
        <v>231</v>
      </c>
      <c r="C8" s="2">
        <v>1028.0059814453125</v>
      </c>
      <c r="D8" s="2">
        <v>14778.4609375</v>
      </c>
      <c r="E8" s="2">
        <v>14628.7548828125</v>
      </c>
      <c r="F8" s="2">
        <v>19558.373046875</v>
      </c>
      <c r="G8" s="2">
        <v>22701.701171875</v>
      </c>
      <c r="H8" s="30">
        <v>1.384978175163269</v>
      </c>
      <c r="I8" s="30">
        <v>-5.089530348777771E-2</v>
      </c>
      <c r="J8" s="30">
        <v>1.7733434438705444</v>
      </c>
      <c r="K8" s="30">
        <v>3.0255973339080811</v>
      </c>
    </row>
    <row r="9" spans="2:11" ht="18" thickBot="1" x14ac:dyDescent="0.25">
      <c r="B9" s="1" t="s">
        <v>227</v>
      </c>
      <c r="C9" s="2">
        <v>1992.64794921875</v>
      </c>
      <c r="D9" s="2">
        <v>34193.1796875</v>
      </c>
      <c r="E9" s="2">
        <v>52874.90625</v>
      </c>
      <c r="F9" s="2">
        <v>61343.58984375</v>
      </c>
      <c r="G9" s="2">
        <v>69340.8203125</v>
      </c>
      <c r="H9" s="30">
        <v>1.5900959968566895</v>
      </c>
      <c r="I9" s="30">
        <v>2.2034385204315186</v>
      </c>
      <c r="J9" s="30">
        <v>1.0903208255767822</v>
      </c>
      <c r="K9" s="30">
        <v>2.4811429977416992</v>
      </c>
    </row>
    <row r="10" spans="2:11" ht="18" thickBot="1" x14ac:dyDescent="0.25">
      <c r="B10" s="1" t="s">
        <v>233</v>
      </c>
      <c r="C10" s="2">
        <v>1105.285888671875</v>
      </c>
      <c r="D10" s="2">
        <v>17619.4609375</v>
      </c>
      <c r="E10" s="2">
        <v>15108.109375</v>
      </c>
      <c r="F10" s="2">
        <v>25877.373046875</v>
      </c>
      <c r="G10" s="2">
        <v>30053.802734375</v>
      </c>
      <c r="H10" s="30">
        <v>1.478776216506958</v>
      </c>
      <c r="I10" s="30">
        <v>-0.76591348648071289</v>
      </c>
      <c r="J10" s="30">
        <v>2.7892203330993652</v>
      </c>
      <c r="K10" s="30">
        <v>3.0376272201538086</v>
      </c>
    </row>
    <row r="11" spans="2:11" ht="18" thickBot="1" x14ac:dyDescent="0.25">
      <c r="B11" s="1" t="s">
        <v>228</v>
      </c>
      <c r="C11" s="2">
        <v>1229.781005859375</v>
      </c>
      <c r="D11" s="2">
        <v>2384.6806640625</v>
      </c>
      <c r="E11" s="2">
        <v>4159.578125</v>
      </c>
      <c r="F11" s="2">
        <v>8754.767578125</v>
      </c>
      <c r="G11" s="2">
        <v>11204.40625</v>
      </c>
      <c r="H11" s="30">
        <v>0.98682445287704468</v>
      </c>
      <c r="I11" s="30">
        <v>2.8207941055297852</v>
      </c>
      <c r="J11" s="30">
        <v>4.0431714057922363</v>
      </c>
      <c r="K11" s="30">
        <v>5.0579299926757812</v>
      </c>
    </row>
    <row r="12" spans="2:11" ht="18" thickBot="1" x14ac:dyDescent="0.25">
      <c r="B12" s="1" t="s">
        <v>232</v>
      </c>
      <c r="C12" s="2">
        <v>746.10321044921875</v>
      </c>
      <c r="D12" s="2">
        <v>3572.799072265625</v>
      </c>
      <c r="E12" s="2">
        <v>3149.77294921875</v>
      </c>
      <c r="F12" s="2">
        <v>4757.92724609375</v>
      </c>
      <c r="G12" s="2">
        <v>5175.482421875</v>
      </c>
      <c r="H12" s="30">
        <v>0.86452621221542358</v>
      </c>
      <c r="I12" s="30">
        <v>-0.62811380624771118</v>
      </c>
      <c r="J12" s="30">
        <v>2.0062689781188965</v>
      </c>
      <c r="K12" s="30">
        <v>1.6966400146484375</v>
      </c>
    </row>
    <row r="13" spans="2:11" ht="18" thickBot="1" x14ac:dyDescent="0.25">
      <c r="B13" s="98" t="s">
        <v>450</v>
      </c>
      <c r="C13" s="18">
        <v>1076.9432373046875</v>
      </c>
      <c r="D13" s="18">
        <v>11674.2099609375</v>
      </c>
      <c r="E13" s="18">
        <v>14802.5625</v>
      </c>
      <c r="F13" s="18">
        <v>18753.431640625</v>
      </c>
      <c r="G13" s="18">
        <v>21516.2421875</v>
      </c>
      <c r="H13" s="31">
        <v>1.3398663997650146</v>
      </c>
      <c r="I13" s="31">
        <v>1.1941646337509155</v>
      </c>
      <c r="J13" s="31">
        <v>1.5072779655456543</v>
      </c>
      <c r="K13" s="31">
        <v>2.7867505550384521</v>
      </c>
    </row>
  </sheetData>
  <mergeCells count="1">
    <mergeCell ref="B3:K3"/>
  </mergeCell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8"/>
  </sheetPr>
  <dimension ref="B2:K13"/>
  <sheetViews>
    <sheetView workbookViewId="0">
      <selection activeCell="B3" sqref="B3:K3"/>
    </sheetView>
  </sheetViews>
  <sheetFormatPr baseColWidth="10" defaultColWidth="8.83203125" defaultRowHeight="15" x14ac:dyDescent="0.2"/>
  <cols>
    <col min="2" max="2" width="27.5" customWidth="1"/>
    <col min="3" max="3" width="16.6640625" customWidth="1"/>
    <col min="4" max="4" width="16.33203125" customWidth="1"/>
    <col min="5" max="5" width="16.5" customWidth="1"/>
    <col min="6" max="6" width="17.5" customWidth="1"/>
    <col min="7" max="7" width="18.1640625" customWidth="1"/>
    <col min="8" max="8" width="16.33203125" customWidth="1"/>
    <col min="9" max="9" width="15.1640625" customWidth="1"/>
    <col min="10" max="10" width="15.83203125" customWidth="1"/>
    <col min="11" max="11" width="17" customWidth="1"/>
  </cols>
  <sheetData>
    <row r="2" spans="2:11" ht="16" thickBot="1" x14ac:dyDescent="0.25"/>
    <row r="3" spans="2:11" ht="17" thickBot="1" x14ac:dyDescent="0.25">
      <c r="B3" s="111" t="s">
        <v>693</v>
      </c>
      <c r="C3" s="112"/>
      <c r="D3" s="112"/>
      <c r="E3" s="112"/>
      <c r="F3" s="112"/>
      <c r="G3" s="112"/>
      <c r="H3" s="112"/>
      <c r="I3" s="112"/>
      <c r="J3" s="112"/>
      <c r="K3" s="113"/>
    </row>
    <row r="4" spans="2:11" ht="52" thickBot="1" x14ac:dyDescent="0.25">
      <c r="B4" s="21"/>
      <c r="C4" s="1" t="s">
        <v>630</v>
      </c>
      <c r="D4" s="1" t="s">
        <v>631</v>
      </c>
      <c r="E4" s="1" t="s">
        <v>632</v>
      </c>
      <c r="F4" s="1" t="s">
        <v>633</v>
      </c>
      <c r="G4" s="1" t="s">
        <v>634</v>
      </c>
      <c r="H4" s="15" t="s">
        <v>570</v>
      </c>
      <c r="I4" s="15" t="s">
        <v>502</v>
      </c>
      <c r="J4" s="15" t="s">
        <v>571</v>
      </c>
      <c r="K4" s="15" t="s">
        <v>627</v>
      </c>
    </row>
    <row r="5" spans="2:11" ht="18" thickBot="1" x14ac:dyDescent="0.25">
      <c r="B5" s="26" t="s">
        <v>230</v>
      </c>
      <c r="C5" s="2">
        <v>461.95916748046875</v>
      </c>
      <c r="D5" s="2">
        <v>2053.468017578125</v>
      </c>
      <c r="E5" s="2">
        <v>3870.857177734375</v>
      </c>
      <c r="F5" s="2">
        <v>9194.3916015625</v>
      </c>
      <c r="G5" s="2">
        <v>11435.5322265625</v>
      </c>
      <c r="H5" s="30">
        <v>1.4364432096481323</v>
      </c>
      <c r="I5" s="30">
        <v>3.2205007076263428</v>
      </c>
      <c r="J5" s="30">
        <v>4.4282426834106445</v>
      </c>
      <c r="K5" s="30">
        <v>4.459195613861084</v>
      </c>
    </row>
    <row r="6" spans="2:11" ht="18" thickBot="1" x14ac:dyDescent="0.25">
      <c r="B6" s="26" t="s">
        <v>226</v>
      </c>
      <c r="C6" s="2">
        <v>1511.763427734375</v>
      </c>
      <c r="D6" s="2">
        <v>18245.85546875</v>
      </c>
      <c r="E6" s="2">
        <v>26990.40234375</v>
      </c>
      <c r="F6" s="2">
        <v>31119.22265625</v>
      </c>
      <c r="G6" s="2">
        <v>35941.4296875</v>
      </c>
      <c r="H6" s="30">
        <v>1.4182356595993042</v>
      </c>
      <c r="I6" s="30">
        <v>1.977006196975708</v>
      </c>
      <c r="J6" s="30">
        <v>1.1522248983383179</v>
      </c>
      <c r="K6" s="30">
        <v>2.9232103824615479</v>
      </c>
    </row>
    <row r="7" spans="2:11" ht="18" thickBot="1" x14ac:dyDescent="0.25">
      <c r="B7" s="26" t="s">
        <v>229</v>
      </c>
      <c r="C7" s="2">
        <v>509.26956176757812</v>
      </c>
      <c r="D7" s="2">
        <v>5863.763671875</v>
      </c>
      <c r="E7" s="2">
        <v>6267.39404296875</v>
      </c>
      <c r="F7" s="2">
        <v>7080.095703125</v>
      </c>
      <c r="G7" s="2">
        <v>8189.9736328125</v>
      </c>
      <c r="H7" s="30">
        <v>1.2421799898147583</v>
      </c>
      <c r="I7" s="30">
        <v>0.33339956402778625</v>
      </c>
      <c r="J7" s="30">
        <v>1.0759471654891968</v>
      </c>
      <c r="K7" s="30">
        <v>2.9552924633026123</v>
      </c>
    </row>
    <row r="8" spans="2:11" ht="18" thickBot="1" x14ac:dyDescent="0.25">
      <c r="B8" s="26" t="s">
        <v>231</v>
      </c>
      <c r="C8" s="2">
        <v>364.85003662109375</v>
      </c>
      <c r="D8" s="2">
        <v>5337.68896484375</v>
      </c>
      <c r="E8" s="2">
        <v>5180.88818359375</v>
      </c>
      <c r="F8" s="2">
        <v>6948.05908203125</v>
      </c>
      <c r="G8" s="2">
        <v>8084.75341796875</v>
      </c>
      <c r="H8" s="30">
        <v>1.3865238428115845</v>
      </c>
      <c r="I8" s="30">
        <v>-0.14897069334983826</v>
      </c>
      <c r="J8" s="30">
        <v>1.7959508895874023</v>
      </c>
      <c r="K8" s="30">
        <v>3.0767354965209961</v>
      </c>
    </row>
    <row r="9" spans="2:11" ht="18" thickBot="1" x14ac:dyDescent="0.25">
      <c r="B9" s="26" t="s">
        <v>227</v>
      </c>
      <c r="C9" s="2">
        <v>1650.8887939453125</v>
      </c>
      <c r="D9" s="2">
        <v>28446.787109375</v>
      </c>
      <c r="E9" s="2">
        <v>44061.1015625</v>
      </c>
      <c r="F9" s="2">
        <v>51057.94921875</v>
      </c>
      <c r="G9" s="2">
        <v>57715.02734375</v>
      </c>
      <c r="H9" s="30">
        <v>1.5921884775161743</v>
      </c>
      <c r="I9" s="30">
        <v>2.2118163108825684</v>
      </c>
      <c r="J9" s="30">
        <v>1.0856113433837891</v>
      </c>
      <c r="K9" s="30">
        <v>2.4814140796661377</v>
      </c>
    </row>
    <row r="10" spans="2:11" ht="18" thickBot="1" x14ac:dyDescent="0.25">
      <c r="B10" s="26" t="s">
        <v>233</v>
      </c>
      <c r="C10" s="2">
        <v>335.3624267578125</v>
      </c>
      <c r="D10" s="2">
        <v>5265.49169921875</v>
      </c>
      <c r="E10" s="2">
        <v>4644.5830078125</v>
      </c>
      <c r="F10" s="2">
        <v>7884.38525390625</v>
      </c>
      <c r="G10" s="2">
        <v>9172.1748046875</v>
      </c>
      <c r="H10" s="30">
        <v>1.4814069271087646</v>
      </c>
      <c r="I10" s="30">
        <v>-0.6254006028175354</v>
      </c>
      <c r="J10" s="30">
        <v>2.7592730522155762</v>
      </c>
      <c r="K10" s="30">
        <v>3.0720460414886475</v>
      </c>
    </row>
    <row r="11" spans="2:11" ht="18" thickBot="1" x14ac:dyDescent="0.25">
      <c r="B11" s="26" t="s">
        <v>228</v>
      </c>
      <c r="C11" s="2">
        <v>268.45111083984375</v>
      </c>
      <c r="D11" s="2">
        <v>561.28741455078125</v>
      </c>
      <c r="E11" s="2">
        <v>990.1998291015625</v>
      </c>
      <c r="F11" s="2">
        <v>2038.0694580078125</v>
      </c>
      <c r="G11" s="2">
        <v>2581.031494140625</v>
      </c>
      <c r="H11" s="30">
        <v>1.0109764337539673</v>
      </c>
      <c r="I11" s="30">
        <v>2.8790335655212402</v>
      </c>
      <c r="J11" s="30">
        <v>3.9065244197845459</v>
      </c>
      <c r="K11" s="30">
        <v>4.8370671272277832</v>
      </c>
    </row>
    <row r="12" spans="2:11" ht="18" thickBot="1" x14ac:dyDescent="0.25">
      <c r="B12" s="26" t="s">
        <v>232</v>
      </c>
      <c r="C12" s="2">
        <v>241.07951354980469</v>
      </c>
      <c r="D12" s="2">
        <v>1107.3558349609375</v>
      </c>
      <c r="E12" s="2">
        <v>1175.573486328125</v>
      </c>
      <c r="F12" s="2">
        <v>1484.697998046875</v>
      </c>
      <c r="G12" s="2">
        <v>1547.44140625</v>
      </c>
      <c r="H12" s="30">
        <v>0.82974851131439209</v>
      </c>
      <c r="I12" s="30">
        <v>0.29935237765312195</v>
      </c>
      <c r="J12" s="30">
        <v>1.1054526567459106</v>
      </c>
      <c r="K12" s="30">
        <v>0.83126628398895264</v>
      </c>
    </row>
    <row r="13" spans="2:11" ht="18" thickBot="1" x14ac:dyDescent="0.25">
      <c r="B13" s="28" t="s">
        <v>450</v>
      </c>
      <c r="C13" s="18">
        <v>523.05615234375</v>
      </c>
      <c r="D13" s="18">
        <v>5669.99951171875</v>
      </c>
      <c r="E13" s="18">
        <v>7189.396484375</v>
      </c>
      <c r="F13" s="18">
        <v>9108.2783203125</v>
      </c>
      <c r="G13" s="18">
        <v>10450.1357421875</v>
      </c>
      <c r="H13" s="31">
        <v>1.3398663997650146</v>
      </c>
      <c r="I13" s="31">
        <v>1.1941651105880737</v>
      </c>
      <c r="J13" s="31">
        <v>1.5072774887084961</v>
      </c>
      <c r="K13" s="31">
        <v>2.7867488861083984</v>
      </c>
    </row>
  </sheetData>
  <mergeCells count="1">
    <mergeCell ref="B3:K3"/>
  </mergeCells>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8"/>
  </sheetPr>
  <dimension ref="B2:K13"/>
  <sheetViews>
    <sheetView workbookViewId="0">
      <selection activeCell="B3" sqref="B3:K3"/>
    </sheetView>
  </sheetViews>
  <sheetFormatPr baseColWidth="10" defaultColWidth="8.83203125" defaultRowHeight="15" x14ac:dyDescent="0.2"/>
  <cols>
    <col min="2" max="2" width="27.5" customWidth="1"/>
    <col min="3" max="3" width="17" customWidth="1"/>
    <col min="4" max="4" width="16.1640625" customWidth="1"/>
    <col min="5" max="5" width="16.6640625" customWidth="1"/>
    <col min="6" max="6" width="16.1640625" customWidth="1"/>
    <col min="7" max="7" width="15.83203125" customWidth="1"/>
    <col min="8" max="8" width="16.83203125" customWidth="1"/>
    <col min="9" max="9" width="16.5" customWidth="1"/>
    <col min="10" max="10" width="17.1640625" customWidth="1"/>
    <col min="11" max="11" width="16.1640625" customWidth="1"/>
  </cols>
  <sheetData>
    <row r="2" spans="2:11" ht="16" thickBot="1" x14ac:dyDescent="0.25"/>
    <row r="3" spans="2:11" ht="17" thickBot="1" x14ac:dyDescent="0.25">
      <c r="B3" s="111" t="s">
        <v>692</v>
      </c>
      <c r="C3" s="112"/>
      <c r="D3" s="112"/>
      <c r="E3" s="112"/>
      <c r="F3" s="112"/>
      <c r="G3" s="112"/>
      <c r="H3" s="112"/>
      <c r="I3" s="112"/>
      <c r="J3" s="112"/>
      <c r="K3" s="113"/>
    </row>
    <row r="4" spans="2:11" ht="52" thickBot="1" x14ac:dyDescent="0.25">
      <c r="B4" s="21"/>
      <c r="C4" s="1" t="s">
        <v>635</v>
      </c>
      <c r="D4" s="1" t="s">
        <v>636</v>
      </c>
      <c r="E4" s="1" t="s">
        <v>637</v>
      </c>
      <c r="F4" s="1" t="s">
        <v>638</v>
      </c>
      <c r="G4" s="1" t="s">
        <v>639</v>
      </c>
      <c r="H4" s="15" t="s">
        <v>570</v>
      </c>
      <c r="I4" s="15" t="s">
        <v>502</v>
      </c>
      <c r="J4" s="15" t="s">
        <v>571</v>
      </c>
      <c r="K4" s="15" t="s">
        <v>627</v>
      </c>
    </row>
    <row r="5" spans="2:11" ht="18" thickBot="1" x14ac:dyDescent="0.25">
      <c r="B5" s="22" t="s">
        <v>230</v>
      </c>
      <c r="C5" s="2">
        <v>544.48193359375</v>
      </c>
      <c r="D5" s="2">
        <v>2420.292236328125</v>
      </c>
      <c r="E5" s="2">
        <v>4562.33349609375</v>
      </c>
      <c r="F5" s="2">
        <v>10836.845703125</v>
      </c>
      <c r="G5" s="2">
        <v>13478.3349609375</v>
      </c>
      <c r="H5" s="30">
        <v>1.4364432096481323</v>
      </c>
      <c r="I5" s="30">
        <v>3.2205007076263428</v>
      </c>
      <c r="J5" s="30">
        <v>4.4282426834106445</v>
      </c>
      <c r="K5" s="30">
        <v>4.459195613861084</v>
      </c>
    </row>
    <row r="6" spans="2:11" ht="18" thickBot="1" x14ac:dyDescent="0.25">
      <c r="B6" s="22" t="s">
        <v>226</v>
      </c>
      <c r="C6" s="2">
        <v>1781.819580078125</v>
      </c>
      <c r="D6" s="2">
        <v>21505.23046875</v>
      </c>
      <c r="E6" s="2">
        <v>31811.875</v>
      </c>
      <c r="F6" s="2">
        <v>36678.25390625</v>
      </c>
      <c r="G6" s="2">
        <v>42361.8828125</v>
      </c>
      <c r="H6" s="30">
        <v>1.4182357788085938</v>
      </c>
      <c r="I6" s="30">
        <v>1.9770063161849976</v>
      </c>
      <c r="J6" s="30">
        <v>1.1522248983383179</v>
      </c>
      <c r="K6" s="30">
        <v>2.9232101440429688</v>
      </c>
    </row>
    <row r="7" spans="2:11" ht="18" thickBot="1" x14ac:dyDescent="0.25">
      <c r="B7" s="22" t="s">
        <v>229</v>
      </c>
      <c r="C7" s="2">
        <v>600.24365234375</v>
      </c>
      <c r="D7" s="2">
        <v>6911.24560546875</v>
      </c>
      <c r="E7" s="2">
        <v>7386.9794921875</v>
      </c>
      <c r="F7" s="2">
        <v>8344.8583984375</v>
      </c>
      <c r="G7" s="2">
        <v>9653.001953125</v>
      </c>
      <c r="H7" s="30">
        <v>1.2421799898147583</v>
      </c>
      <c r="I7" s="30">
        <v>0.33339968323707581</v>
      </c>
      <c r="J7" s="30">
        <v>1.0759471654891968</v>
      </c>
      <c r="K7" s="30">
        <v>2.9552924633026123</v>
      </c>
    </row>
    <row r="8" spans="2:11" ht="18" thickBot="1" x14ac:dyDescent="0.25">
      <c r="B8" s="22" t="s">
        <v>231</v>
      </c>
      <c r="C8" s="2">
        <v>430.02554321289062</v>
      </c>
      <c r="D8" s="2">
        <v>6291.1953125</v>
      </c>
      <c r="E8" s="2">
        <v>6106.3837890625</v>
      </c>
      <c r="F8" s="2">
        <v>8189.236328125</v>
      </c>
      <c r="G8" s="2">
        <v>9528.9853515625</v>
      </c>
      <c r="H8" s="30">
        <v>1.3865238428115845</v>
      </c>
      <c r="I8" s="30">
        <v>-0.14897073805332184</v>
      </c>
      <c r="J8" s="30">
        <v>1.7959508895874023</v>
      </c>
      <c r="K8" s="30">
        <v>3.0767350196838379</v>
      </c>
    </row>
    <row r="9" spans="2:11" ht="18" thickBot="1" x14ac:dyDescent="0.25">
      <c r="B9" s="22" t="s">
        <v>227</v>
      </c>
      <c r="C9" s="2">
        <v>1945.7977294921875</v>
      </c>
      <c r="D9" s="2">
        <v>33528.421875</v>
      </c>
      <c r="E9" s="2">
        <v>51932.01953125</v>
      </c>
      <c r="F9" s="2">
        <v>60178.75390625</v>
      </c>
      <c r="G9" s="2">
        <v>68025.03125</v>
      </c>
      <c r="H9" s="30">
        <v>1.5921884775161743</v>
      </c>
      <c r="I9" s="30">
        <v>2.2118163108825684</v>
      </c>
      <c r="J9" s="30">
        <v>1.0856112241744995</v>
      </c>
      <c r="K9" s="30">
        <v>2.4814150333404541</v>
      </c>
    </row>
    <row r="10" spans="2:11" ht="18" thickBot="1" x14ac:dyDescent="0.25">
      <c r="B10" s="22" t="s">
        <v>233</v>
      </c>
      <c r="C10" s="2">
        <v>395.27041625976562</v>
      </c>
      <c r="D10" s="2">
        <v>6206.1005859375</v>
      </c>
      <c r="E10" s="2">
        <v>5474.275390625</v>
      </c>
      <c r="F10" s="2">
        <v>9292.82421875</v>
      </c>
      <c r="G10" s="2">
        <v>10810.6591796875</v>
      </c>
      <c r="H10" s="30">
        <v>1.4814069271087646</v>
      </c>
      <c r="I10" s="30">
        <v>-0.62540048360824585</v>
      </c>
      <c r="J10" s="30">
        <v>2.759272575378418</v>
      </c>
      <c r="K10" s="30">
        <v>3.0720453262329102</v>
      </c>
    </row>
    <row r="11" spans="2:11" ht="18" thickBot="1" x14ac:dyDescent="0.25">
      <c r="B11" s="22" t="s">
        <v>228</v>
      </c>
      <c r="C11" s="2">
        <v>316.40628051757812</v>
      </c>
      <c r="D11" s="2">
        <v>661.5538330078125</v>
      </c>
      <c r="E11" s="2">
        <v>1167.0855712890625</v>
      </c>
      <c r="F11" s="2">
        <v>2402.14306640625</v>
      </c>
      <c r="G11" s="2">
        <v>3042.097900390625</v>
      </c>
      <c r="H11" s="30">
        <v>1.0109764337539673</v>
      </c>
      <c r="I11" s="30">
        <v>2.8790335655212402</v>
      </c>
      <c r="J11" s="30">
        <v>3.9065244197845459</v>
      </c>
      <c r="K11" s="30">
        <v>4.837066650390625</v>
      </c>
    </row>
    <row r="12" spans="2:11" ht="18" thickBot="1" x14ac:dyDescent="0.25">
      <c r="B12" s="22" t="s">
        <v>232</v>
      </c>
      <c r="C12" s="2">
        <v>284.14511108398438</v>
      </c>
      <c r="D12" s="2">
        <v>1305.169921875</v>
      </c>
      <c r="E12" s="2">
        <v>1385.57373046875</v>
      </c>
      <c r="F12" s="2">
        <v>1749.919189453125</v>
      </c>
      <c r="G12" s="2">
        <v>1823.870849609375</v>
      </c>
      <c r="H12" s="30">
        <v>0.82974851131439209</v>
      </c>
      <c r="I12" s="30">
        <v>0.29935231804847717</v>
      </c>
      <c r="J12" s="30">
        <v>1.1054526567459106</v>
      </c>
      <c r="K12" s="30">
        <v>0.83126646280288696</v>
      </c>
    </row>
    <row r="13" spans="2:11" ht="18" thickBot="1" x14ac:dyDescent="0.25">
      <c r="B13" s="23" t="s">
        <v>450</v>
      </c>
      <c r="C13" s="18">
        <v>616.4930419921875</v>
      </c>
      <c r="D13" s="18">
        <v>6682.8681640625</v>
      </c>
      <c r="E13" s="18">
        <v>8473.6845703125</v>
      </c>
      <c r="F13" s="18">
        <v>10735.349609375</v>
      </c>
      <c r="G13" s="18">
        <v>12316.9111328125</v>
      </c>
      <c r="H13" s="31">
        <v>1.3398663997650146</v>
      </c>
      <c r="I13" s="31">
        <v>1.1941646337509155</v>
      </c>
      <c r="J13" s="31">
        <v>1.5072778463363647</v>
      </c>
      <c r="K13" s="31">
        <v>2.7867484092712402</v>
      </c>
    </row>
  </sheetData>
  <mergeCells count="1">
    <mergeCell ref="B3:K3"/>
  </mergeCells>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8"/>
  </sheetPr>
  <dimension ref="B2:L62"/>
  <sheetViews>
    <sheetView zoomScale="88" workbookViewId="0">
      <selection activeCell="B3" sqref="B3:L3"/>
    </sheetView>
  </sheetViews>
  <sheetFormatPr baseColWidth="10" defaultColWidth="8.83203125" defaultRowHeight="15" x14ac:dyDescent="0.2"/>
  <cols>
    <col min="2" max="2" width="25.33203125" customWidth="1"/>
    <col min="3" max="3" width="27.33203125" customWidth="1"/>
    <col min="4" max="4" width="16.6640625" customWidth="1"/>
    <col min="5" max="5" width="16.1640625" customWidth="1"/>
    <col min="6" max="6" width="16.33203125" customWidth="1"/>
    <col min="7" max="7" width="16" customWidth="1"/>
    <col min="8" max="8" width="15.6640625" customWidth="1"/>
    <col min="9" max="9" width="16.83203125" customWidth="1"/>
    <col min="10" max="10" width="15.6640625" customWidth="1"/>
    <col min="11" max="11" width="16.33203125" customWidth="1"/>
    <col min="12" max="12" width="16.5" customWidth="1"/>
  </cols>
  <sheetData>
    <row r="2" spans="2:12" ht="16" thickBot="1" x14ac:dyDescent="0.25"/>
    <row r="3" spans="2:12" ht="17" thickBot="1" x14ac:dyDescent="0.25">
      <c r="B3" s="111" t="s">
        <v>691</v>
      </c>
      <c r="C3" s="112"/>
      <c r="D3" s="112"/>
      <c r="E3" s="112"/>
      <c r="F3" s="112"/>
      <c r="G3" s="112"/>
      <c r="H3" s="112"/>
      <c r="I3" s="112"/>
      <c r="J3" s="112"/>
      <c r="K3" s="112"/>
      <c r="L3" s="113"/>
    </row>
    <row r="4" spans="2:12" ht="69" thickBot="1" x14ac:dyDescent="0.25">
      <c r="B4" s="1" t="s">
        <v>462</v>
      </c>
      <c r="C4" s="1" t="s">
        <v>503</v>
      </c>
      <c r="D4" s="1" t="s">
        <v>574</v>
      </c>
      <c r="E4" s="1" t="s">
        <v>576</v>
      </c>
      <c r="F4" s="1" t="s">
        <v>625</v>
      </c>
      <c r="G4" s="1" t="s">
        <v>626</v>
      </c>
      <c r="H4" s="1" t="s">
        <v>575</v>
      </c>
      <c r="I4" s="15" t="s">
        <v>570</v>
      </c>
      <c r="J4" s="15" t="s">
        <v>502</v>
      </c>
      <c r="K4" s="15" t="s">
        <v>571</v>
      </c>
      <c r="L4" s="15" t="s">
        <v>627</v>
      </c>
    </row>
    <row r="5" spans="2:12" ht="18" thickBot="1" x14ac:dyDescent="0.25">
      <c r="B5" s="22" t="s">
        <v>230</v>
      </c>
      <c r="C5" s="26" t="s">
        <v>18</v>
      </c>
      <c r="D5" s="2">
        <v>762.373779296875</v>
      </c>
      <c r="E5" s="2">
        <v>6466.37255859375</v>
      </c>
      <c r="F5" s="2">
        <v>22022.65625</v>
      </c>
      <c r="G5" s="2">
        <v>41774.15234375</v>
      </c>
      <c r="H5" s="2">
        <v>55286.75390625</v>
      </c>
      <c r="I5" s="30">
        <v>1.9221744537353516</v>
      </c>
      <c r="J5" s="30">
        <v>6.3188939094543457</v>
      </c>
      <c r="K5" s="30">
        <v>3.7504656314849854</v>
      </c>
      <c r="L5" s="30">
        <v>5.7651748657226562</v>
      </c>
    </row>
    <row r="6" spans="2:12" ht="18" thickBot="1" x14ac:dyDescent="0.25">
      <c r="B6" s="22" t="s">
        <v>230</v>
      </c>
      <c r="C6" s="26" t="s">
        <v>45</v>
      </c>
      <c r="D6" s="2">
        <v>564.92596435546875</v>
      </c>
      <c r="E6" s="2">
        <v>4334.2724609375</v>
      </c>
      <c r="F6" s="2">
        <v>17094.9453125</v>
      </c>
      <c r="G6" s="2">
        <v>31462.19921875</v>
      </c>
      <c r="H6" s="2">
        <v>35047.71875</v>
      </c>
      <c r="I6" s="30">
        <v>1.8514964580535889</v>
      </c>
      <c r="J6" s="30">
        <v>7.1019988059997559</v>
      </c>
      <c r="K6" s="30">
        <v>2.913341760635376</v>
      </c>
      <c r="L6" s="30">
        <v>2.1819374561309814</v>
      </c>
    </row>
    <row r="7" spans="2:12" ht="18" thickBot="1" x14ac:dyDescent="0.25">
      <c r="B7" s="22" t="s">
        <v>230</v>
      </c>
      <c r="C7" s="26" t="s">
        <v>50</v>
      </c>
      <c r="D7" s="2">
        <v>807.88385009765625</v>
      </c>
      <c r="E7" s="2">
        <v>15316.2568359375</v>
      </c>
      <c r="F7" s="2">
        <v>23818.23046875</v>
      </c>
      <c r="G7" s="2">
        <v>26677.408203125</v>
      </c>
      <c r="H7" s="2">
        <v>30128.580078125</v>
      </c>
      <c r="I7" s="30">
        <v>1.6213643550872803</v>
      </c>
      <c r="J7" s="30">
        <v>2.2322320938110352</v>
      </c>
      <c r="K7" s="30">
        <v>0.94452458620071411</v>
      </c>
      <c r="L7" s="30">
        <v>2.4629859924316406</v>
      </c>
    </row>
    <row r="8" spans="2:12" ht="18" thickBot="1" x14ac:dyDescent="0.25">
      <c r="B8" s="22" t="s">
        <v>230</v>
      </c>
      <c r="C8" s="26" t="s">
        <v>451</v>
      </c>
      <c r="D8" s="2">
        <v>1452.4786376953125</v>
      </c>
      <c r="E8" s="2">
        <v>7102.3671875</v>
      </c>
      <c r="F8" s="2">
        <v>12931.4775390625</v>
      </c>
      <c r="G8" s="2">
        <v>21507.31640625</v>
      </c>
      <c r="H8" s="2">
        <v>26422.28515625</v>
      </c>
      <c r="I8" s="30">
        <v>1.2976523637771606</v>
      </c>
      <c r="J8" s="30">
        <v>3.0415186882019043</v>
      </c>
      <c r="K8" s="30">
        <v>2.8994109630584717</v>
      </c>
      <c r="L8" s="30">
        <v>4.202186107635498</v>
      </c>
    </row>
    <row r="9" spans="2:12" ht="18" thickBot="1" x14ac:dyDescent="0.25">
      <c r="B9" s="22" t="s">
        <v>230</v>
      </c>
      <c r="C9" s="26" t="s">
        <v>94</v>
      </c>
      <c r="D9" s="2">
        <v>745.72686767578125</v>
      </c>
      <c r="E9" s="2">
        <v>1160.798828125</v>
      </c>
      <c r="F9" s="2">
        <v>3007.4462890625</v>
      </c>
      <c r="G9" s="2">
        <v>12333.201171875</v>
      </c>
      <c r="H9" s="2">
        <v>15891.3466796875</v>
      </c>
      <c r="I9" s="30">
        <v>1.368916392326355</v>
      </c>
      <c r="J9" s="30">
        <v>4.8750176429748535</v>
      </c>
      <c r="K9" s="30">
        <v>6.8854312896728516</v>
      </c>
      <c r="L9" s="30">
        <v>5.2003002166748047</v>
      </c>
    </row>
    <row r="10" spans="2:12" ht="18" thickBot="1" x14ac:dyDescent="0.25">
      <c r="B10" s="22" t="s">
        <v>226</v>
      </c>
      <c r="C10" s="26" t="s">
        <v>12</v>
      </c>
      <c r="D10" s="2">
        <v>1622.77783203125</v>
      </c>
      <c r="E10" s="2">
        <v>29528.53125</v>
      </c>
      <c r="F10" s="2">
        <v>51833.99609375</v>
      </c>
      <c r="G10" s="2">
        <v>63179.20703125</v>
      </c>
      <c r="H10" s="2">
        <v>70146.8359375</v>
      </c>
      <c r="I10" s="30">
        <v>1.6880679130554199</v>
      </c>
      <c r="J10" s="30">
        <v>2.8533973693847656</v>
      </c>
      <c r="K10" s="30">
        <v>1.2175302505493164</v>
      </c>
      <c r="L10" s="30">
        <v>2.114351749420166</v>
      </c>
    </row>
    <row r="11" spans="2:12" ht="18" thickBot="1" x14ac:dyDescent="0.25">
      <c r="B11" s="22" t="s">
        <v>226</v>
      </c>
      <c r="C11" s="26" t="s">
        <v>17</v>
      </c>
      <c r="D11" s="2">
        <v>1648.1148681640625</v>
      </c>
      <c r="E11" s="2">
        <v>23564.962890625</v>
      </c>
      <c r="F11" s="2">
        <v>37408.625</v>
      </c>
      <c r="G11" s="2">
        <v>44730.359375</v>
      </c>
      <c r="H11" s="2">
        <v>49726.015625</v>
      </c>
      <c r="I11" s="30">
        <v>1.5256978273391724</v>
      </c>
      <c r="J11" s="30">
        <v>2.3376047611236572</v>
      </c>
      <c r="K11" s="30">
        <v>1.145013689994812</v>
      </c>
      <c r="L11" s="30">
        <v>2.140094518661499</v>
      </c>
    </row>
    <row r="12" spans="2:12" ht="18" thickBot="1" x14ac:dyDescent="0.25">
      <c r="B12" s="22" t="s">
        <v>226</v>
      </c>
      <c r="C12" s="26" t="s">
        <v>25</v>
      </c>
      <c r="D12" s="2">
        <v>2572.52392578125</v>
      </c>
      <c r="E12" s="2">
        <v>25348.939453125</v>
      </c>
      <c r="F12" s="2">
        <v>36834.45703125</v>
      </c>
      <c r="G12" s="2">
        <v>42004.1484375</v>
      </c>
      <c r="H12" s="2">
        <v>47551.40234375</v>
      </c>
      <c r="I12" s="30">
        <v>1.3048504590988159</v>
      </c>
      <c r="J12" s="30">
        <v>1.8860496282577515</v>
      </c>
      <c r="K12" s="30">
        <v>1.0267456769943237</v>
      </c>
      <c r="L12" s="30">
        <v>2.5118880271911621</v>
      </c>
    </row>
    <row r="13" spans="2:12" ht="18" thickBot="1" x14ac:dyDescent="0.25">
      <c r="B13" s="22" t="s">
        <v>226</v>
      </c>
      <c r="C13" s="26" t="s">
        <v>26</v>
      </c>
      <c r="D13" s="2">
        <v>1089.989013671875</v>
      </c>
      <c r="E13" s="2">
        <v>23006.546875</v>
      </c>
      <c r="F13" s="2">
        <v>31703.76171875</v>
      </c>
      <c r="G13" s="2">
        <v>41712.296875</v>
      </c>
      <c r="H13" s="2">
        <v>45180.14453125</v>
      </c>
      <c r="I13" s="30">
        <v>1.6691054105758667</v>
      </c>
      <c r="J13" s="30">
        <v>1.6162039041519165</v>
      </c>
      <c r="K13" s="30">
        <v>1.4269750118255615</v>
      </c>
      <c r="L13" s="30">
        <v>1.6100591421127319</v>
      </c>
    </row>
    <row r="14" spans="2:12" ht="18" thickBot="1" x14ac:dyDescent="0.25">
      <c r="B14" s="22" t="s">
        <v>226</v>
      </c>
      <c r="C14" s="26" t="s">
        <v>30</v>
      </c>
      <c r="D14" s="2">
        <v>1810.4560546875</v>
      </c>
      <c r="E14" s="2">
        <v>23004.80859375</v>
      </c>
      <c r="F14" s="2">
        <v>33185.46484375</v>
      </c>
      <c r="G14" s="2">
        <v>39611.55078125</v>
      </c>
      <c r="H14" s="2">
        <v>41797.78515625</v>
      </c>
      <c r="I14" s="30">
        <v>1.4050074815750122</v>
      </c>
      <c r="J14" s="30">
        <v>1.8489280939102173</v>
      </c>
      <c r="K14" s="30">
        <v>0.92719787359237671</v>
      </c>
      <c r="L14" s="30">
        <v>1.080244779586792</v>
      </c>
    </row>
    <row r="15" spans="2:12" ht="18" thickBot="1" x14ac:dyDescent="0.25">
      <c r="B15" s="22" t="s">
        <v>226</v>
      </c>
      <c r="C15" s="26" t="s">
        <v>452</v>
      </c>
      <c r="D15" s="2">
        <v>1593.210693359375</v>
      </c>
      <c r="E15" s="2">
        <v>21152.51953125</v>
      </c>
      <c r="F15" s="2">
        <v>31288.078125</v>
      </c>
      <c r="G15" s="2">
        <v>34622.3046875</v>
      </c>
      <c r="H15" s="2">
        <v>41160.83203125</v>
      </c>
      <c r="I15" s="30">
        <v>1.45570969581604</v>
      </c>
      <c r="J15" s="30">
        <v>1.9766730070114136</v>
      </c>
      <c r="K15" s="30">
        <v>1.103039026260376</v>
      </c>
      <c r="L15" s="30">
        <v>3.5203278064727783</v>
      </c>
    </row>
    <row r="16" spans="2:12" ht="18" thickBot="1" x14ac:dyDescent="0.25">
      <c r="B16" s="22" t="s">
        <v>226</v>
      </c>
      <c r="C16" s="26" t="s">
        <v>42</v>
      </c>
      <c r="D16" s="2">
        <v>2975.632568359375</v>
      </c>
      <c r="E16" s="2">
        <v>17819.7109375</v>
      </c>
      <c r="F16" s="2">
        <v>31424.767578125</v>
      </c>
      <c r="G16" s="2">
        <v>32126.560546875</v>
      </c>
      <c r="H16" s="2">
        <v>38013.41015625</v>
      </c>
      <c r="I16" s="30">
        <v>1.1386481523513794</v>
      </c>
      <c r="J16" s="30">
        <v>2.8770661354064941</v>
      </c>
      <c r="K16" s="30">
        <v>0.76427614688873291</v>
      </c>
      <c r="L16" s="30">
        <v>3.422377347946167</v>
      </c>
    </row>
    <row r="17" spans="2:12" ht="18" thickBot="1" x14ac:dyDescent="0.25">
      <c r="B17" s="22" t="s">
        <v>226</v>
      </c>
      <c r="C17" s="26" t="s">
        <v>39</v>
      </c>
      <c r="D17" s="2">
        <v>1256.852783203125</v>
      </c>
      <c r="E17" s="2">
        <v>22009.470703125</v>
      </c>
      <c r="F17" s="2">
        <v>31651.013671875</v>
      </c>
      <c r="G17" s="2">
        <v>32877.5078125</v>
      </c>
      <c r="H17" s="2">
        <v>37176.3515625</v>
      </c>
      <c r="I17" s="30">
        <v>1.5167485475540161</v>
      </c>
      <c r="J17" s="30">
        <v>1.8330851793289185</v>
      </c>
      <c r="K17" s="30">
        <v>0.6456865668296814</v>
      </c>
      <c r="L17" s="30">
        <v>2.488133430480957</v>
      </c>
    </row>
    <row r="18" spans="2:12" ht="18" thickBot="1" x14ac:dyDescent="0.25">
      <c r="B18" s="22" t="s">
        <v>226</v>
      </c>
      <c r="C18" s="26" t="s">
        <v>44</v>
      </c>
      <c r="D18" s="2">
        <v>2109.245849609375</v>
      </c>
      <c r="E18" s="2">
        <v>23224.650390625</v>
      </c>
      <c r="F18" s="2">
        <v>33868.83984375</v>
      </c>
      <c r="G18" s="2">
        <v>29077.6796875</v>
      </c>
      <c r="H18" s="2">
        <v>34700.18359375</v>
      </c>
      <c r="I18" s="30">
        <v>1.2524064779281616</v>
      </c>
      <c r="J18" s="30">
        <v>1.904310941696167</v>
      </c>
      <c r="K18" s="30">
        <v>9.7045384347438812E-2</v>
      </c>
      <c r="L18" s="30">
        <v>3.5987229347229004</v>
      </c>
    </row>
    <row r="19" spans="2:12" ht="18" thickBot="1" x14ac:dyDescent="0.25">
      <c r="B19" s="22" t="s">
        <v>226</v>
      </c>
      <c r="C19" s="26" t="s">
        <v>49</v>
      </c>
      <c r="D19" s="2">
        <v>1585.511474609375</v>
      </c>
      <c r="E19" s="2">
        <v>17104.92578125</v>
      </c>
      <c r="F19" s="2">
        <v>26827.771484375</v>
      </c>
      <c r="G19" s="2">
        <v>26928.833984375</v>
      </c>
      <c r="H19" s="2">
        <v>33533.67578125</v>
      </c>
      <c r="I19" s="30">
        <v>1.3655251264572144</v>
      </c>
      <c r="J19" s="30">
        <v>2.275867223739624</v>
      </c>
      <c r="K19" s="30">
        <v>0.89644443988800049</v>
      </c>
      <c r="L19" s="30">
        <v>4.4847049713134766</v>
      </c>
    </row>
    <row r="20" spans="2:12" ht="18" thickBot="1" x14ac:dyDescent="0.25">
      <c r="B20" s="22" t="s">
        <v>226</v>
      </c>
      <c r="C20" s="26" t="s">
        <v>453</v>
      </c>
      <c r="D20" s="2">
        <v>646.9168701171875</v>
      </c>
      <c r="E20" s="2">
        <v>10442.1767578125</v>
      </c>
      <c r="F20" s="2">
        <v>11076.8994140625</v>
      </c>
      <c r="G20" s="2">
        <v>21551.015625</v>
      </c>
      <c r="H20" s="2">
        <v>25895.28515625</v>
      </c>
      <c r="I20" s="30">
        <v>1.6533403396606445</v>
      </c>
      <c r="J20" s="30">
        <v>0.29547905921936035</v>
      </c>
      <c r="K20" s="30">
        <v>3.455146312713623</v>
      </c>
      <c r="L20" s="30">
        <v>3.7410378456115723</v>
      </c>
    </row>
    <row r="21" spans="2:12" ht="18" thickBot="1" x14ac:dyDescent="0.25">
      <c r="B21" s="22" t="s">
        <v>229</v>
      </c>
      <c r="C21" s="26" t="s">
        <v>84</v>
      </c>
      <c r="D21" s="2">
        <v>976.75042724609375</v>
      </c>
      <c r="E21" s="2">
        <v>15854.8017578125</v>
      </c>
      <c r="F21" s="2">
        <v>15526.5966796875</v>
      </c>
      <c r="G21" s="2">
        <v>17498.03515625</v>
      </c>
      <c r="H21" s="2">
        <v>20248.099609375</v>
      </c>
      <c r="I21" s="30">
        <v>1.3564890623092651</v>
      </c>
      <c r="J21" s="30">
        <v>-0.10453491657972336</v>
      </c>
      <c r="K21" s="30">
        <v>1.0676851272583008</v>
      </c>
      <c r="L21" s="30">
        <v>2.9624807834625244</v>
      </c>
    </row>
    <row r="22" spans="2:12" ht="18" thickBot="1" x14ac:dyDescent="0.25">
      <c r="B22" s="22" t="s">
        <v>229</v>
      </c>
      <c r="C22" s="26" t="s">
        <v>80</v>
      </c>
      <c r="D22" s="2">
        <v>600.4349365234375</v>
      </c>
      <c r="E22" s="2">
        <v>6160.00048828125</v>
      </c>
      <c r="F22" s="2">
        <v>11588.7412109375</v>
      </c>
      <c r="G22" s="2">
        <v>16560.55859375</v>
      </c>
      <c r="H22" s="2">
        <v>19354.24609375</v>
      </c>
      <c r="I22" s="30">
        <v>1.5555357933044434</v>
      </c>
      <c r="J22" s="30">
        <v>3.2102370262145996</v>
      </c>
      <c r="K22" s="30">
        <v>2.0726995468139648</v>
      </c>
      <c r="L22" s="30">
        <v>3.1668705940246582</v>
      </c>
    </row>
    <row r="23" spans="2:12" ht="18" thickBot="1" x14ac:dyDescent="0.25">
      <c r="B23" s="22" t="s">
        <v>229</v>
      </c>
      <c r="C23" s="26" t="s">
        <v>100</v>
      </c>
      <c r="D23" s="2">
        <v>1052.448486328125</v>
      </c>
      <c r="E23" s="2">
        <v>12415.943359375</v>
      </c>
      <c r="F23" s="2">
        <v>13548.5615234375</v>
      </c>
      <c r="G23" s="2">
        <v>11943.7685546875</v>
      </c>
      <c r="H23" s="2">
        <v>13822.1337890625</v>
      </c>
      <c r="I23" s="30">
        <v>1.1510865688323975</v>
      </c>
      <c r="J23" s="30">
        <v>0.43744903802871704</v>
      </c>
      <c r="K23" s="30">
        <v>7.9995334148406982E-2</v>
      </c>
      <c r="L23" s="30">
        <v>2.9643166065216064</v>
      </c>
    </row>
    <row r="24" spans="2:12" ht="18" thickBot="1" x14ac:dyDescent="0.25">
      <c r="B24" s="22" t="s">
        <v>229</v>
      </c>
      <c r="C24" s="26" t="s">
        <v>106</v>
      </c>
      <c r="D24" s="2">
        <v>722.0338134765625</v>
      </c>
      <c r="E24" s="2">
        <v>8915.9365234375</v>
      </c>
      <c r="F24" s="2">
        <v>9569.7578125</v>
      </c>
      <c r="G24" s="2">
        <v>11504.8095703125</v>
      </c>
      <c r="H24" s="2">
        <v>13109.828125</v>
      </c>
      <c r="I24" s="30">
        <v>1.2968010902404785</v>
      </c>
      <c r="J24" s="30">
        <v>0.35446497797966003</v>
      </c>
      <c r="K24" s="30">
        <v>1.266975998878479</v>
      </c>
      <c r="L24" s="30">
        <v>2.6463501453399658</v>
      </c>
    </row>
    <row r="25" spans="2:12" ht="18" thickBot="1" x14ac:dyDescent="0.25">
      <c r="B25" s="22" t="s">
        <v>229</v>
      </c>
      <c r="C25" s="26" t="s">
        <v>107</v>
      </c>
      <c r="D25" s="2">
        <v>832.6033935546875</v>
      </c>
      <c r="E25" s="2">
        <v>6324.783203125</v>
      </c>
      <c r="F25" s="2">
        <v>7518.1923828125</v>
      </c>
      <c r="G25" s="2">
        <v>10805.1923828125</v>
      </c>
      <c r="H25" s="2">
        <v>12763.9033203125</v>
      </c>
      <c r="I25" s="30">
        <v>1.2206426858901978</v>
      </c>
      <c r="J25" s="30">
        <v>0.86799532175064087</v>
      </c>
      <c r="K25" s="30">
        <v>2.1397528648376465</v>
      </c>
      <c r="L25" s="30">
        <v>3.3880167007446289</v>
      </c>
    </row>
    <row r="26" spans="2:12" ht="18" thickBot="1" x14ac:dyDescent="0.25">
      <c r="B26" s="22" t="s">
        <v>229</v>
      </c>
      <c r="C26" s="26" t="s">
        <v>454</v>
      </c>
      <c r="D26" s="2">
        <v>544.885986328125</v>
      </c>
      <c r="E26" s="2">
        <v>6880.4130859375</v>
      </c>
      <c r="F26" s="2">
        <v>6952.572265625</v>
      </c>
      <c r="G26" s="2">
        <v>8655.697265625</v>
      </c>
      <c r="H26" s="2">
        <v>10159.318359375</v>
      </c>
      <c r="I26" s="30">
        <v>1.3087433576583862</v>
      </c>
      <c r="J26" s="30">
        <v>5.2178781479597092E-2</v>
      </c>
      <c r="K26" s="30">
        <v>1.5286850929260254</v>
      </c>
      <c r="L26" s="30">
        <v>3.2553341388702393</v>
      </c>
    </row>
    <row r="27" spans="2:12" ht="18" thickBot="1" x14ac:dyDescent="0.25">
      <c r="B27" s="22" t="s">
        <v>231</v>
      </c>
      <c r="C27" s="26" t="s">
        <v>21</v>
      </c>
      <c r="D27" s="2">
        <v>448.92147827148438</v>
      </c>
      <c r="E27" s="2">
        <v>122996.5078125</v>
      </c>
      <c r="F27" s="2">
        <v>65164.02734375</v>
      </c>
      <c r="G27" s="2">
        <v>48366.47265625</v>
      </c>
      <c r="H27" s="2">
        <v>53645.625</v>
      </c>
      <c r="I27" s="30">
        <v>2.1486728191375732</v>
      </c>
      <c r="J27" s="30">
        <v>-3.1263289451599121</v>
      </c>
      <c r="K27" s="30">
        <v>-0.77501201629638672</v>
      </c>
      <c r="L27" s="30">
        <v>2.093472957611084</v>
      </c>
    </row>
    <row r="28" spans="2:12" ht="18" thickBot="1" x14ac:dyDescent="0.25">
      <c r="B28" s="22" t="s">
        <v>231</v>
      </c>
      <c r="C28" s="26" t="s">
        <v>36</v>
      </c>
      <c r="D28" s="2">
        <v>1031.30029296875</v>
      </c>
      <c r="E28" s="2">
        <v>103553.6171875</v>
      </c>
      <c r="F28" s="2">
        <v>40415.03125</v>
      </c>
      <c r="G28" s="2">
        <v>41350.97265625</v>
      </c>
      <c r="H28" s="2">
        <v>48625.16796875</v>
      </c>
      <c r="I28" s="30">
        <v>1.7273359298706055</v>
      </c>
      <c r="J28" s="30">
        <v>-4.5954952239990234</v>
      </c>
      <c r="K28" s="30">
        <v>0.74250113964080811</v>
      </c>
      <c r="L28" s="30">
        <v>3.2939968109130859</v>
      </c>
    </row>
    <row r="29" spans="2:12" ht="18" thickBot="1" x14ac:dyDescent="0.25">
      <c r="B29" s="22" t="s">
        <v>231</v>
      </c>
      <c r="C29" s="26" t="s">
        <v>69</v>
      </c>
      <c r="D29" s="2">
        <v>602.97540283203125</v>
      </c>
      <c r="E29" s="2">
        <v>6594.0439453125</v>
      </c>
      <c r="F29" s="2">
        <v>9733.1025390625</v>
      </c>
      <c r="G29" s="2">
        <v>18187.853515625</v>
      </c>
      <c r="H29" s="2">
        <v>24358.060546875</v>
      </c>
      <c r="I29" s="30">
        <v>1.6574712991714478</v>
      </c>
      <c r="J29" s="30">
        <v>1.9659037590026855</v>
      </c>
      <c r="K29" s="30">
        <v>3.7374711036682129</v>
      </c>
      <c r="L29" s="30">
        <v>6.016204833984375</v>
      </c>
    </row>
    <row r="30" spans="2:12" ht="18" thickBot="1" x14ac:dyDescent="0.25">
      <c r="B30" s="22" t="s">
        <v>231</v>
      </c>
      <c r="C30" s="26" t="s">
        <v>105</v>
      </c>
      <c r="D30" s="2">
        <v>804.677490234375</v>
      </c>
      <c r="E30" s="2">
        <v>4924.431640625</v>
      </c>
      <c r="F30" s="2">
        <v>8226.2880859375</v>
      </c>
      <c r="G30" s="2">
        <v>11830.5283203125</v>
      </c>
      <c r="H30" s="2">
        <v>13136.634765625</v>
      </c>
      <c r="I30" s="30">
        <v>1.2489432096481323</v>
      </c>
      <c r="J30" s="30">
        <v>2.5988254547119141</v>
      </c>
      <c r="K30" s="30">
        <v>1.8899171352386475</v>
      </c>
      <c r="L30" s="30">
        <v>2.1165175437927246</v>
      </c>
    </row>
    <row r="31" spans="2:12" ht="18" thickBot="1" x14ac:dyDescent="0.25">
      <c r="B31" s="22" t="s">
        <v>231</v>
      </c>
      <c r="C31" s="26" t="s">
        <v>125</v>
      </c>
      <c r="D31" s="2">
        <v>642.2784423828125</v>
      </c>
      <c r="E31" s="2">
        <v>7829.6884765625</v>
      </c>
      <c r="F31" s="2">
        <v>8054.25439453125</v>
      </c>
      <c r="G31" s="2">
        <v>9950.34375</v>
      </c>
      <c r="H31" s="2">
        <v>11393.84765625</v>
      </c>
      <c r="I31" s="30">
        <v>1.2863394021987915</v>
      </c>
      <c r="J31" s="30">
        <v>0.14148835837841034</v>
      </c>
      <c r="K31" s="30">
        <v>1.3971626758575439</v>
      </c>
      <c r="L31" s="30">
        <v>2.746363639831543</v>
      </c>
    </row>
    <row r="32" spans="2:12" ht="18" thickBot="1" x14ac:dyDescent="0.25">
      <c r="B32" s="22" t="s">
        <v>231</v>
      </c>
      <c r="C32" s="26" t="s">
        <v>455</v>
      </c>
      <c r="D32" s="2">
        <v>1014.001708984375</v>
      </c>
      <c r="E32" s="2">
        <v>8818.67578125</v>
      </c>
      <c r="F32" s="2">
        <v>8632.3818359375</v>
      </c>
      <c r="G32" s="2">
        <v>9742.6572265625</v>
      </c>
      <c r="H32" s="2">
        <v>9848.681640625</v>
      </c>
      <c r="I32" s="30">
        <v>1.0155365467071533</v>
      </c>
      <c r="J32" s="30">
        <v>-0.10669930279254913</v>
      </c>
      <c r="K32" s="30">
        <v>0.52866101264953613</v>
      </c>
      <c r="L32" s="30">
        <v>0.21670821309089661</v>
      </c>
    </row>
    <row r="33" spans="2:12" ht="18" thickBot="1" x14ac:dyDescent="0.25">
      <c r="B33" s="22" t="s">
        <v>231</v>
      </c>
      <c r="C33" s="26" t="s">
        <v>131</v>
      </c>
      <c r="D33" s="2">
        <v>502.864501953125</v>
      </c>
      <c r="E33" s="2">
        <v>6538.220703125</v>
      </c>
      <c r="F33" s="2">
        <v>6334.34130859375</v>
      </c>
      <c r="G33" s="2">
        <v>7443.26611328125</v>
      </c>
      <c r="H33" s="2">
        <v>9042.8203125</v>
      </c>
      <c r="I33" s="30">
        <v>1.2924612760543823</v>
      </c>
      <c r="J33" s="30">
        <v>-0.15827076137065887</v>
      </c>
      <c r="K33" s="30">
        <v>1.4341273307800293</v>
      </c>
      <c r="L33" s="30">
        <v>3.9700055122375488</v>
      </c>
    </row>
    <row r="34" spans="2:12" ht="18" thickBot="1" x14ac:dyDescent="0.25">
      <c r="B34" s="22" t="s">
        <v>231</v>
      </c>
      <c r="C34" s="26" t="s">
        <v>142</v>
      </c>
      <c r="D34" s="2">
        <v>505.73486328125</v>
      </c>
      <c r="E34" s="2">
        <v>2609.34130859375</v>
      </c>
      <c r="F34" s="2">
        <v>3288.47021484375</v>
      </c>
      <c r="G34" s="2">
        <v>6066.07421875</v>
      </c>
      <c r="H34" s="2">
        <v>7146.048828125</v>
      </c>
      <c r="I34" s="30">
        <v>1.183977484703064</v>
      </c>
      <c r="J34" s="30">
        <v>1.1633381843566895</v>
      </c>
      <c r="K34" s="30">
        <v>3.1532421112060547</v>
      </c>
      <c r="L34" s="30">
        <v>3.3312427997589111</v>
      </c>
    </row>
    <row r="35" spans="2:12" ht="18" thickBot="1" x14ac:dyDescent="0.25">
      <c r="B35" s="22" t="s">
        <v>227</v>
      </c>
      <c r="C35" s="26" t="s">
        <v>22</v>
      </c>
      <c r="D35" s="2">
        <v>1777.0087890625</v>
      </c>
      <c r="E35" s="2">
        <v>23764.19921875</v>
      </c>
      <c r="F35" s="2">
        <v>37661.9609375</v>
      </c>
      <c r="G35" s="2">
        <v>43821.80078125</v>
      </c>
      <c r="H35" s="2">
        <v>49940.40234375</v>
      </c>
      <c r="I35" s="30">
        <v>1.4936670064926147</v>
      </c>
      <c r="J35" s="30">
        <v>2.3290605545043945</v>
      </c>
      <c r="K35" s="30">
        <v>1.1351132392883301</v>
      </c>
      <c r="L35" s="30">
        <v>2.648442268371582</v>
      </c>
    </row>
    <row r="36" spans="2:12" ht="18" thickBot="1" x14ac:dyDescent="0.25">
      <c r="B36" s="22" t="s">
        <v>227</v>
      </c>
      <c r="C36" s="26" t="s">
        <v>35</v>
      </c>
      <c r="D36" s="2">
        <v>1000.8842163085938</v>
      </c>
      <c r="E36" s="2">
        <v>23569.93359375</v>
      </c>
      <c r="F36" s="2">
        <v>32637.435546875</v>
      </c>
      <c r="G36" s="2">
        <v>37533.59375</v>
      </c>
      <c r="H36" s="2">
        <v>42166.84765625</v>
      </c>
      <c r="I36" s="30">
        <v>1.6764531135559082</v>
      </c>
      <c r="J36" s="30">
        <v>1.6407554149627686</v>
      </c>
      <c r="K36" s="30">
        <v>1.0299652814865112</v>
      </c>
      <c r="L36" s="30">
        <v>2.3552670478820801</v>
      </c>
    </row>
    <row r="37" spans="2:12" ht="18" thickBot="1" x14ac:dyDescent="0.25">
      <c r="B37" s="22" t="s">
        <v>227</v>
      </c>
      <c r="C37" s="26" t="s">
        <v>32</v>
      </c>
      <c r="D37" s="2">
        <v>847.40863037109375</v>
      </c>
      <c r="E37" s="2">
        <v>21172.515625</v>
      </c>
      <c r="F37" s="2">
        <v>30623.154296875</v>
      </c>
      <c r="G37" s="2">
        <v>38907.625</v>
      </c>
      <c r="H37" s="2">
        <v>41639.875</v>
      </c>
      <c r="I37" s="30">
        <v>1.7460145950317383</v>
      </c>
      <c r="J37" s="30">
        <v>1.8623929023742676</v>
      </c>
      <c r="K37" s="30">
        <v>1.2367929220199585</v>
      </c>
      <c r="L37" s="30">
        <v>1.366613507270813</v>
      </c>
    </row>
    <row r="38" spans="2:12" ht="18" thickBot="1" x14ac:dyDescent="0.25">
      <c r="B38" s="22" t="s">
        <v>227</v>
      </c>
      <c r="C38" s="26" t="s">
        <v>51</v>
      </c>
      <c r="D38" s="2">
        <v>761.202392578125</v>
      </c>
      <c r="E38" s="2">
        <v>16853.32421875</v>
      </c>
      <c r="F38" s="2">
        <v>20553.388671875</v>
      </c>
      <c r="G38" s="2">
        <v>31809.326171875</v>
      </c>
      <c r="H38" s="2">
        <v>32442.92578125</v>
      </c>
      <c r="I38" s="30">
        <v>1.6816897392272949</v>
      </c>
      <c r="J38" s="30">
        <v>0.99733006954193115</v>
      </c>
      <c r="K38" s="30">
        <v>1.8425965309143066</v>
      </c>
      <c r="L38" s="30">
        <v>0.39523673057556152</v>
      </c>
    </row>
    <row r="39" spans="2:12" ht="35" thickBot="1" x14ac:dyDescent="0.25">
      <c r="B39" s="22" t="s">
        <v>227</v>
      </c>
      <c r="C39" s="26" t="s">
        <v>456</v>
      </c>
      <c r="D39" s="2">
        <v>311.58282470703125</v>
      </c>
      <c r="E39" s="2">
        <v>4737.18212890625</v>
      </c>
      <c r="F39" s="2">
        <v>5402.96728515625</v>
      </c>
      <c r="G39" s="2">
        <v>4803.74267578125</v>
      </c>
      <c r="H39" s="2">
        <v>4771.2880859375</v>
      </c>
      <c r="I39" s="30">
        <v>1.220142126083374</v>
      </c>
      <c r="J39" s="30">
        <v>0.65969556570053101</v>
      </c>
      <c r="K39" s="30">
        <v>-0.49609333276748657</v>
      </c>
      <c r="L39" s="30">
        <v>-0.1354888528585434</v>
      </c>
    </row>
    <row r="40" spans="2:12" ht="18" thickBot="1" x14ac:dyDescent="0.25">
      <c r="B40" s="22" t="s">
        <v>233</v>
      </c>
      <c r="C40" s="26" t="s">
        <v>56</v>
      </c>
      <c r="D40" s="2">
        <v>807.11590576171875</v>
      </c>
      <c r="E40" s="2">
        <v>13502.1787109375</v>
      </c>
      <c r="F40" s="2">
        <v>14894.9892578125</v>
      </c>
      <c r="G40" s="2">
        <v>24669.267578125</v>
      </c>
      <c r="H40" s="2">
        <v>29058.376953125</v>
      </c>
      <c r="I40" s="30">
        <v>1.6054600477218628</v>
      </c>
      <c r="J40" s="30">
        <v>0.49207565188407898</v>
      </c>
      <c r="K40" s="30">
        <v>2.7091763019561768</v>
      </c>
      <c r="L40" s="30">
        <v>3.3291890621185303</v>
      </c>
    </row>
    <row r="41" spans="2:12" ht="18" thickBot="1" x14ac:dyDescent="0.25">
      <c r="B41" s="22" t="s">
        <v>233</v>
      </c>
      <c r="C41" s="26" t="s">
        <v>457</v>
      </c>
      <c r="D41" s="2">
        <v>655.97576904296875</v>
      </c>
      <c r="E41" s="2">
        <v>9870.197265625</v>
      </c>
      <c r="F41" s="2">
        <v>4965.7197265625</v>
      </c>
      <c r="G41" s="2">
        <v>10406.1533203125</v>
      </c>
      <c r="H41" s="2">
        <v>11971.2490234375</v>
      </c>
      <c r="I41" s="30">
        <v>1.2990944385528564</v>
      </c>
      <c r="J41" s="30">
        <v>-3.3764879703521729</v>
      </c>
      <c r="K41" s="30">
        <v>3.5824763774871826</v>
      </c>
      <c r="L41" s="30">
        <v>2.8418419361114502</v>
      </c>
    </row>
    <row r="42" spans="2:12" ht="18" thickBot="1" x14ac:dyDescent="0.25">
      <c r="B42" s="22" t="s">
        <v>228</v>
      </c>
      <c r="C42" s="26" t="s">
        <v>103</v>
      </c>
      <c r="D42" s="2">
        <v>791.96588134765625</v>
      </c>
      <c r="E42" s="2">
        <v>3928.220947265625</v>
      </c>
      <c r="F42" s="2">
        <v>8030.65478515625</v>
      </c>
      <c r="G42" s="2">
        <v>12422.2734375</v>
      </c>
      <c r="H42" s="2">
        <v>14093.056640625</v>
      </c>
      <c r="I42" s="30">
        <v>1.2877404689788818</v>
      </c>
      <c r="J42" s="30">
        <v>3.6400833129882812</v>
      </c>
      <c r="K42" s="30">
        <v>2.275160551071167</v>
      </c>
      <c r="L42" s="30">
        <v>2.555941104888916</v>
      </c>
    </row>
    <row r="43" spans="2:12" ht="35" thickBot="1" x14ac:dyDescent="0.25">
      <c r="B43" s="22" t="s">
        <v>228</v>
      </c>
      <c r="C43" s="26" t="s">
        <v>458</v>
      </c>
      <c r="D43" s="2">
        <v>1532.638671875</v>
      </c>
      <c r="E43" s="2">
        <v>3164.76123046875</v>
      </c>
      <c r="F43" s="2">
        <v>6242.54296875</v>
      </c>
      <c r="G43" s="2">
        <v>10938.6953125</v>
      </c>
      <c r="H43" s="2">
        <v>12319.26171875</v>
      </c>
      <c r="I43" s="30">
        <v>0.93060261011123657</v>
      </c>
      <c r="J43" s="30">
        <v>3.4548914432525635</v>
      </c>
      <c r="K43" s="30">
        <v>2.7564105987548828</v>
      </c>
      <c r="L43" s="30">
        <v>2.4056282043457031</v>
      </c>
    </row>
    <row r="44" spans="2:12" ht="18" thickBot="1" x14ac:dyDescent="0.25">
      <c r="B44" s="22" t="s">
        <v>228</v>
      </c>
      <c r="C44" s="26" t="s">
        <v>124</v>
      </c>
      <c r="D44" s="2">
        <v>636.47589111328125</v>
      </c>
      <c r="E44" s="2">
        <v>1012.685546875</v>
      </c>
      <c r="F44" s="2">
        <v>2379.1806640625</v>
      </c>
      <c r="G44" s="2">
        <v>7819.96728515625</v>
      </c>
      <c r="H44" s="2">
        <v>10207.1640625</v>
      </c>
      <c r="I44" s="30">
        <v>1.240924596786499</v>
      </c>
      <c r="J44" s="30">
        <v>4.3632612228393555</v>
      </c>
      <c r="K44" s="30">
        <v>5.9983501434326172</v>
      </c>
      <c r="L44" s="30">
        <v>5.4726920127868652</v>
      </c>
    </row>
    <row r="45" spans="2:12" ht="18" thickBot="1" x14ac:dyDescent="0.25">
      <c r="B45" s="22" t="s">
        <v>228</v>
      </c>
      <c r="C45" s="26" t="s">
        <v>133</v>
      </c>
      <c r="D45" s="2">
        <v>562.22808837890625</v>
      </c>
      <c r="E45" s="2">
        <v>2303.2431640625</v>
      </c>
      <c r="F45" s="2">
        <v>3999.527587890625</v>
      </c>
      <c r="G45" s="2">
        <v>7654.74853515625</v>
      </c>
      <c r="H45" s="2">
        <v>9755.375</v>
      </c>
      <c r="I45" s="30">
        <v>1.276373028755188</v>
      </c>
      <c r="J45" s="30">
        <v>2.7977108955383301</v>
      </c>
      <c r="K45" s="30">
        <v>3.6309337615966797</v>
      </c>
      <c r="L45" s="30">
        <v>4.9693741798400879</v>
      </c>
    </row>
    <row r="46" spans="2:12" ht="18" thickBot="1" x14ac:dyDescent="0.25">
      <c r="B46" s="22" t="s">
        <v>228</v>
      </c>
      <c r="C46" s="26" t="s">
        <v>138</v>
      </c>
      <c r="D46" s="2">
        <v>884.0986328125</v>
      </c>
      <c r="E46" s="2">
        <v>3602.54638671875</v>
      </c>
      <c r="F46" s="2">
        <v>3469.635986328125</v>
      </c>
      <c r="G46" s="2">
        <v>5929.68212890625</v>
      </c>
      <c r="H46" s="2">
        <v>7613.03076171875</v>
      </c>
      <c r="I46" s="30">
        <v>0.96150320768356323</v>
      </c>
      <c r="J46" s="30">
        <v>-0.18777990341186523</v>
      </c>
      <c r="K46" s="30">
        <v>3.1931684017181396</v>
      </c>
      <c r="L46" s="30">
        <v>5.124812126159668</v>
      </c>
    </row>
    <row r="47" spans="2:12" ht="18" thickBot="1" x14ac:dyDescent="0.25">
      <c r="B47" s="22" t="s">
        <v>228</v>
      </c>
      <c r="C47" s="26" t="s">
        <v>148</v>
      </c>
      <c r="D47" s="2">
        <v>810.89984130859375</v>
      </c>
      <c r="E47" s="2">
        <v>1145.1240234375</v>
      </c>
      <c r="F47" s="2">
        <v>2146.032470703125</v>
      </c>
      <c r="G47" s="2">
        <v>5038.5693359375</v>
      </c>
      <c r="H47" s="2">
        <v>6995.490234375</v>
      </c>
      <c r="I47" s="30">
        <v>0.96232372522354126</v>
      </c>
      <c r="J47" s="30">
        <v>3.1903743743896484</v>
      </c>
      <c r="K47" s="30">
        <v>4.8400630950927734</v>
      </c>
      <c r="L47" s="30">
        <v>6.7830157279968262</v>
      </c>
    </row>
    <row r="48" spans="2:12" ht="18" thickBot="1" x14ac:dyDescent="0.25">
      <c r="B48" s="22" t="s">
        <v>228</v>
      </c>
      <c r="C48" s="26" t="s">
        <v>149</v>
      </c>
      <c r="D48" s="2">
        <v>1152.0445556640625</v>
      </c>
      <c r="E48" s="2">
        <v>1124.5770263671875</v>
      </c>
      <c r="F48" s="2">
        <v>1703.97802734375</v>
      </c>
      <c r="G48" s="2">
        <v>5295.71484375</v>
      </c>
      <c r="H48" s="2">
        <v>6363.22802734375</v>
      </c>
      <c r="I48" s="30">
        <v>0.76244640350341797</v>
      </c>
      <c r="J48" s="30">
        <v>2.0995292663574219</v>
      </c>
      <c r="K48" s="30">
        <v>5.4116325378417969</v>
      </c>
      <c r="L48" s="30">
        <v>3.7410345077514648</v>
      </c>
    </row>
    <row r="49" spans="2:12" ht="18" thickBot="1" x14ac:dyDescent="0.25">
      <c r="B49" s="22" t="s">
        <v>228</v>
      </c>
      <c r="C49" s="26" t="s">
        <v>165</v>
      </c>
      <c r="D49" s="2">
        <v>908.58953857421875</v>
      </c>
      <c r="E49" s="2">
        <v>1588.6690673828125</v>
      </c>
      <c r="F49" s="2">
        <v>2696.25244140625</v>
      </c>
      <c r="G49" s="2">
        <v>4172.20654296875</v>
      </c>
      <c r="H49" s="2">
        <v>4349.1474609375</v>
      </c>
      <c r="I49" s="30">
        <v>0.69835686683654785</v>
      </c>
      <c r="J49" s="30">
        <v>2.6801173686981201</v>
      </c>
      <c r="K49" s="30">
        <v>1.9308726787567139</v>
      </c>
      <c r="L49" s="30">
        <v>0.83415591716766357</v>
      </c>
    </row>
    <row r="50" spans="2:12" ht="18" thickBot="1" x14ac:dyDescent="0.25">
      <c r="B50" s="22" t="s">
        <v>228</v>
      </c>
      <c r="C50" s="26" t="s">
        <v>170</v>
      </c>
      <c r="D50" s="2">
        <v>320.77947998046875</v>
      </c>
      <c r="E50" s="2">
        <v>488.7783203125</v>
      </c>
      <c r="F50" s="2">
        <v>829.046630859375</v>
      </c>
      <c r="G50" s="2">
        <v>3658.475341796875</v>
      </c>
      <c r="H50" s="2">
        <v>3684.119873046875</v>
      </c>
      <c r="I50" s="30">
        <v>1.0908099412918091</v>
      </c>
      <c r="J50" s="30">
        <v>2.6770427227020264</v>
      </c>
      <c r="K50" s="30">
        <v>6.1476030349731445</v>
      </c>
      <c r="L50" s="30">
        <v>0.13980017602443695</v>
      </c>
    </row>
    <row r="51" spans="2:12" ht="18" thickBot="1" x14ac:dyDescent="0.25">
      <c r="B51" s="22" t="s">
        <v>232</v>
      </c>
      <c r="C51" s="26" t="s">
        <v>129</v>
      </c>
      <c r="D51" s="2">
        <v>2048.566650390625</v>
      </c>
      <c r="E51" s="2">
        <v>7733.71875</v>
      </c>
      <c r="F51" s="2">
        <v>7458.4228515625</v>
      </c>
      <c r="G51" s="2">
        <v>8826.0615234375</v>
      </c>
      <c r="H51" s="2">
        <v>9131.0087890625</v>
      </c>
      <c r="I51" s="30">
        <v>0.66644906997680664</v>
      </c>
      <c r="J51" s="30">
        <v>-0.18106535077095032</v>
      </c>
      <c r="K51" s="30">
        <v>0.81261265277862549</v>
      </c>
      <c r="L51" s="30">
        <v>0.68165761232376099</v>
      </c>
    </row>
    <row r="52" spans="2:12" ht="18" thickBot="1" x14ac:dyDescent="0.25">
      <c r="B52" s="22" t="s">
        <v>232</v>
      </c>
      <c r="C52" s="26" t="s">
        <v>166</v>
      </c>
      <c r="D52" s="2">
        <v>686.46368408203125</v>
      </c>
      <c r="E52" s="2">
        <v>3303.63134765625</v>
      </c>
      <c r="F52" s="2">
        <v>2675.793701171875</v>
      </c>
      <c r="G52" s="2">
        <v>5559.005859375</v>
      </c>
      <c r="H52" s="2">
        <v>5774.8212890625</v>
      </c>
      <c r="I52" s="30">
        <v>0.95103126764297485</v>
      </c>
      <c r="J52" s="30">
        <v>-1.048346996307373</v>
      </c>
      <c r="K52" s="30">
        <v>3.1248753070831299</v>
      </c>
      <c r="L52" s="30">
        <v>0.76466917991638184</v>
      </c>
    </row>
    <row r="53" spans="2:12" ht="18" thickBot="1" x14ac:dyDescent="0.25">
      <c r="B53" s="22" t="s">
        <v>232</v>
      </c>
      <c r="C53" s="26" t="s">
        <v>159</v>
      </c>
      <c r="D53" s="2">
        <v>627.01953125</v>
      </c>
      <c r="E53" s="2">
        <v>3420.873291015625</v>
      </c>
      <c r="F53" s="2">
        <v>2455.573974609375</v>
      </c>
      <c r="G53" s="2">
        <v>4141.1103515625</v>
      </c>
      <c r="H53" s="2">
        <v>4940.71923828125</v>
      </c>
      <c r="I53" s="30">
        <v>0.92168319225311279</v>
      </c>
      <c r="J53" s="30">
        <v>-1.6440129280090332</v>
      </c>
      <c r="K53" s="30">
        <v>2.836073637008667</v>
      </c>
      <c r="L53" s="30">
        <v>3.5940182209014893</v>
      </c>
    </row>
    <row r="54" spans="2:12" ht="18" thickBot="1" x14ac:dyDescent="0.25">
      <c r="B54" s="22" t="s">
        <v>232</v>
      </c>
      <c r="C54" s="26" t="s">
        <v>168</v>
      </c>
      <c r="D54" s="2">
        <v>729.568359375</v>
      </c>
      <c r="E54" s="2">
        <v>2611.0390625</v>
      </c>
      <c r="F54" s="2">
        <v>2477.746337890625</v>
      </c>
      <c r="G54" s="2">
        <v>3483.28125</v>
      </c>
      <c r="H54" s="2">
        <v>4177.35107421875</v>
      </c>
      <c r="I54" s="30">
        <v>0.77856159210205078</v>
      </c>
      <c r="J54" s="30">
        <v>-0.26165124773979187</v>
      </c>
      <c r="K54" s="30">
        <v>2.1112906932830811</v>
      </c>
      <c r="L54" s="30">
        <v>3.7008903026580811</v>
      </c>
    </row>
    <row r="55" spans="2:12" ht="18" thickBot="1" x14ac:dyDescent="0.25">
      <c r="B55" s="22" t="s">
        <v>232</v>
      </c>
      <c r="C55" s="26" t="s">
        <v>459</v>
      </c>
      <c r="D55" s="2">
        <v>272.4488525390625</v>
      </c>
      <c r="E55" s="2">
        <v>1609.8140869140625</v>
      </c>
      <c r="F55" s="2">
        <v>2034.8125</v>
      </c>
      <c r="G55" s="2">
        <v>2619.34423828125</v>
      </c>
      <c r="H55" s="2">
        <v>2886.675048828125</v>
      </c>
      <c r="I55" s="30">
        <v>1.0545929670333862</v>
      </c>
      <c r="J55" s="30">
        <v>1.178313136100769</v>
      </c>
      <c r="K55" s="30">
        <v>1.4086357355117798</v>
      </c>
      <c r="L55" s="30">
        <v>1.9626377820968628</v>
      </c>
    </row>
    <row r="56" spans="2:12" ht="18" thickBot="1" x14ac:dyDescent="0.25">
      <c r="B56" s="22" t="s">
        <v>232</v>
      </c>
      <c r="C56" s="26" t="s">
        <v>184</v>
      </c>
      <c r="D56" s="2">
        <v>510.57046508789062</v>
      </c>
      <c r="E56" s="2">
        <v>677.5245361328125</v>
      </c>
      <c r="F56" s="2">
        <v>691.02105712890625</v>
      </c>
      <c r="G56" s="2">
        <v>2076.273681640625</v>
      </c>
      <c r="H56" s="2">
        <v>2571.2158203125</v>
      </c>
      <c r="I56" s="30">
        <v>0.72107863426208496</v>
      </c>
      <c r="J56" s="30">
        <v>9.8671481013298035E-2</v>
      </c>
      <c r="K56" s="30">
        <v>5.3964271545410156</v>
      </c>
      <c r="L56" s="30">
        <v>4.3688235282897949</v>
      </c>
    </row>
    <row r="57" spans="2:12" ht="18" thickBot="1" x14ac:dyDescent="0.25">
      <c r="B57" s="22" t="s">
        <v>232</v>
      </c>
      <c r="C57" s="26" t="s">
        <v>185</v>
      </c>
      <c r="D57" s="2">
        <v>391.74334716796875</v>
      </c>
      <c r="E57" s="2">
        <v>799.62762451171875</v>
      </c>
      <c r="F57" s="2">
        <v>779.58038330078125</v>
      </c>
      <c r="G57" s="2">
        <v>1891.6790771484375</v>
      </c>
      <c r="H57" s="2">
        <v>2506.84619140625</v>
      </c>
      <c r="I57" s="30">
        <v>0.82837837934494019</v>
      </c>
      <c r="J57" s="30">
        <v>-0.12687087059020996</v>
      </c>
      <c r="K57" s="30">
        <v>4.7829623222351074</v>
      </c>
      <c r="L57" s="30">
        <v>5.7927851676940918</v>
      </c>
    </row>
    <row r="58" spans="2:12" ht="18" thickBot="1" x14ac:dyDescent="0.25">
      <c r="B58" s="22" t="s">
        <v>232</v>
      </c>
      <c r="C58" s="26" t="s">
        <v>198</v>
      </c>
      <c r="D58" s="2">
        <v>671.0673828125</v>
      </c>
      <c r="E58" s="2">
        <v>1557.4844970703125</v>
      </c>
      <c r="F58" s="2">
        <v>1552.1158447265625</v>
      </c>
      <c r="G58" s="2">
        <v>1969.3331298828125</v>
      </c>
      <c r="H58" s="2">
        <v>2113.9609375</v>
      </c>
      <c r="I58" s="30">
        <v>0.51128000020980835</v>
      </c>
      <c r="J58" s="30">
        <v>-1.7263513058423996E-2</v>
      </c>
      <c r="K58" s="30">
        <v>1.2434448003768921</v>
      </c>
      <c r="L58" s="30">
        <v>1.4274609088897705</v>
      </c>
    </row>
    <row r="59" spans="2:12" ht="18" thickBot="1" x14ac:dyDescent="0.25">
      <c r="B59" s="22" t="s">
        <v>232</v>
      </c>
      <c r="C59" s="26" t="s">
        <v>203</v>
      </c>
      <c r="D59" s="2">
        <v>659.45794677734375</v>
      </c>
      <c r="E59" s="2">
        <v>1403.4561767578125</v>
      </c>
      <c r="F59" s="2">
        <v>847.75701904296875</v>
      </c>
      <c r="G59" s="2">
        <v>1131.4454345703125</v>
      </c>
      <c r="H59" s="2">
        <v>1268.6309814453125</v>
      </c>
      <c r="I59" s="30">
        <v>0.29121223092079163</v>
      </c>
      <c r="J59" s="30">
        <v>-2.4889965057373047</v>
      </c>
      <c r="K59" s="30">
        <v>1.6254675388336182</v>
      </c>
      <c r="L59" s="30">
        <v>2.3152430057525635</v>
      </c>
    </row>
    <row r="60" spans="2:12" ht="18" thickBot="1" x14ac:dyDescent="0.25">
      <c r="B60" s="22" t="s">
        <v>232</v>
      </c>
      <c r="C60" s="26" t="s">
        <v>208</v>
      </c>
      <c r="D60" s="2">
        <v>905.3494873046875</v>
      </c>
      <c r="E60" s="2">
        <v>2129.02978515625</v>
      </c>
      <c r="F60" s="2">
        <v>653.01666259765625</v>
      </c>
      <c r="G60" s="2">
        <v>984.88031005859375</v>
      </c>
      <c r="H60" s="2">
        <v>1174.9881591796875</v>
      </c>
      <c r="I60" s="30">
        <v>0.11593039333820343</v>
      </c>
      <c r="J60" s="30">
        <v>-5.7378969192504883</v>
      </c>
      <c r="K60" s="30">
        <v>2.3774645328521729</v>
      </c>
      <c r="L60" s="30">
        <v>3.5929033756256104</v>
      </c>
    </row>
    <row r="61" spans="2:12" ht="18" thickBot="1" x14ac:dyDescent="0.25">
      <c r="B61" s="22" t="s">
        <v>232</v>
      </c>
      <c r="C61" s="26" t="s">
        <v>214</v>
      </c>
      <c r="D61" s="2">
        <v>329.47650146484375</v>
      </c>
      <c r="E61" s="2">
        <v>856.5570068359375</v>
      </c>
      <c r="F61" s="2">
        <v>1827.523681640625</v>
      </c>
      <c r="G61" s="2">
        <v>1690.286376953125</v>
      </c>
      <c r="H61" s="2">
        <v>916.99755859375</v>
      </c>
      <c r="I61" s="30">
        <v>0.45596960186958313</v>
      </c>
      <c r="J61" s="30">
        <v>3.8616783618927002</v>
      </c>
      <c r="K61" s="30">
        <v>-2.7207515239715576</v>
      </c>
      <c r="L61" s="30">
        <v>-11.512571334838867</v>
      </c>
    </row>
    <row r="62" spans="2:12" ht="18" thickBot="1" x14ac:dyDescent="0.25">
      <c r="B62" s="22" t="s">
        <v>450</v>
      </c>
      <c r="C62" s="26" t="s">
        <v>450</v>
      </c>
      <c r="D62" s="2">
        <v>730.17230224609375</v>
      </c>
      <c r="E62" s="2">
        <v>7915.16650390625</v>
      </c>
      <c r="F62" s="2">
        <v>10036.203125</v>
      </c>
      <c r="G62" s="2">
        <v>12714.9111328125</v>
      </c>
      <c r="H62" s="2">
        <v>14588.109375</v>
      </c>
      <c r="I62" s="30">
        <v>1.3398663997650146</v>
      </c>
      <c r="J62" s="30">
        <v>1.1941647529602051</v>
      </c>
      <c r="K62" s="30">
        <v>1.5072780847549438</v>
      </c>
      <c r="L62" s="30">
        <v>2.7867505550384521</v>
      </c>
    </row>
  </sheetData>
  <mergeCells count="1">
    <mergeCell ref="B3:L3"/>
  </mergeCells>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0000"/>
  </sheetPr>
  <dimension ref="B2:L13"/>
  <sheetViews>
    <sheetView workbookViewId="0">
      <selection activeCell="K29" sqref="K29"/>
    </sheetView>
  </sheetViews>
  <sheetFormatPr baseColWidth="10" defaultColWidth="8.83203125" defaultRowHeight="15" x14ac:dyDescent="0.2"/>
  <cols>
    <col min="2" max="2" width="24.83203125" customWidth="1"/>
    <col min="3" max="3" width="14.5" customWidth="1"/>
    <col min="4" max="4" width="14.1640625" customWidth="1"/>
    <col min="5" max="5" width="13.6640625" customWidth="1"/>
    <col min="6" max="6" width="16.83203125" customWidth="1"/>
    <col min="7" max="7" width="15.1640625" customWidth="1"/>
    <col min="8" max="8" width="15.6640625" customWidth="1"/>
    <col min="9" max="9" width="17" customWidth="1"/>
    <col min="10" max="10" width="16.33203125" customWidth="1"/>
    <col min="11" max="11" width="16.5" customWidth="1"/>
    <col min="12" max="12" width="14.83203125" customWidth="1"/>
  </cols>
  <sheetData>
    <row r="2" spans="2:12" ht="16" thickBot="1" x14ac:dyDescent="0.25"/>
    <row r="3" spans="2:12" ht="17" thickBot="1" x14ac:dyDescent="0.25">
      <c r="B3" s="111" t="s">
        <v>696</v>
      </c>
      <c r="C3" s="112"/>
      <c r="D3" s="112"/>
      <c r="E3" s="112"/>
      <c r="F3" s="112"/>
      <c r="G3" s="112"/>
      <c r="H3" s="112"/>
      <c r="I3" s="112"/>
      <c r="J3" s="112"/>
      <c r="K3" s="112"/>
      <c r="L3" s="113"/>
    </row>
    <row r="4" spans="2:12" ht="52" thickBot="1" x14ac:dyDescent="0.25">
      <c r="B4" s="21"/>
      <c r="C4" s="1" t="s">
        <v>504</v>
      </c>
      <c r="D4" s="1" t="s">
        <v>642</v>
      </c>
      <c r="E4" s="1" t="s">
        <v>641</v>
      </c>
      <c r="F4" s="1" t="s">
        <v>640</v>
      </c>
      <c r="G4" s="1" t="s">
        <v>572</v>
      </c>
      <c r="H4" s="15" t="s">
        <v>573</v>
      </c>
      <c r="I4" s="15" t="s">
        <v>570</v>
      </c>
      <c r="J4" s="15" t="s">
        <v>502</v>
      </c>
      <c r="K4" s="15" t="s">
        <v>571</v>
      </c>
      <c r="L4" s="15" t="s">
        <v>571</v>
      </c>
    </row>
    <row r="5" spans="2:12" ht="18" thickBot="1" x14ac:dyDescent="0.25">
      <c r="B5" s="22" t="s">
        <v>230</v>
      </c>
      <c r="C5" s="2">
        <v>400.53826904296875</v>
      </c>
      <c r="D5" s="2">
        <v>1182.8966064453125</v>
      </c>
      <c r="E5" s="30">
        <v>1498.9715576171875</v>
      </c>
      <c r="F5" s="30">
        <v>1665.532958984375</v>
      </c>
      <c r="G5" s="30">
        <v>1652.1856689453125</v>
      </c>
      <c r="H5" s="30">
        <v>4.124913215637207</v>
      </c>
      <c r="I5" s="30">
        <v>0.63178515434265137</v>
      </c>
      <c r="J5" s="30">
        <v>1.1911029815673828</v>
      </c>
      <c r="K5" s="30">
        <v>0.39003780484199524</v>
      </c>
      <c r="L5" s="30">
        <v>-0.16079363226890564</v>
      </c>
    </row>
    <row r="6" spans="2:12" ht="18" thickBot="1" x14ac:dyDescent="0.25">
      <c r="B6" s="22" t="s">
        <v>226</v>
      </c>
      <c r="C6" s="2">
        <v>145.62493896484375</v>
      </c>
      <c r="D6" s="2">
        <v>498.12008666992188</v>
      </c>
      <c r="E6" s="30">
        <v>524.720947265625</v>
      </c>
      <c r="F6" s="30">
        <v>552.56982421875</v>
      </c>
      <c r="G6" s="30">
        <v>555.98504638671875</v>
      </c>
      <c r="H6" s="30">
        <v>3.8179244995117188</v>
      </c>
      <c r="I6" s="30">
        <v>0.59720146656036377</v>
      </c>
      <c r="J6" s="30">
        <v>0.26046589016914368</v>
      </c>
      <c r="K6" s="30">
        <v>0.23176702857017517</v>
      </c>
      <c r="L6" s="30">
        <v>0.12330789119005203</v>
      </c>
    </row>
    <row r="7" spans="2:12" ht="18" thickBot="1" x14ac:dyDescent="0.25">
      <c r="B7" s="22" t="s">
        <v>229</v>
      </c>
      <c r="C7" s="2">
        <v>17.609682083129883</v>
      </c>
      <c r="D7" s="2">
        <v>359.65325927734375</v>
      </c>
      <c r="E7" s="30">
        <v>520.17303466796875</v>
      </c>
      <c r="F7" s="30">
        <v>645.54278564453125</v>
      </c>
      <c r="G7" s="30">
        <v>666.7366943359375</v>
      </c>
      <c r="H7" s="30">
        <v>37.8619384765625</v>
      </c>
      <c r="I7" s="30">
        <v>1.6282002925872803</v>
      </c>
      <c r="J7" s="30">
        <v>1.8622328042984009</v>
      </c>
      <c r="K7" s="30">
        <v>0.99788081645965576</v>
      </c>
      <c r="L7" s="30">
        <v>0.64816612005233765</v>
      </c>
    </row>
    <row r="8" spans="2:12" ht="18" thickBot="1" x14ac:dyDescent="0.25">
      <c r="B8" s="22" t="s">
        <v>231</v>
      </c>
      <c r="C8" s="2">
        <v>37.663642883300781</v>
      </c>
      <c r="D8" s="2">
        <v>229.966552734375</v>
      </c>
      <c r="E8" s="30">
        <v>384.2132568359375</v>
      </c>
      <c r="F8" s="30">
        <v>566.1634521484375</v>
      </c>
      <c r="G8" s="30">
        <v>612.22662353515625</v>
      </c>
      <c r="H8" s="30">
        <v>16.255107879638672</v>
      </c>
      <c r="I8" s="30">
        <v>1.2470031976699829</v>
      </c>
      <c r="J8" s="30">
        <v>2.5995328426361084</v>
      </c>
      <c r="K8" s="30">
        <v>1.88109290599823</v>
      </c>
      <c r="L8" s="30">
        <v>1.5766952037811279</v>
      </c>
    </row>
    <row r="9" spans="2:12" ht="18" thickBot="1" x14ac:dyDescent="0.25">
      <c r="B9" s="22" t="s">
        <v>227</v>
      </c>
      <c r="C9" s="2">
        <v>9.2114439010620117</v>
      </c>
      <c r="D9" s="2">
        <v>277.25616455078125</v>
      </c>
      <c r="E9" s="30">
        <v>343.52651977539062</v>
      </c>
      <c r="F9" s="30">
        <v>421.51687622070312</v>
      </c>
      <c r="G9" s="30">
        <v>433.84503173828125</v>
      </c>
      <c r="H9" s="30">
        <v>47.098480224609375</v>
      </c>
      <c r="I9" s="30">
        <v>1.7268475294113159</v>
      </c>
      <c r="J9" s="30">
        <v>1.0773744583129883</v>
      </c>
      <c r="K9" s="30">
        <v>0.9380648136138916</v>
      </c>
      <c r="L9" s="30">
        <v>0.5782170295715332</v>
      </c>
    </row>
    <row r="10" spans="2:12" ht="18" thickBot="1" x14ac:dyDescent="0.25">
      <c r="B10" s="22" t="s">
        <v>233</v>
      </c>
      <c r="C10" s="2">
        <v>42.272113800048828</v>
      </c>
      <c r="D10" s="2">
        <v>254.01832580566406</v>
      </c>
      <c r="E10" s="30">
        <v>278.07522583007812</v>
      </c>
      <c r="F10" s="30">
        <v>293.70242309570312</v>
      </c>
      <c r="G10" s="30">
        <v>292.72991943359375</v>
      </c>
      <c r="H10" s="30">
        <v>6.9248943328857422</v>
      </c>
      <c r="I10" s="30">
        <v>0.86376368999481201</v>
      </c>
      <c r="J10" s="30">
        <v>0.45345142483711243</v>
      </c>
      <c r="K10" s="30">
        <v>0.2056458592414856</v>
      </c>
      <c r="L10" s="30">
        <v>-6.6310696303844452E-2</v>
      </c>
    </row>
    <row r="11" spans="2:12" ht="18" thickBot="1" x14ac:dyDescent="0.25">
      <c r="B11" s="22" t="s">
        <v>228</v>
      </c>
      <c r="C11" s="2">
        <v>254.15353393554688</v>
      </c>
      <c r="D11" s="2">
        <v>1254.9410400390625</v>
      </c>
      <c r="E11" s="30">
        <v>1939.3189697265625</v>
      </c>
      <c r="F11" s="30">
        <v>2570.775390625</v>
      </c>
      <c r="G11" s="30">
        <v>2692.82177734375</v>
      </c>
      <c r="H11" s="30">
        <v>10.595255851745605</v>
      </c>
      <c r="I11" s="30">
        <v>1.0545915365219116</v>
      </c>
      <c r="J11" s="30">
        <v>2.2000942230224609</v>
      </c>
      <c r="K11" s="30">
        <v>1.3216689825057983</v>
      </c>
      <c r="L11" s="30">
        <v>0.93195652961730957</v>
      </c>
    </row>
    <row r="12" spans="2:12" ht="18" thickBot="1" x14ac:dyDescent="0.25">
      <c r="B12" s="22" t="s">
        <v>232</v>
      </c>
      <c r="C12" s="2">
        <v>99.954139709472656</v>
      </c>
      <c r="D12" s="2">
        <v>390.2762451171875</v>
      </c>
      <c r="E12" s="30">
        <v>681.90435791015625</v>
      </c>
      <c r="F12" s="30">
        <v>1170.15966796875</v>
      </c>
      <c r="G12" s="30">
        <v>1324.0028076171875</v>
      </c>
      <c r="H12" s="30">
        <v>13.246103286743164</v>
      </c>
      <c r="I12" s="30">
        <v>1.1549310684204102</v>
      </c>
      <c r="J12" s="30">
        <v>2.829463005065918</v>
      </c>
      <c r="K12" s="30">
        <v>2.6896369457244873</v>
      </c>
      <c r="L12" s="30">
        <v>2.501154899597168</v>
      </c>
    </row>
    <row r="13" spans="2:12" ht="18" thickBot="1" x14ac:dyDescent="0.25">
      <c r="B13" s="23" t="s">
        <v>450</v>
      </c>
      <c r="C13" s="18">
        <v>1007.0277709960938</v>
      </c>
      <c r="D13" s="18">
        <v>4447.12841796875</v>
      </c>
      <c r="E13" s="31">
        <v>6170.90380859375</v>
      </c>
      <c r="F13" s="31">
        <v>7885.96337890625</v>
      </c>
      <c r="G13" s="31">
        <v>8230.533203125</v>
      </c>
      <c r="H13" s="31">
        <v>8.1730947494506836</v>
      </c>
      <c r="I13" s="31">
        <v>0.93808275461196899</v>
      </c>
      <c r="J13" s="31">
        <v>1.6514215469360352</v>
      </c>
      <c r="K13" s="31">
        <v>1.1586834192276001</v>
      </c>
      <c r="L13" s="31">
        <v>0.85899722576141357</v>
      </c>
    </row>
  </sheetData>
  <mergeCells count="1">
    <mergeCell ref="B3:L3"/>
  </mergeCells>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8"/>
  </sheetPr>
  <dimension ref="B2:K13"/>
  <sheetViews>
    <sheetView workbookViewId="0">
      <selection activeCell="E20" sqref="E20"/>
    </sheetView>
  </sheetViews>
  <sheetFormatPr baseColWidth="10" defaultColWidth="8.83203125" defaultRowHeight="15" x14ac:dyDescent="0.2"/>
  <cols>
    <col min="2" max="2" width="25.1640625" customWidth="1"/>
    <col min="3" max="3" width="17.33203125" customWidth="1"/>
    <col min="4" max="4" width="18" customWidth="1"/>
    <col min="5" max="5" width="16.83203125" customWidth="1"/>
    <col min="6" max="6" width="16.5" customWidth="1"/>
    <col min="7" max="7" width="17.83203125" customWidth="1"/>
    <col min="8" max="8" width="15.5" customWidth="1"/>
    <col min="9" max="9" width="16.1640625" customWidth="1"/>
    <col min="10" max="10" width="16.33203125" customWidth="1"/>
    <col min="11" max="11" width="15.83203125" customWidth="1"/>
    <col min="12" max="12" width="11.33203125" customWidth="1"/>
  </cols>
  <sheetData>
    <row r="2" spans="2:11" ht="16" thickBot="1" x14ac:dyDescent="0.25"/>
    <row r="3" spans="2:11" ht="17" customHeight="1" thickBot="1" x14ac:dyDescent="0.25">
      <c r="B3" s="172" t="s">
        <v>701</v>
      </c>
      <c r="C3" s="173"/>
      <c r="D3" s="173"/>
      <c r="E3" s="173"/>
      <c r="F3" s="173"/>
      <c r="G3" s="173"/>
      <c r="H3" s="173"/>
      <c r="I3" s="173"/>
      <c r="J3" s="173"/>
      <c r="K3" s="174"/>
    </row>
    <row r="4" spans="2:11" ht="52" thickBot="1" x14ac:dyDescent="0.25">
      <c r="B4" s="21"/>
      <c r="C4" s="1" t="s">
        <v>567</v>
      </c>
      <c r="D4" s="1" t="s">
        <v>568</v>
      </c>
      <c r="E4" s="1" t="s">
        <v>643</v>
      </c>
      <c r="F4" s="1" t="s">
        <v>644</v>
      </c>
      <c r="G4" s="1" t="s">
        <v>569</v>
      </c>
      <c r="H4" s="15" t="s">
        <v>570</v>
      </c>
      <c r="I4" s="15" t="s">
        <v>502</v>
      </c>
      <c r="J4" s="15" t="s">
        <v>571</v>
      </c>
      <c r="K4" s="15" t="s">
        <v>627</v>
      </c>
    </row>
    <row r="5" spans="2:11" ht="18" thickBot="1" x14ac:dyDescent="0.25">
      <c r="B5" s="22" t="s">
        <v>230</v>
      </c>
      <c r="C5" s="35">
        <v>1.5700559597462416E-3</v>
      </c>
      <c r="D5" s="35">
        <v>0.29674822092056274</v>
      </c>
      <c r="E5" s="37">
        <v>0.57910645008087158</v>
      </c>
      <c r="F5" s="37">
        <v>0.83524203300476074</v>
      </c>
      <c r="G5" s="37">
        <v>1</v>
      </c>
      <c r="H5" s="30">
        <v>2.9111897945404053</v>
      </c>
      <c r="I5" s="30">
        <v>3.3995180130004883</v>
      </c>
      <c r="J5" s="30">
        <v>2.2091233730316162</v>
      </c>
      <c r="K5" s="30">
        <v>3.6662840843200684</v>
      </c>
    </row>
    <row r="6" spans="2:11" ht="18" thickBot="1" x14ac:dyDescent="0.25">
      <c r="B6" s="22" t="s">
        <v>226</v>
      </c>
      <c r="C6" s="35">
        <v>1.7174580134451389E-3</v>
      </c>
      <c r="D6" s="35">
        <v>0.3064219057559967</v>
      </c>
      <c r="E6" s="37">
        <v>0.60588598251342773</v>
      </c>
      <c r="F6" s="37">
        <v>0.83755892515182495</v>
      </c>
      <c r="G6" s="37">
        <v>1</v>
      </c>
      <c r="H6" s="30">
        <v>2.8701550960540771</v>
      </c>
      <c r="I6" s="30">
        <v>3.4674043655395508</v>
      </c>
      <c r="J6" s="30">
        <v>2.0244739055633545</v>
      </c>
      <c r="K6" s="30">
        <v>3.6088674068450928</v>
      </c>
    </row>
    <row r="7" spans="2:11" ht="18" thickBot="1" x14ac:dyDescent="0.25">
      <c r="B7" s="22" t="s">
        <v>229</v>
      </c>
      <c r="C7" s="35">
        <v>1.6052607679739594E-3</v>
      </c>
      <c r="D7" s="35">
        <v>0.29722154140472412</v>
      </c>
      <c r="E7" s="37">
        <v>0.60075736045837402</v>
      </c>
      <c r="F7" s="37">
        <v>0.83682245016098022</v>
      </c>
      <c r="G7" s="37">
        <v>1</v>
      </c>
      <c r="H7" s="30">
        <v>2.901047945022583</v>
      </c>
      <c r="I7" s="30">
        <v>3.5812005996704102</v>
      </c>
      <c r="J7" s="30">
        <v>2.0591709613800049</v>
      </c>
      <c r="K7" s="30">
        <v>3.6270978450775146</v>
      </c>
    </row>
    <row r="8" spans="2:11" ht="18" thickBot="1" x14ac:dyDescent="0.25">
      <c r="B8" s="22" t="s">
        <v>231</v>
      </c>
      <c r="C8" s="35">
        <v>1.6534520545974374E-3</v>
      </c>
      <c r="D8" s="35">
        <v>0.30088463425636292</v>
      </c>
      <c r="E8" s="37">
        <v>0.61785006523132324</v>
      </c>
      <c r="F8" s="37">
        <v>0.84192860126495361</v>
      </c>
      <c r="G8" s="37">
        <v>1</v>
      </c>
      <c r="H8" s="30">
        <v>2.8875212669372559</v>
      </c>
      <c r="I8" s="30">
        <v>3.6630909442901611</v>
      </c>
      <c r="J8" s="30">
        <v>1.944705605506897</v>
      </c>
      <c r="K8" s="30">
        <v>3.5010957717895508</v>
      </c>
    </row>
    <row r="9" spans="2:11" ht="18" thickBot="1" x14ac:dyDescent="0.25">
      <c r="B9" s="22" t="s">
        <v>227</v>
      </c>
      <c r="C9" s="35">
        <v>1.5868598129600286E-3</v>
      </c>
      <c r="D9" s="35">
        <v>0.30529657006263733</v>
      </c>
      <c r="E9" s="37">
        <v>0.61371350288391113</v>
      </c>
      <c r="F9" s="37">
        <v>0.83985340595245361</v>
      </c>
      <c r="G9" s="37">
        <v>1</v>
      </c>
      <c r="H9" s="30">
        <v>2.9063208103179932</v>
      </c>
      <c r="I9" s="30">
        <v>3.5528814792633057</v>
      </c>
      <c r="J9" s="30">
        <v>1.9721022844314575</v>
      </c>
      <c r="K9" s="30">
        <v>3.5521934032440186</v>
      </c>
    </row>
    <row r="10" spans="2:11" ht="18" thickBot="1" x14ac:dyDescent="0.25">
      <c r="B10" s="22" t="s">
        <v>233</v>
      </c>
      <c r="C10" s="35">
        <v>1.8250478897243738E-3</v>
      </c>
      <c r="D10" s="35">
        <v>0.3116321861743927</v>
      </c>
      <c r="E10" s="37">
        <v>0.60996901988983154</v>
      </c>
      <c r="F10" s="37">
        <v>0.84124588966369629</v>
      </c>
      <c r="G10" s="37">
        <v>1</v>
      </c>
      <c r="H10" s="30">
        <v>2.842379093170166</v>
      </c>
      <c r="I10" s="30">
        <v>3.4149374961853027</v>
      </c>
      <c r="J10" s="30">
        <v>1.9970682859420776</v>
      </c>
      <c r="K10" s="30">
        <v>3.5178894996643066</v>
      </c>
    </row>
    <row r="11" spans="2:11" ht="18" thickBot="1" x14ac:dyDescent="0.25">
      <c r="B11" s="22" t="s">
        <v>228</v>
      </c>
      <c r="C11" s="35">
        <v>1.5574438730254769E-3</v>
      </c>
      <c r="D11" s="35">
        <v>0.29865178465843201</v>
      </c>
      <c r="E11" s="37">
        <v>0.59456926584243774</v>
      </c>
      <c r="F11" s="37">
        <v>0.8310512900352478</v>
      </c>
      <c r="G11" s="37">
        <v>1</v>
      </c>
      <c r="H11" s="30">
        <v>2.9148788452148438</v>
      </c>
      <c r="I11" s="30">
        <v>3.5027449131011963</v>
      </c>
      <c r="J11" s="30">
        <v>2.1014480590820312</v>
      </c>
      <c r="K11" s="30">
        <v>3.7706253528594971</v>
      </c>
    </row>
    <row r="12" spans="2:11" ht="18" thickBot="1" x14ac:dyDescent="0.25">
      <c r="B12" s="22" t="s">
        <v>232</v>
      </c>
      <c r="C12" s="35">
        <v>1.950365025550127E-3</v>
      </c>
      <c r="D12" s="35">
        <v>0.2943747341632843</v>
      </c>
      <c r="E12" s="37">
        <v>0.49222585558891296</v>
      </c>
      <c r="F12" s="37">
        <v>0.80471253395080566</v>
      </c>
      <c r="G12" s="37">
        <v>1</v>
      </c>
      <c r="H12" s="30">
        <v>2.8120288848876953</v>
      </c>
      <c r="I12" s="30">
        <v>2.6037406921386719</v>
      </c>
      <c r="J12" s="30">
        <v>2.8758468627929688</v>
      </c>
      <c r="K12" s="30">
        <v>4.4411983489990234</v>
      </c>
    </row>
    <row r="13" spans="2:11" ht="18" thickBot="1" x14ac:dyDescent="0.25">
      <c r="B13" s="23" t="s">
        <v>450</v>
      </c>
      <c r="C13" s="36">
        <v>1.6282612923532724E-3</v>
      </c>
      <c r="D13" s="36">
        <v>0.26889580488204956</v>
      </c>
      <c r="E13" s="38">
        <v>0.53426259756088257</v>
      </c>
      <c r="F13" s="38">
        <v>0.82272106409072876</v>
      </c>
      <c r="G13" s="38">
        <v>1</v>
      </c>
      <c r="H13" s="31">
        <v>2.8945417404174805</v>
      </c>
      <c r="I13" s="31">
        <v>3.4924187660217285</v>
      </c>
      <c r="J13" s="31">
        <v>2.5391726493835449</v>
      </c>
      <c r="K13" s="31">
        <v>3.97991943359375</v>
      </c>
    </row>
  </sheetData>
  <mergeCells count="1">
    <mergeCell ref="B3:K3"/>
  </mergeCell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8"/>
  </sheetPr>
  <dimension ref="B2:K13"/>
  <sheetViews>
    <sheetView workbookViewId="0">
      <selection activeCell="B4" sqref="B4"/>
    </sheetView>
  </sheetViews>
  <sheetFormatPr baseColWidth="10" defaultColWidth="8.83203125" defaultRowHeight="15" x14ac:dyDescent="0.2"/>
  <cols>
    <col min="2" max="2" width="24.83203125" customWidth="1"/>
    <col min="3" max="3" width="17.6640625" customWidth="1"/>
    <col min="4" max="5" width="17" customWidth="1"/>
    <col min="6" max="6" width="17.5" customWidth="1"/>
    <col min="7" max="7" width="17.1640625" customWidth="1"/>
    <col min="8" max="8" width="15.1640625" customWidth="1"/>
    <col min="9" max="9" width="16.6640625" customWidth="1"/>
    <col min="10" max="10" width="15.5" customWidth="1"/>
    <col min="11" max="11" width="15.6640625" customWidth="1"/>
  </cols>
  <sheetData>
    <row r="2" spans="2:11" ht="16" thickBot="1" x14ac:dyDescent="0.25"/>
    <row r="3" spans="2:11" ht="17" thickBot="1" x14ac:dyDescent="0.25">
      <c r="B3" s="111" t="s">
        <v>700</v>
      </c>
      <c r="C3" s="112"/>
      <c r="D3" s="112"/>
      <c r="E3" s="112"/>
      <c r="F3" s="112"/>
      <c r="G3" s="112"/>
      <c r="H3" s="112"/>
      <c r="I3" s="112"/>
      <c r="J3" s="112"/>
      <c r="K3" s="113"/>
    </row>
    <row r="4" spans="2:11" ht="35" thickBot="1" x14ac:dyDescent="0.25">
      <c r="B4" s="21"/>
      <c r="C4" s="1" t="s">
        <v>645</v>
      </c>
      <c r="D4" s="1" t="s">
        <v>646</v>
      </c>
      <c r="E4" s="1" t="s">
        <v>647</v>
      </c>
      <c r="F4" s="1" t="s">
        <v>648</v>
      </c>
      <c r="G4" s="1" t="s">
        <v>649</v>
      </c>
      <c r="H4" s="15" t="s">
        <v>570</v>
      </c>
      <c r="I4" s="15" t="s">
        <v>502</v>
      </c>
      <c r="J4" s="15" t="s">
        <v>571</v>
      </c>
      <c r="K4" s="15" t="s">
        <v>627</v>
      </c>
    </row>
    <row r="5" spans="2:11" ht="18" thickBot="1" x14ac:dyDescent="0.25">
      <c r="B5" s="22" t="s">
        <v>230</v>
      </c>
      <c r="C5" s="35">
        <v>2.2628199309110641E-2</v>
      </c>
      <c r="D5" s="35">
        <v>0.29683169722557068</v>
      </c>
      <c r="E5" s="37">
        <v>0.53138726949691772</v>
      </c>
      <c r="F5" s="37">
        <v>0.8124929666519165</v>
      </c>
      <c r="G5" s="37">
        <v>1</v>
      </c>
      <c r="H5" s="30">
        <v>1.6980595588684082</v>
      </c>
      <c r="I5" s="30">
        <v>2.9544312953948975</v>
      </c>
      <c r="J5" s="30">
        <v>2.5613088607788086</v>
      </c>
      <c r="K5" s="30">
        <v>4.2404022216796875</v>
      </c>
    </row>
    <row r="6" spans="2:11" ht="18" thickBot="1" x14ac:dyDescent="0.25">
      <c r="B6" s="22" t="s">
        <v>226</v>
      </c>
      <c r="C6" s="35">
        <v>2.4752609431743622E-2</v>
      </c>
      <c r="D6" s="35">
        <v>0.30650809407234192</v>
      </c>
      <c r="E6" s="37">
        <v>0.55596017837524414</v>
      </c>
      <c r="F6" s="37">
        <v>0.81474673748016357</v>
      </c>
      <c r="G6" s="37">
        <v>1</v>
      </c>
      <c r="H6" s="30">
        <v>1.6575087308883667</v>
      </c>
      <c r="I6" s="30">
        <v>3.0220260620117188</v>
      </c>
      <c r="J6" s="30">
        <v>2.3760225772857666</v>
      </c>
      <c r="K6" s="30">
        <v>4.1826677322387695</v>
      </c>
    </row>
    <row r="7" spans="2:11" ht="18" thickBot="1" x14ac:dyDescent="0.25">
      <c r="B7" s="22" t="s">
        <v>229</v>
      </c>
      <c r="C7" s="35">
        <v>2.3135581985116005E-2</v>
      </c>
      <c r="D7" s="35">
        <v>0.29730516672134399</v>
      </c>
      <c r="E7" s="37">
        <v>0.55125415325164795</v>
      </c>
      <c r="F7" s="37">
        <v>0.81403028964996338</v>
      </c>
      <c r="G7" s="37">
        <v>1</v>
      </c>
      <c r="H7" s="30">
        <v>1.6880372762680054</v>
      </c>
      <c r="I7" s="30">
        <v>3.1353318691253662</v>
      </c>
      <c r="J7" s="30">
        <v>2.410839319229126</v>
      </c>
      <c r="K7" s="30">
        <v>4.2010002136230469</v>
      </c>
    </row>
    <row r="8" spans="2:11" ht="18" thickBot="1" x14ac:dyDescent="0.25">
      <c r="B8" s="22" t="s">
        <v>231</v>
      </c>
      <c r="C8" s="35">
        <v>2.3830132558941841E-2</v>
      </c>
      <c r="D8" s="35">
        <v>0.30096927285194397</v>
      </c>
      <c r="E8" s="37">
        <v>0.56693834066390991</v>
      </c>
      <c r="F8" s="37">
        <v>0.81899726390838623</v>
      </c>
      <c r="G8" s="37">
        <v>1</v>
      </c>
      <c r="H8" s="30">
        <v>1.6746699810028076</v>
      </c>
      <c r="I8" s="30">
        <v>3.216869592666626</v>
      </c>
      <c r="J8" s="30">
        <v>2.2959799766540527</v>
      </c>
      <c r="K8" s="30">
        <v>4.0743026733398438</v>
      </c>
    </row>
    <row r="9" spans="2:11" ht="18" thickBot="1" x14ac:dyDescent="0.25">
      <c r="B9" s="22" t="s">
        <v>227</v>
      </c>
      <c r="C9" s="35">
        <v>2.2870380431413651E-2</v>
      </c>
      <c r="D9" s="35">
        <v>0.30538243055343628</v>
      </c>
      <c r="E9" s="37">
        <v>0.56314277648925781</v>
      </c>
      <c r="F9" s="37">
        <v>0.81697869300842285</v>
      </c>
      <c r="G9" s="37">
        <v>1</v>
      </c>
      <c r="H9" s="30">
        <v>1.69324791431427</v>
      </c>
      <c r="I9" s="30">
        <v>3.1071360111236572</v>
      </c>
      <c r="J9" s="30">
        <v>2.323469877243042</v>
      </c>
      <c r="K9" s="30">
        <v>4.1256809234619141</v>
      </c>
    </row>
    <row r="10" spans="2:11" ht="18" thickBot="1" x14ac:dyDescent="0.25">
      <c r="B10" s="22" t="s">
        <v>233</v>
      </c>
      <c r="C10" s="35">
        <v>2.6303233578801155E-2</v>
      </c>
      <c r="D10" s="35">
        <v>0.31171983480453491</v>
      </c>
      <c r="E10" s="37">
        <v>0.55970680713653564</v>
      </c>
      <c r="F10" s="37">
        <v>0.8183332085609436</v>
      </c>
      <c r="G10" s="37">
        <v>1</v>
      </c>
      <c r="H10" s="30">
        <v>1.6300599575042725</v>
      </c>
      <c r="I10" s="30">
        <v>2.9697854518890381</v>
      </c>
      <c r="J10" s="30">
        <v>2.3485221862792969</v>
      </c>
      <c r="K10" s="30">
        <v>4.0911879539489746</v>
      </c>
    </row>
    <row r="11" spans="2:11" ht="18" thickBot="1" x14ac:dyDescent="0.25">
      <c r="B11" s="22" t="s">
        <v>228</v>
      </c>
      <c r="C11" s="35">
        <v>2.2446427494287491E-2</v>
      </c>
      <c r="D11" s="35">
        <v>0.29873582720756531</v>
      </c>
      <c r="E11" s="37">
        <v>0.54557603597640991</v>
      </c>
      <c r="F11" s="37">
        <v>0.80841630697250366</v>
      </c>
      <c r="G11" s="37">
        <v>1</v>
      </c>
      <c r="H11" s="30">
        <v>1.7017052173614502</v>
      </c>
      <c r="I11" s="30">
        <v>3.0572142601013184</v>
      </c>
      <c r="J11" s="30">
        <v>2.4532616138458252</v>
      </c>
      <c r="K11" s="30">
        <v>4.3453226089477539</v>
      </c>
    </row>
    <row r="12" spans="2:11" ht="18" thickBot="1" x14ac:dyDescent="0.25">
      <c r="B12" s="22" t="s">
        <v>232</v>
      </c>
      <c r="C12" s="35">
        <v>2.8109347447752953E-2</v>
      </c>
      <c r="D12" s="35">
        <v>0.29445755481719971</v>
      </c>
      <c r="E12" s="37">
        <v>0.45166578888893127</v>
      </c>
      <c r="F12" s="37">
        <v>0.7827950119972229</v>
      </c>
      <c r="G12" s="37">
        <v>1</v>
      </c>
      <c r="H12" s="30">
        <v>1.6000674962997437</v>
      </c>
      <c r="I12" s="30">
        <v>2.1620795726776123</v>
      </c>
      <c r="J12" s="30">
        <v>3.2303292751312256</v>
      </c>
      <c r="K12" s="30">
        <v>5.0196075439453125</v>
      </c>
    </row>
    <row r="13" spans="2:11" ht="18" thickBot="1" x14ac:dyDescent="0.25">
      <c r="B13" s="23" t="s">
        <v>450</v>
      </c>
      <c r="C13" s="36">
        <v>2.346707321703434E-2</v>
      </c>
      <c r="D13" s="36">
        <v>0.26897141337394714</v>
      </c>
      <c r="E13" s="38">
        <v>0.49023863673210144</v>
      </c>
      <c r="F13" s="38">
        <v>0.80031299591064453</v>
      </c>
      <c r="G13" s="38">
        <v>1</v>
      </c>
      <c r="H13" s="31">
        <v>1.6816078424453735</v>
      </c>
      <c r="I13" s="31">
        <v>3.0469329357147217</v>
      </c>
      <c r="J13" s="31">
        <v>2.8924951553344727</v>
      </c>
      <c r="K13" s="31">
        <v>4.5557751655578613</v>
      </c>
    </row>
  </sheetData>
  <mergeCells count="1">
    <mergeCell ref="B3:K3"/>
  </mergeCell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8"/>
  </sheetPr>
  <dimension ref="B2:K13"/>
  <sheetViews>
    <sheetView workbookViewId="0">
      <selection activeCell="B4" sqref="B4"/>
    </sheetView>
  </sheetViews>
  <sheetFormatPr baseColWidth="10" defaultColWidth="15.83203125" defaultRowHeight="15" x14ac:dyDescent="0.2"/>
  <cols>
    <col min="1" max="1" width="9.83203125" customWidth="1"/>
    <col min="2" max="2" width="25.5" customWidth="1"/>
    <col min="3" max="3" width="16.83203125" customWidth="1"/>
    <col min="4" max="4" width="16.5" customWidth="1"/>
    <col min="5" max="5" width="17.1640625" customWidth="1"/>
    <col min="6" max="7" width="17" customWidth="1"/>
  </cols>
  <sheetData>
    <row r="2" spans="2:11" ht="16" thickBot="1" x14ac:dyDescent="0.25"/>
    <row r="3" spans="2:11" ht="17" thickBot="1" x14ac:dyDescent="0.25">
      <c r="B3" s="175" t="s">
        <v>699</v>
      </c>
      <c r="C3" s="176"/>
      <c r="D3" s="176"/>
      <c r="E3" s="176"/>
      <c r="F3" s="176"/>
      <c r="G3" s="176"/>
      <c r="H3" s="176"/>
      <c r="I3" s="176"/>
      <c r="J3" s="176"/>
      <c r="K3" s="177"/>
    </row>
    <row r="4" spans="2:11" ht="35" thickBot="1" x14ac:dyDescent="0.25">
      <c r="B4" s="39"/>
      <c r="C4" s="1" t="s">
        <v>506</v>
      </c>
      <c r="D4" s="1" t="s">
        <v>505</v>
      </c>
      <c r="E4" s="1" t="s">
        <v>650</v>
      </c>
      <c r="F4" s="1" t="s">
        <v>651</v>
      </c>
      <c r="G4" s="1" t="s">
        <v>652</v>
      </c>
      <c r="H4" s="15" t="s">
        <v>570</v>
      </c>
      <c r="I4" s="15" t="s">
        <v>502</v>
      </c>
      <c r="J4" s="15" t="s">
        <v>571</v>
      </c>
      <c r="K4" s="15" t="s">
        <v>627</v>
      </c>
    </row>
    <row r="5" spans="2:11" ht="18" thickBot="1" x14ac:dyDescent="0.25">
      <c r="B5" s="26" t="s">
        <v>230</v>
      </c>
      <c r="C5" s="35">
        <v>1.3899111654609442E-3</v>
      </c>
      <c r="D5" s="35">
        <v>0.38338971138000488</v>
      </c>
      <c r="E5" s="37">
        <v>1.0778207778930664</v>
      </c>
      <c r="F5" s="37">
        <v>1.0622771978378296</v>
      </c>
      <c r="G5" s="37">
        <v>1</v>
      </c>
      <c r="H5" s="30">
        <v>2.9669468402862549</v>
      </c>
      <c r="I5" s="30">
        <v>5.3041057586669922</v>
      </c>
      <c r="J5" s="30">
        <v>-0.29931595921516418</v>
      </c>
      <c r="K5" s="30">
        <v>-1.201027512550354</v>
      </c>
    </row>
    <row r="6" spans="2:11" ht="18" thickBot="1" x14ac:dyDescent="0.25">
      <c r="B6" s="26" t="s">
        <v>226</v>
      </c>
      <c r="C6" s="35">
        <v>1.9370104419067502E-3</v>
      </c>
      <c r="D6" s="35">
        <v>0.27626639604568481</v>
      </c>
      <c r="E6" s="37">
        <v>0.61933761835098267</v>
      </c>
      <c r="F6" s="37">
        <v>0.81865960359573364</v>
      </c>
      <c r="G6" s="37">
        <v>1</v>
      </c>
      <c r="H6" s="30">
        <v>2.8151683807373047</v>
      </c>
      <c r="I6" s="30">
        <v>4.1189956665039062</v>
      </c>
      <c r="J6" s="30">
        <v>1.9349000453948975</v>
      </c>
      <c r="K6" s="30">
        <v>4.0828866958618164</v>
      </c>
    </row>
    <row r="7" spans="2:11" ht="18" thickBot="1" x14ac:dyDescent="0.25">
      <c r="B7" s="26" t="s">
        <v>229</v>
      </c>
      <c r="C7" s="35">
        <v>1.8849949119612575E-3</v>
      </c>
      <c r="D7" s="35">
        <v>0.277261883020401</v>
      </c>
      <c r="E7" s="37">
        <v>0.66564899682998657</v>
      </c>
      <c r="F7" s="37">
        <v>0.74560320377349854</v>
      </c>
      <c r="G7" s="37">
        <v>1</v>
      </c>
      <c r="H7" s="30">
        <v>2.8276078701019287</v>
      </c>
      <c r="I7" s="30">
        <v>4.4762930870056152</v>
      </c>
      <c r="J7" s="30">
        <v>1.6412947177886963</v>
      </c>
      <c r="K7" s="30">
        <v>6.0470147132873535</v>
      </c>
    </row>
    <row r="8" spans="2:11" ht="18" thickBot="1" x14ac:dyDescent="0.25">
      <c r="B8" s="26" t="s">
        <v>231</v>
      </c>
      <c r="C8" s="35">
        <v>1.8162765773013234E-3</v>
      </c>
      <c r="D8" s="35">
        <v>0.33761250972747803</v>
      </c>
      <c r="E8" s="37">
        <v>0.59566491842269897</v>
      </c>
      <c r="F8" s="37">
        <v>0.77855205535888672</v>
      </c>
      <c r="G8" s="37">
        <v>1</v>
      </c>
      <c r="H8" s="30">
        <v>2.844581127166748</v>
      </c>
      <c r="I8" s="30">
        <v>2.8795781135559082</v>
      </c>
      <c r="J8" s="30">
        <v>2.0939292907714844</v>
      </c>
      <c r="K8" s="30">
        <v>5.1338257789611816</v>
      </c>
    </row>
    <row r="9" spans="2:11" ht="18" thickBot="1" x14ac:dyDescent="0.25">
      <c r="B9" s="26" t="s">
        <v>227</v>
      </c>
      <c r="C9" s="35">
        <v>1.858808915130794E-3</v>
      </c>
      <c r="D9" s="35">
        <v>0.25418952107429504</v>
      </c>
      <c r="E9" s="37">
        <v>0.70405858755111694</v>
      </c>
      <c r="F9" s="37">
        <v>0.84505873918533325</v>
      </c>
      <c r="G9" s="37">
        <v>1</v>
      </c>
      <c r="H9" s="30">
        <v>2.8340013027191162</v>
      </c>
      <c r="I9" s="30">
        <v>5.2258777618408203</v>
      </c>
      <c r="J9" s="30">
        <v>1.4134712219238281</v>
      </c>
      <c r="K9" s="30">
        <v>3.4243073463439941</v>
      </c>
    </row>
    <row r="10" spans="2:11" ht="18" thickBot="1" x14ac:dyDescent="0.25">
      <c r="B10" s="26" t="s">
        <v>233</v>
      </c>
      <c r="C10" s="35">
        <v>3.2267640344798565E-3</v>
      </c>
      <c r="D10" s="35">
        <v>0.38675940036773682</v>
      </c>
      <c r="E10" s="37">
        <v>0.26038265228271484</v>
      </c>
      <c r="F10" s="37">
        <v>0.66073036193847656</v>
      </c>
      <c r="G10" s="37">
        <v>1</v>
      </c>
      <c r="H10" s="30">
        <v>2.5822322368621826</v>
      </c>
      <c r="I10" s="30">
        <v>-1.9588135480880737</v>
      </c>
      <c r="J10" s="30">
        <v>5.5298981666564941</v>
      </c>
      <c r="K10" s="30">
        <v>8.6413488388061523</v>
      </c>
    </row>
    <row r="11" spans="2:11" ht="18" thickBot="1" x14ac:dyDescent="0.25">
      <c r="B11" s="26" t="s">
        <v>228</v>
      </c>
      <c r="C11" s="35">
        <v>3.0061108991503716E-3</v>
      </c>
      <c r="D11" s="35">
        <v>0.41356220841407776</v>
      </c>
      <c r="E11" s="37">
        <v>0.63543277978897095</v>
      </c>
      <c r="F11" s="37">
        <v>0.94979643821716309</v>
      </c>
      <c r="G11" s="37">
        <v>1</v>
      </c>
      <c r="H11" s="30">
        <v>2.6145315170288086</v>
      </c>
      <c r="I11" s="30">
        <v>2.1707162857055664</v>
      </c>
      <c r="J11" s="30">
        <v>1.8303450345993042</v>
      </c>
      <c r="K11" s="30">
        <v>1.0354762077331543</v>
      </c>
    </row>
    <row r="12" spans="2:11" ht="18" thickBot="1" x14ac:dyDescent="0.25">
      <c r="B12" s="26" t="s">
        <v>232</v>
      </c>
      <c r="C12" s="35">
        <v>2.2162522654980421E-3</v>
      </c>
      <c r="D12" s="35">
        <v>0.686370849609375</v>
      </c>
      <c r="E12" s="37">
        <v>0.49866348505020142</v>
      </c>
      <c r="F12" s="37">
        <v>0.83866417407989502</v>
      </c>
      <c r="G12" s="37">
        <v>1</v>
      </c>
      <c r="H12" s="30">
        <v>2.7536478042602539</v>
      </c>
      <c r="I12" s="30">
        <v>-1.5847417116165161</v>
      </c>
      <c r="J12" s="30">
        <v>2.8223907947540283</v>
      </c>
      <c r="K12" s="30">
        <v>3.5815443992614746</v>
      </c>
    </row>
    <row r="13" spans="2:11" ht="18" thickBot="1" x14ac:dyDescent="0.25">
      <c r="B13" s="28" t="s">
        <v>450</v>
      </c>
      <c r="C13" s="36">
        <v>1.9296250538900495E-3</v>
      </c>
      <c r="D13" s="36">
        <v>0.29947540163993835</v>
      </c>
      <c r="E13" s="38">
        <v>0.69861239194869995</v>
      </c>
      <c r="F13" s="38">
        <v>0.87662148475646973</v>
      </c>
      <c r="G13" s="38">
        <v>1</v>
      </c>
      <c r="H13" s="31">
        <v>2.8169140815734863</v>
      </c>
      <c r="I13" s="31">
        <v>4.3262882232666016</v>
      </c>
      <c r="J13" s="31">
        <v>1.4449771642684937</v>
      </c>
      <c r="K13" s="31">
        <v>2.6685853004455566</v>
      </c>
    </row>
  </sheetData>
  <mergeCells count="1">
    <mergeCell ref="B3:K3"/>
  </mergeCells>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8"/>
  </sheetPr>
  <dimension ref="B2:K13"/>
  <sheetViews>
    <sheetView workbookViewId="0">
      <selection activeCell="B4" sqref="B4"/>
    </sheetView>
  </sheetViews>
  <sheetFormatPr baseColWidth="10" defaultColWidth="16.1640625" defaultRowHeight="15" x14ac:dyDescent="0.2"/>
  <cols>
    <col min="1" max="1" width="11.33203125" customWidth="1"/>
    <col min="2" max="2" width="27" customWidth="1"/>
    <col min="3" max="3" width="16.6640625" customWidth="1"/>
    <col min="4" max="4" width="16.33203125" customWidth="1"/>
    <col min="5" max="5" width="19.33203125" customWidth="1"/>
    <col min="6" max="6" width="18.33203125" customWidth="1"/>
    <col min="7" max="7" width="17.33203125" customWidth="1"/>
  </cols>
  <sheetData>
    <row r="2" spans="2:11" ht="16" thickBot="1" x14ac:dyDescent="0.25"/>
    <row r="3" spans="2:11" ht="17" thickBot="1" x14ac:dyDescent="0.25">
      <c r="B3" s="175" t="s">
        <v>698</v>
      </c>
      <c r="C3" s="176"/>
      <c r="D3" s="176"/>
      <c r="E3" s="176"/>
      <c r="F3" s="176"/>
      <c r="G3" s="176"/>
      <c r="H3" s="176"/>
      <c r="I3" s="176"/>
      <c r="J3" s="176"/>
      <c r="K3" s="177"/>
    </row>
    <row r="4" spans="2:11" ht="35" thickBot="1" x14ac:dyDescent="0.25">
      <c r="B4" s="39"/>
      <c r="C4" s="1" t="s">
        <v>507</v>
      </c>
      <c r="D4" s="1" t="s">
        <v>508</v>
      </c>
      <c r="E4" s="1" t="s">
        <v>655</v>
      </c>
      <c r="F4" s="1" t="s">
        <v>654</v>
      </c>
      <c r="G4" s="1" t="s">
        <v>653</v>
      </c>
      <c r="H4" s="15" t="s">
        <v>570</v>
      </c>
      <c r="I4" s="15" t="s">
        <v>502</v>
      </c>
      <c r="J4" s="15" t="s">
        <v>571</v>
      </c>
      <c r="K4" s="15" t="s">
        <v>627</v>
      </c>
    </row>
    <row r="5" spans="2:11" ht="18" thickBot="1" x14ac:dyDescent="0.25">
      <c r="B5" s="26" t="s">
        <v>230</v>
      </c>
      <c r="C5" s="35">
        <v>1.8200267106294632E-2</v>
      </c>
      <c r="D5" s="35">
        <v>0.4635564386844635</v>
      </c>
      <c r="E5" s="37">
        <v>0.84461045265197754</v>
      </c>
      <c r="F5" s="30">
        <v>1.0294343233108521</v>
      </c>
      <c r="G5" s="30">
        <v>1</v>
      </c>
      <c r="H5" s="30">
        <v>1.7965332269668579</v>
      </c>
      <c r="I5" s="30">
        <v>3.0451822280883789</v>
      </c>
      <c r="J5" s="30">
        <v>0.67780584096908569</v>
      </c>
      <c r="K5" s="30">
        <v>-0.57850915193557739</v>
      </c>
    </row>
    <row r="6" spans="2:11" ht="18" thickBot="1" x14ac:dyDescent="0.25">
      <c r="B6" s="26" t="s">
        <v>226</v>
      </c>
      <c r="C6" s="35">
        <v>2.5364289060235023E-2</v>
      </c>
      <c r="D6" s="35">
        <v>0.33403363823890686</v>
      </c>
      <c r="E6" s="37">
        <v>0.48533031344413757</v>
      </c>
      <c r="F6" s="30">
        <v>0.79334819316864014</v>
      </c>
      <c r="G6" s="30">
        <v>1</v>
      </c>
      <c r="H6" s="30">
        <v>1.6464799642562866</v>
      </c>
      <c r="I6" s="30">
        <v>1.8854951858520508</v>
      </c>
      <c r="J6" s="30">
        <v>2.9339179992675781</v>
      </c>
      <c r="K6" s="30">
        <v>4.7387127876281738</v>
      </c>
    </row>
    <row r="7" spans="2:11" ht="18" thickBot="1" x14ac:dyDescent="0.25">
      <c r="B7" s="26" t="s">
        <v>229</v>
      </c>
      <c r="C7" s="35">
        <v>2.4683170020580292E-2</v>
      </c>
      <c r="D7" s="35">
        <v>0.3352372944355011</v>
      </c>
      <c r="E7" s="37">
        <v>0.52162116765975952</v>
      </c>
      <c r="F7" s="30">
        <v>0.72255104780197144</v>
      </c>
      <c r="G7" s="30">
        <v>1</v>
      </c>
      <c r="H7" s="30">
        <v>1.6587779521942139</v>
      </c>
      <c r="I7" s="30">
        <v>2.2351276874542236</v>
      </c>
      <c r="J7" s="30">
        <v>2.6374354362487793</v>
      </c>
      <c r="K7" s="30">
        <v>6.7152023315429688</v>
      </c>
    </row>
    <row r="8" spans="2:11" ht="18" thickBot="1" x14ac:dyDescent="0.25">
      <c r="B8" s="26" t="s">
        <v>231</v>
      </c>
      <c r="C8" s="35">
        <v>2.3783335462212563E-2</v>
      </c>
      <c r="D8" s="35">
        <v>0.40820720791816711</v>
      </c>
      <c r="E8" s="37">
        <v>0.46677970886230469</v>
      </c>
      <c r="F8" s="30">
        <v>0.75448125600814819</v>
      </c>
      <c r="G8" s="30">
        <v>1</v>
      </c>
      <c r="H8" s="30">
        <v>1.6755582094192505</v>
      </c>
      <c r="I8" s="30">
        <v>0.67266488075256348</v>
      </c>
      <c r="J8" s="30">
        <v>3.094505786895752</v>
      </c>
      <c r="K8" s="30">
        <v>5.7962584495544434</v>
      </c>
    </row>
    <row r="9" spans="2:11" ht="18" thickBot="1" x14ac:dyDescent="0.25">
      <c r="B9" s="26" t="s">
        <v>227</v>
      </c>
      <c r="C9" s="35">
        <v>2.4340277537703514E-2</v>
      </c>
      <c r="D9" s="35">
        <v>0.30734050273895264</v>
      </c>
      <c r="E9" s="37">
        <v>0.5517200231552124</v>
      </c>
      <c r="F9" s="30">
        <v>0.81893175840377808</v>
      </c>
      <c r="G9" s="30">
        <v>1</v>
      </c>
      <c r="H9" s="30">
        <v>1.6650986671447754</v>
      </c>
      <c r="I9" s="30">
        <v>2.9686331748962402</v>
      </c>
      <c r="J9" s="30">
        <v>2.4073789119720459</v>
      </c>
      <c r="K9" s="30">
        <v>4.0759677886962891</v>
      </c>
    </row>
    <row r="10" spans="2:11" ht="18" thickBot="1" x14ac:dyDescent="0.25">
      <c r="B10" s="26" t="s">
        <v>233</v>
      </c>
      <c r="C10" s="35">
        <v>4.22530397772789E-2</v>
      </c>
      <c r="D10" s="35">
        <v>0.46763074398040771</v>
      </c>
      <c r="E10" s="37">
        <v>0.20404313504695892</v>
      </c>
      <c r="F10" s="30">
        <v>0.64030230045318604</v>
      </c>
      <c r="G10" s="30">
        <v>1</v>
      </c>
      <c r="H10" s="30">
        <v>1.416191577911377</v>
      </c>
      <c r="I10" s="30">
        <v>-4.0619368553161621</v>
      </c>
      <c r="J10" s="30">
        <v>6.5641489028930664</v>
      </c>
      <c r="K10" s="30">
        <v>9.3258810043334961</v>
      </c>
    </row>
    <row r="11" spans="2:11" ht="18" thickBot="1" x14ac:dyDescent="0.25">
      <c r="B11" s="26" t="s">
        <v>228</v>
      </c>
      <c r="C11" s="35">
        <v>3.9363682270050049E-2</v>
      </c>
      <c r="D11" s="35">
        <v>0.5000380277633667</v>
      </c>
      <c r="E11" s="37">
        <v>0.49794289469718933</v>
      </c>
      <c r="F11" s="30">
        <v>0.92043125629425049</v>
      </c>
      <c r="G11" s="30">
        <v>1</v>
      </c>
      <c r="H11" s="30">
        <v>1.4481236934661865</v>
      </c>
      <c r="I11" s="30">
        <v>-2.0991545170545578E-2</v>
      </c>
      <c r="J11" s="30">
        <v>2.8283383846282959</v>
      </c>
      <c r="K11" s="30">
        <v>1.6720846891403198</v>
      </c>
    </row>
    <row r="12" spans="2:11" ht="18" thickBot="1" x14ac:dyDescent="0.25">
      <c r="B12" s="26" t="s">
        <v>232</v>
      </c>
      <c r="C12" s="35">
        <v>2.9020840302109718E-2</v>
      </c>
      <c r="D12" s="35">
        <v>0.8298909068107605</v>
      </c>
      <c r="E12" s="37">
        <v>0.39076665043830872</v>
      </c>
      <c r="F12" s="30">
        <v>0.81273490190505981</v>
      </c>
      <c r="G12" s="30">
        <v>1</v>
      </c>
      <c r="H12" s="30">
        <v>1.5856584310531616</v>
      </c>
      <c r="I12" s="30">
        <v>-3.6958894729614258</v>
      </c>
      <c r="J12" s="30">
        <v>3.8301067352294922</v>
      </c>
      <c r="K12" s="30">
        <v>4.2341952323913574</v>
      </c>
    </row>
    <row r="13" spans="2:11" ht="18" thickBot="1" x14ac:dyDescent="0.25">
      <c r="B13" s="28" t="s">
        <v>450</v>
      </c>
      <c r="C13" s="36">
        <v>2.5267582386732101E-2</v>
      </c>
      <c r="D13" s="36">
        <v>0.36209565401077271</v>
      </c>
      <c r="E13" s="38">
        <v>0.54745227098464966</v>
      </c>
      <c r="F13" s="31">
        <v>0.84951847791671753</v>
      </c>
      <c r="G13" s="31">
        <v>1</v>
      </c>
      <c r="H13" s="31">
        <v>1.6482057571411133</v>
      </c>
      <c r="I13" s="31">
        <v>2.088341236114502</v>
      </c>
      <c r="J13" s="31">
        <v>2.4391932487487793</v>
      </c>
      <c r="K13" s="31">
        <v>3.3154885768890381</v>
      </c>
    </row>
  </sheetData>
  <mergeCells count="1">
    <mergeCell ref="B3:K3"/>
  </mergeCells>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8"/>
  </sheetPr>
  <dimension ref="B2:L62"/>
  <sheetViews>
    <sheetView zoomScaleNormal="100" workbookViewId="0">
      <selection activeCell="B3" sqref="B3:L3"/>
    </sheetView>
  </sheetViews>
  <sheetFormatPr baseColWidth="10" defaultColWidth="15.83203125" defaultRowHeight="15" x14ac:dyDescent="0.2"/>
  <cols>
    <col min="2" max="2" width="27" customWidth="1"/>
    <col min="3" max="3" width="27.5" customWidth="1"/>
    <col min="4" max="6" width="12.33203125" bestFit="1" customWidth="1"/>
  </cols>
  <sheetData>
    <row r="2" spans="2:12" ht="16" thickBot="1" x14ac:dyDescent="0.25"/>
    <row r="3" spans="2:12" ht="17" thickBot="1" x14ac:dyDescent="0.25">
      <c r="B3" s="111" t="s">
        <v>697</v>
      </c>
      <c r="C3" s="112"/>
      <c r="D3" s="112"/>
      <c r="E3" s="112"/>
      <c r="F3" s="112"/>
      <c r="G3" s="112"/>
      <c r="H3" s="112"/>
      <c r="I3" s="112"/>
      <c r="J3" s="112"/>
      <c r="K3" s="112"/>
      <c r="L3" s="113"/>
    </row>
    <row r="4" spans="2:12" ht="35" thickBot="1" x14ac:dyDescent="0.25">
      <c r="B4" s="1" t="s">
        <v>462</v>
      </c>
      <c r="C4" s="1" t="s">
        <v>503</v>
      </c>
      <c r="D4" s="40" t="s">
        <v>506</v>
      </c>
      <c r="E4" s="41" t="s">
        <v>505</v>
      </c>
      <c r="F4" s="41" t="s">
        <v>650</v>
      </c>
      <c r="G4" s="41" t="s">
        <v>651</v>
      </c>
      <c r="H4" s="41" t="s">
        <v>652</v>
      </c>
      <c r="I4" s="15" t="s">
        <v>570</v>
      </c>
      <c r="J4" s="15" t="s">
        <v>502</v>
      </c>
      <c r="K4" s="15" t="s">
        <v>571</v>
      </c>
      <c r="L4" s="15" t="s">
        <v>627</v>
      </c>
    </row>
    <row r="5" spans="2:12" ht="18" thickBot="1" x14ac:dyDescent="0.25">
      <c r="B5" s="22" t="s">
        <v>230</v>
      </c>
      <c r="C5" s="2" t="s">
        <v>451</v>
      </c>
      <c r="D5" s="2">
        <v>1.551026594825089E-3</v>
      </c>
      <c r="E5" s="30">
        <v>0.94521427154541016</v>
      </c>
      <c r="F5" s="30">
        <v>0.91182923316955566</v>
      </c>
      <c r="G5" s="30">
        <v>0.88764333724975586</v>
      </c>
      <c r="H5" s="30">
        <v>1</v>
      </c>
      <c r="I5" s="30">
        <v>2.9167673587799072</v>
      </c>
      <c r="J5" s="30">
        <v>-0.17963305115699768</v>
      </c>
      <c r="K5" s="30">
        <v>0.36989262700080872</v>
      </c>
      <c r="L5" s="30">
        <v>2.4123425483703613</v>
      </c>
    </row>
    <row r="6" spans="2:12" ht="18" thickBot="1" x14ac:dyDescent="0.25">
      <c r="B6" s="22" t="s">
        <v>230</v>
      </c>
      <c r="C6" s="2" t="s">
        <v>45</v>
      </c>
      <c r="D6" s="2">
        <v>1.591101405210793E-3</v>
      </c>
      <c r="E6" s="30">
        <v>0.30515170097351074</v>
      </c>
      <c r="F6" s="30">
        <v>0.6144288182258606</v>
      </c>
      <c r="G6" s="30">
        <v>0.83984231948852539</v>
      </c>
      <c r="H6" s="30">
        <v>1</v>
      </c>
      <c r="I6" s="30">
        <v>2.9050998687744141</v>
      </c>
      <c r="J6" s="30">
        <v>3.5613706111907959</v>
      </c>
      <c r="K6" s="30">
        <v>1.967350959777832</v>
      </c>
      <c r="L6" s="30">
        <v>3.552466869354248</v>
      </c>
    </row>
    <row r="7" spans="2:12" ht="18" thickBot="1" x14ac:dyDescent="0.25">
      <c r="B7" s="22" t="s">
        <v>230</v>
      </c>
      <c r="C7" s="2" t="s">
        <v>94</v>
      </c>
      <c r="D7" s="2">
        <v>1.5273588942363858E-3</v>
      </c>
      <c r="E7" s="30">
        <v>0.30515167117118835</v>
      </c>
      <c r="F7" s="30">
        <v>0.61442875862121582</v>
      </c>
      <c r="G7" s="30">
        <v>0.83984220027923584</v>
      </c>
      <c r="H7" s="30">
        <v>1</v>
      </c>
      <c r="I7" s="30">
        <v>2.9238011837005615</v>
      </c>
      <c r="J7" s="30">
        <v>3.5613706111907959</v>
      </c>
      <c r="K7" s="30">
        <v>1.9673514366149902</v>
      </c>
      <c r="L7" s="30">
        <v>3.5524697303771973</v>
      </c>
    </row>
    <row r="8" spans="2:12" ht="18" thickBot="1" x14ac:dyDescent="0.25">
      <c r="B8" s="22" t="s">
        <v>230</v>
      </c>
      <c r="C8" s="2" t="s">
        <v>18</v>
      </c>
      <c r="D8" s="2">
        <v>1.5830459306016564E-3</v>
      </c>
      <c r="E8" s="30">
        <v>0.30515170097351074</v>
      </c>
      <c r="F8" s="30">
        <v>0.61442875862121582</v>
      </c>
      <c r="G8" s="30">
        <v>0.83984225988388062</v>
      </c>
      <c r="H8" s="30">
        <v>1</v>
      </c>
      <c r="I8" s="30">
        <v>2.907421350479126</v>
      </c>
      <c r="J8" s="30">
        <v>3.5613698959350586</v>
      </c>
      <c r="K8" s="30">
        <v>1.9673514366149902</v>
      </c>
      <c r="L8" s="30">
        <v>3.5524682998657227</v>
      </c>
    </row>
    <row r="9" spans="2:12" ht="18" thickBot="1" x14ac:dyDescent="0.25">
      <c r="B9" s="22" t="s">
        <v>230</v>
      </c>
      <c r="C9" s="2" t="s">
        <v>50</v>
      </c>
      <c r="D9" s="2">
        <v>1.5956759452819824E-3</v>
      </c>
      <c r="E9" s="30">
        <v>0.30515167117118835</v>
      </c>
      <c r="F9" s="30">
        <v>0.61442875862121582</v>
      </c>
      <c r="G9" s="30">
        <v>0.83984220027923584</v>
      </c>
      <c r="H9" s="30">
        <v>1</v>
      </c>
      <c r="I9" s="30">
        <v>2.9037868976593018</v>
      </c>
      <c r="J9" s="30">
        <v>3.5613706111907959</v>
      </c>
      <c r="K9" s="30">
        <v>1.9673514366149902</v>
      </c>
      <c r="L9" s="30">
        <v>3.5524697303771973</v>
      </c>
    </row>
    <row r="10" spans="2:12" ht="18" thickBot="1" x14ac:dyDescent="0.25">
      <c r="B10" s="22" t="s">
        <v>226</v>
      </c>
      <c r="C10" s="2" t="s">
        <v>44</v>
      </c>
      <c r="D10" s="2">
        <v>1.5736367786303163E-3</v>
      </c>
      <c r="E10" s="30">
        <v>0.30515167117118835</v>
      </c>
      <c r="F10" s="30">
        <v>0.61442875862121582</v>
      </c>
      <c r="G10" s="30">
        <v>0.83984220027923584</v>
      </c>
      <c r="H10" s="30">
        <v>1</v>
      </c>
      <c r="I10" s="30">
        <v>2.9101479053497314</v>
      </c>
      <c r="J10" s="30">
        <v>3.5613706111907959</v>
      </c>
      <c r="K10" s="30">
        <v>1.9673514366149902</v>
      </c>
      <c r="L10" s="30">
        <v>3.5524697303771973</v>
      </c>
    </row>
    <row r="11" spans="2:12" ht="18" thickBot="1" x14ac:dyDescent="0.25">
      <c r="B11" s="22" t="s">
        <v>226</v>
      </c>
      <c r="C11" s="2" t="s">
        <v>26</v>
      </c>
      <c r="D11" s="2">
        <v>1.5618476318195462E-3</v>
      </c>
      <c r="E11" s="30">
        <v>0.30515170097351074</v>
      </c>
      <c r="F11" s="30">
        <v>0.61442875862121582</v>
      </c>
      <c r="G11" s="30">
        <v>0.83984220027923584</v>
      </c>
      <c r="H11" s="30">
        <v>1</v>
      </c>
      <c r="I11" s="30">
        <v>2.9135873317718506</v>
      </c>
      <c r="J11" s="30">
        <v>3.5613698959350586</v>
      </c>
      <c r="K11" s="30">
        <v>1.9673514366149902</v>
      </c>
      <c r="L11" s="30">
        <v>3.5524697303771973</v>
      </c>
    </row>
    <row r="12" spans="2:12" ht="18" thickBot="1" x14ac:dyDescent="0.25">
      <c r="B12" s="22" t="s">
        <v>226</v>
      </c>
      <c r="C12" s="2" t="s">
        <v>39</v>
      </c>
      <c r="D12" s="2">
        <v>1.5609953552484512E-3</v>
      </c>
      <c r="E12" s="30">
        <v>0.30515167117118835</v>
      </c>
      <c r="F12" s="30">
        <v>0.6144288182258606</v>
      </c>
      <c r="G12" s="30">
        <v>0.83984220027923584</v>
      </c>
      <c r="H12" s="30">
        <v>1</v>
      </c>
      <c r="I12" s="30">
        <v>2.9138369560241699</v>
      </c>
      <c r="J12" s="30">
        <v>3.5613710880279541</v>
      </c>
      <c r="K12" s="30">
        <v>1.967350959777832</v>
      </c>
      <c r="L12" s="30">
        <v>3.5524697303771973</v>
      </c>
    </row>
    <row r="13" spans="2:12" ht="18" thickBot="1" x14ac:dyDescent="0.25">
      <c r="B13" s="22" t="s">
        <v>226</v>
      </c>
      <c r="C13" s="2" t="s">
        <v>42</v>
      </c>
      <c r="D13" s="2">
        <v>1.6001290641725063E-3</v>
      </c>
      <c r="E13" s="30">
        <v>0.30515170097351074</v>
      </c>
      <c r="F13" s="30">
        <v>0.61442875862121582</v>
      </c>
      <c r="G13" s="30">
        <v>0.83984214067459106</v>
      </c>
      <c r="H13" s="30">
        <v>1</v>
      </c>
      <c r="I13" s="30">
        <v>2.9025123119354248</v>
      </c>
      <c r="J13" s="30">
        <v>3.5613698959350586</v>
      </c>
      <c r="K13" s="30">
        <v>1.9673514366149902</v>
      </c>
      <c r="L13" s="30">
        <v>3.5524711608886719</v>
      </c>
    </row>
    <row r="14" spans="2:12" ht="18" thickBot="1" x14ac:dyDescent="0.25">
      <c r="B14" s="22" t="s">
        <v>226</v>
      </c>
      <c r="C14" s="2" t="s">
        <v>452</v>
      </c>
      <c r="D14" s="2">
        <v>1.7223391914740205E-3</v>
      </c>
      <c r="E14" s="30">
        <v>0.30867782235145569</v>
      </c>
      <c r="F14" s="30">
        <v>0.62191927433013916</v>
      </c>
      <c r="G14" s="30">
        <v>0.83551532030105591</v>
      </c>
      <c r="H14" s="30">
        <v>1</v>
      </c>
      <c r="I14" s="30">
        <v>2.8688576221466064</v>
      </c>
      <c r="J14" s="30">
        <v>3.5646231174468994</v>
      </c>
      <c r="K14" s="30">
        <v>1.9179404973983765</v>
      </c>
      <c r="L14" s="30">
        <v>3.6595015525817871</v>
      </c>
    </row>
    <row r="15" spans="2:12" ht="18" thickBot="1" x14ac:dyDescent="0.25">
      <c r="B15" s="22" t="s">
        <v>226</v>
      </c>
      <c r="C15" s="2" t="s">
        <v>30</v>
      </c>
      <c r="D15" s="2">
        <v>1.5893011586740613E-3</v>
      </c>
      <c r="E15" s="30">
        <v>0.30515167117118835</v>
      </c>
      <c r="F15" s="30">
        <v>0.6144288182258606</v>
      </c>
      <c r="G15" s="30">
        <v>0.83984225988388062</v>
      </c>
      <c r="H15" s="30">
        <v>1</v>
      </c>
      <c r="I15" s="30">
        <v>2.9056177139282227</v>
      </c>
      <c r="J15" s="30">
        <v>3.5613710880279541</v>
      </c>
      <c r="K15" s="30">
        <v>1.967350959777832</v>
      </c>
      <c r="L15" s="30">
        <v>3.5524682998657227</v>
      </c>
    </row>
    <row r="16" spans="2:12" ht="18" thickBot="1" x14ac:dyDescent="0.25">
      <c r="B16" s="22" t="s">
        <v>226</v>
      </c>
      <c r="C16" s="2" t="s">
        <v>12</v>
      </c>
      <c r="D16" s="2">
        <v>1.5646473038941622E-3</v>
      </c>
      <c r="E16" s="30">
        <v>0.30515164136886597</v>
      </c>
      <c r="F16" s="30">
        <v>0.61442875862121582</v>
      </c>
      <c r="G16" s="30">
        <v>0.83984220027923584</v>
      </c>
      <c r="H16" s="30">
        <v>1</v>
      </c>
      <c r="I16" s="30">
        <v>2.9127681255340576</v>
      </c>
      <c r="J16" s="30">
        <v>3.5613710880279541</v>
      </c>
      <c r="K16" s="30">
        <v>1.9673514366149902</v>
      </c>
      <c r="L16" s="30">
        <v>3.5524697303771973</v>
      </c>
    </row>
    <row r="17" spans="2:12" ht="18" thickBot="1" x14ac:dyDescent="0.25">
      <c r="B17" s="22" t="s">
        <v>226</v>
      </c>
      <c r="C17" s="2" t="s">
        <v>453</v>
      </c>
      <c r="D17" s="2">
        <v>1.7007762799039483E-3</v>
      </c>
      <c r="E17" s="30">
        <v>0.30026373267173767</v>
      </c>
      <c r="F17" s="30">
        <v>0.60870009660720825</v>
      </c>
      <c r="G17" s="30">
        <v>0.83655267953872681</v>
      </c>
      <c r="H17" s="30">
        <v>1</v>
      </c>
      <c r="I17" s="30">
        <v>2.8746178150177002</v>
      </c>
      <c r="J17" s="30">
        <v>3.5964860916137695</v>
      </c>
      <c r="K17" s="30">
        <v>2.0055649280548096</v>
      </c>
      <c r="L17" s="30">
        <v>3.6337804794311523</v>
      </c>
    </row>
    <row r="18" spans="2:12" ht="18" thickBot="1" x14ac:dyDescent="0.25">
      <c r="B18" s="22" t="s">
        <v>226</v>
      </c>
      <c r="C18" s="2" t="s">
        <v>49</v>
      </c>
      <c r="D18" s="2">
        <v>1.5874705277383327E-3</v>
      </c>
      <c r="E18" s="30">
        <v>0.30515167117118835</v>
      </c>
      <c r="F18" s="30">
        <v>0.61442875862121582</v>
      </c>
      <c r="G18" s="30">
        <v>0.83984220027923584</v>
      </c>
      <c r="H18" s="30">
        <v>1</v>
      </c>
      <c r="I18" s="30">
        <v>2.9061446189880371</v>
      </c>
      <c r="J18" s="30">
        <v>3.5613706111907959</v>
      </c>
      <c r="K18" s="30">
        <v>1.9673514366149902</v>
      </c>
      <c r="L18" s="30">
        <v>3.5524697303771973</v>
      </c>
    </row>
    <row r="19" spans="2:12" ht="18" thickBot="1" x14ac:dyDescent="0.25">
      <c r="B19" s="22" t="s">
        <v>226</v>
      </c>
      <c r="C19" s="2" t="s">
        <v>25</v>
      </c>
      <c r="D19" s="2">
        <v>1.5919366851449013E-3</v>
      </c>
      <c r="E19" s="30">
        <v>0.30515170097351074</v>
      </c>
      <c r="F19" s="30">
        <v>0.61442875862121582</v>
      </c>
      <c r="G19" s="30">
        <v>0.83984214067459106</v>
      </c>
      <c r="H19" s="30">
        <v>1</v>
      </c>
      <c r="I19" s="30">
        <v>2.9048597812652588</v>
      </c>
      <c r="J19" s="30">
        <v>3.5613698959350586</v>
      </c>
      <c r="K19" s="30">
        <v>1.9673514366149902</v>
      </c>
      <c r="L19" s="30">
        <v>3.5524711608886719</v>
      </c>
    </row>
    <row r="20" spans="2:12" ht="18" thickBot="1" x14ac:dyDescent="0.25">
      <c r="B20" s="22" t="s">
        <v>226</v>
      </c>
      <c r="C20" s="2" t="s">
        <v>17</v>
      </c>
      <c r="D20" s="2">
        <v>1.5665809623897076E-3</v>
      </c>
      <c r="E20" s="30">
        <v>0.30515167117118835</v>
      </c>
      <c r="F20" s="30">
        <v>0.61442875862121582</v>
      </c>
      <c r="G20" s="30">
        <v>0.83984225988388062</v>
      </c>
      <c r="H20" s="30">
        <v>1</v>
      </c>
      <c r="I20" s="30">
        <v>2.912203311920166</v>
      </c>
      <c r="J20" s="30">
        <v>3.5613706111907959</v>
      </c>
      <c r="K20" s="30">
        <v>1.9673514366149902</v>
      </c>
      <c r="L20" s="30">
        <v>3.5524682998657227</v>
      </c>
    </row>
    <row r="21" spans="2:12" ht="18" thickBot="1" x14ac:dyDescent="0.25">
      <c r="B21" s="22" t="s">
        <v>229</v>
      </c>
      <c r="C21" s="2" t="s">
        <v>454</v>
      </c>
      <c r="D21" s="2">
        <v>1.5958271687850356E-3</v>
      </c>
      <c r="E21" s="30">
        <v>0.27937930822372437</v>
      </c>
      <c r="F21" s="30">
        <v>0.57187700271606445</v>
      </c>
      <c r="G21" s="30">
        <v>0.82461279630661011</v>
      </c>
      <c r="H21" s="30">
        <v>1</v>
      </c>
      <c r="I21" s="30">
        <v>2.9037435054779053</v>
      </c>
      <c r="J21" s="30">
        <v>3.6466858386993408</v>
      </c>
      <c r="K21" s="30">
        <v>2.2604959011077881</v>
      </c>
      <c r="L21" s="30">
        <v>3.9321677684783936</v>
      </c>
    </row>
    <row r="22" spans="2:12" ht="18" thickBot="1" x14ac:dyDescent="0.25">
      <c r="B22" s="22" t="s">
        <v>229</v>
      </c>
      <c r="C22" s="2" t="s">
        <v>80</v>
      </c>
      <c r="D22" s="2">
        <v>1.6360373701900244E-3</v>
      </c>
      <c r="E22" s="30">
        <v>0.30515170097351074</v>
      </c>
      <c r="F22" s="30">
        <v>0.61442875862121582</v>
      </c>
      <c r="G22" s="30">
        <v>0.83984220027923584</v>
      </c>
      <c r="H22" s="30">
        <v>1</v>
      </c>
      <c r="I22" s="30">
        <v>2.8923630714416504</v>
      </c>
      <c r="J22" s="30">
        <v>3.5613698959350586</v>
      </c>
      <c r="K22" s="30">
        <v>1.9673514366149902</v>
      </c>
      <c r="L22" s="30">
        <v>3.5524697303771973</v>
      </c>
    </row>
    <row r="23" spans="2:12" ht="18" thickBot="1" x14ac:dyDescent="0.25">
      <c r="B23" s="22" t="s">
        <v>229</v>
      </c>
      <c r="C23" s="2" t="s">
        <v>100</v>
      </c>
      <c r="D23" s="2">
        <v>1.6143153188750148E-3</v>
      </c>
      <c r="E23" s="30">
        <v>0.30515167117118835</v>
      </c>
      <c r="F23" s="30">
        <v>0.6144288182258606</v>
      </c>
      <c r="G23" s="30">
        <v>0.83984214067459106</v>
      </c>
      <c r="H23" s="30">
        <v>1</v>
      </c>
      <c r="I23" s="30">
        <v>2.8984754085540771</v>
      </c>
      <c r="J23" s="30">
        <v>3.5613710880279541</v>
      </c>
      <c r="K23" s="30">
        <v>1.967350959777832</v>
      </c>
      <c r="L23" s="30">
        <v>3.5524711608886719</v>
      </c>
    </row>
    <row r="24" spans="2:12" ht="18" thickBot="1" x14ac:dyDescent="0.25">
      <c r="B24" s="22" t="s">
        <v>229</v>
      </c>
      <c r="C24" s="2" t="s">
        <v>84</v>
      </c>
      <c r="D24" s="2">
        <v>2.1459613926708698E-3</v>
      </c>
      <c r="E24" s="30">
        <v>0.30515170097351074</v>
      </c>
      <c r="F24" s="30">
        <v>0.61442875862121582</v>
      </c>
      <c r="G24" s="30">
        <v>0.83984220027923584</v>
      </c>
      <c r="H24" s="30">
        <v>1</v>
      </c>
      <c r="I24" s="30">
        <v>2.7683675289154053</v>
      </c>
      <c r="J24" s="30">
        <v>3.5613698959350586</v>
      </c>
      <c r="K24" s="30">
        <v>1.9673514366149902</v>
      </c>
      <c r="L24" s="30">
        <v>3.5524697303771973</v>
      </c>
    </row>
    <row r="25" spans="2:12" ht="18" thickBot="1" x14ac:dyDescent="0.25">
      <c r="B25" s="22" t="s">
        <v>229</v>
      </c>
      <c r="C25" s="2" t="s">
        <v>107</v>
      </c>
      <c r="D25" s="2">
        <v>1.6265364829450846E-3</v>
      </c>
      <c r="E25" s="30">
        <v>0.30515167117118835</v>
      </c>
      <c r="F25" s="30">
        <v>0.61442887783050537</v>
      </c>
      <c r="G25" s="30">
        <v>0.83984220027923584</v>
      </c>
      <c r="H25" s="30">
        <v>1</v>
      </c>
      <c r="I25" s="30">
        <v>2.8950264453887939</v>
      </c>
      <c r="J25" s="30">
        <v>3.5613715648651123</v>
      </c>
      <c r="K25" s="30">
        <v>1.9673506021499634</v>
      </c>
      <c r="L25" s="30">
        <v>3.5524697303771973</v>
      </c>
    </row>
    <row r="26" spans="2:12" ht="18" thickBot="1" x14ac:dyDescent="0.25">
      <c r="B26" s="22" t="s">
        <v>229</v>
      </c>
      <c r="C26" s="2" t="s">
        <v>106</v>
      </c>
      <c r="D26" s="2">
        <v>1.6312396619468927E-3</v>
      </c>
      <c r="E26" s="30">
        <v>0.30515170097351074</v>
      </c>
      <c r="F26" s="30">
        <v>0.6144288182258606</v>
      </c>
      <c r="G26" s="30">
        <v>0.83984225988388062</v>
      </c>
      <c r="H26" s="30">
        <v>1</v>
      </c>
      <c r="I26" s="30">
        <v>2.8937060832977295</v>
      </c>
      <c r="J26" s="30">
        <v>3.5613706111907959</v>
      </c>
      <c r="K26" s="30">
        <v>1.967350959777832</v>
      </c>
      <c r="L26" s="30">
        <v>3.5524682998657227</v>
      </c>
    </row>
    <row r="27" spans="2:12" ht="18" thickBot="1" x14ac:dyDescent="0.25">
      <c r="B27" s="22" t="s">
        <v>231</v>
      </c>
      <c r="C27" s="2" t="s">
        <v>36</v>
      </c>
      <c r="D27" s="2">
        <v>1.5032453229650855E-3</v>
      </c>
      <c r="E27" s="30">
        <v>0.30515167117118835</v>
      </c>
      <c r="F27" s="30">
        <v>0.6144288182258606</v>
      </c>
      <c r="G27" s="30">
        <v>0.83984225988388062</v>
      </c>
      <c r="H27" s="30">
        <v>1</v>
      </c>
      <c r="I27" s="30">
        <v>2.9310810565948486</v>
      </c>
      <c r="J27" s="30">
        <v>3.5613710880279541</v>
      </c>
      <c r="K27" s="30">
        <v>1.967350959777832</v>
      </c>
      <c r="L27" s="30">
        <v>3.5524682998657227</v>
      </c>
    </row>
    <row r="28" spans="2:12" ht="18" thickBot="1" x14ac:dyDescent="0.25">
      <c r="B28" s="22" t="s">
        <v>231</v>
      </c>
      <c r="C28" s="2" t="s">
        <v>131</v>
      </c>
      <c r="D28" s="2">
        <v>2.305599395185709E-3</v>
      </c>
      <c r="E28" s="30">
        <v>0.30515170097351074</v>
      </c>
      <c r="F28" s="30">
        <v>0.61442875862121582</v>
      </c>
      <c r="G28" s="30">
        <v>0.83984220027923584</v>
      </c>
      <c r="H28" s="30">
        <v>1</v>
      </c>
      <c r="I28" s="30">
        <v>2.7355997562408447</v>
      </c>
      <c r="J28" s="30">
        <v>3.5613698959350586</v>
      </c>
      <c r="K28" s="30">
        <v>1.9673514366149902</v>
      </c>
      <c r="L28" s="30">
        <v>3.5524697303771973</v>
      </c>
    </row>
    <row r="29" spans="2:12" ht="18" thickBot="1" x14ac:dyDescent="0.25">
      <c r="B29" s="22" t="s">
        <v>231</v>
      </c>
      <c r="C29" s="2" t="s">
        <v>105</v>
      </c>
      <c r="D29" s="2">
        <v>1.9280285341665149E-3</v>
      </c>
      <c r="E29" s="30">
        <v>0.30515170097351074</v>
      </c>
      <c r="F29" s="30">
        <v>0.61442875862121582</v>
      </c>
      <c r="G29" s="30">
        <v>0.83984220027923584</v>
      </c>
      <c r="H29" s="30">
        <v>1</v>
      </c>
      <c r="I29" s="30">
        <v>2.8172922134399414</v>
      </c>
      <c r="J29" s="30">
        <v>3.5613698959350586</v>
      </c>
      <c r="K29" s="30">
        <v>1.9673514366149902</v>
      </c>
      <c r="L29" s="30">
        <v>3.5524697303771973</v>
      </c>
    </row>
    <row r="30" spans="2:12" ht="18" thickBot="1" x14ac:dyDescent="0.25">
      <c r="B30" s="22" t="s">
        <v>231</v>
      </c>
      <c r="C30" s="2" t="s">
        <v>142</v>
      </c>
      <c r="D30" s="2">
        <v>1.5725259436294436E-3</v>
      </c>
      <c r="E30" s="30">
        <v>0.30515167117118835</v>
      </c>
      <c r="F30" s="30">
        <v>0.61442875862121582</v>
      </c>
      <c r="G30" s="30">
        <v>0.83984225988388062</v>
      </c>
      <c r="H30" s="30">
        <v>1</v>
      </c>
      <c r="I30" s="30">
        <v>2.9104709625244141</v>
      </c>
      <c r="J30" s="30">
        <v>3.5613706111907959</v>
      </c>
      <c r="K30" s="30">
        <v>1.9673514366149902</v>
      </c>
      <c r="L30" s="30">
        <v>3.5524682998657227</v>
      </c>
    </row>
    <row r="31" spans="2:12" ht="18" thickBot="1" x14ac:dyDescent="0.25">
      <c r="B31" s="22" t="s">
        <v>231</v>
      </c>
      <c r="C31" s="2" t="s">
        <v>69</v>
      </c>
      <c r="D31" s="2">
        <v>2.1048660855740309E-3</v>
      </c>
      <c r="E31" s="30">
        <v>0.30515167117118835</v>
      </c>
      <c r="F31" s="30">
        <v>0.61442875862121582</v>
      </c>
      <c r="G31" s="30">
        <v>0.83984220027923584</v>
      </c>
      <c r="H31" s="30">
        <v>1</v>
      </c>
      <c r="I31" s="30">
        <v>2.7771995067596436</v>
      </c>
      <c r="J31" s="30">
        <v>3.5613706111907959</v>
      </c>
      <c r="K31" s="30">
        <v>1.9673514366149902</v>
      </c>
      <c r="L31" s="30">
        <v>3.5524697303771973</v>
      </c>
    </row>
    <row r="32" spans="2:12" ht="18" thickBot="1" x14ac:dyDescent="0.25">
      <c r="B32" s="22" t="s">
        <v>231</v>
      </c>
      <c r="C32" s="2" t="s">
        <v>455</v>
      </c>
      <c r="D32" s="2">
        <v>1.5898824203759432E-3</v>
      </c>
      <c r="E32" s="30">
        <v>0.3608626127243042</v>
      </c>
      <c r="F32" s="30">
        <v>0.65877079963684082</v>
      </c>
      <c r="G32" s="30">
        <v>0.84996533393859863</v>
      </c>
      <c r="H32" s="30">
        <v>1</v>
      </c>
      <c r="I32" s="30">
        <v>2.9054503440856934</v>
      </c>
      <c r="J32" s="30">
        <v>3.0551316738128662</v>
      </c>
      <c r="K32" s="30">
        <v>1.68353271484375</v>
      </c>
      <c r="L32" s="30">
        <v>3.3046231269836426</v>
      </c>
    </row>
    <row r="33" spans="2:12" ht="18" thickBot="1" x14ac:dyDescent="0.25">
      <c r="B33" s="22" t="s">
        <v>231</v>
      </c>
      <c r="C33" s="2" t="s">
        <v>125</v>
      </c>
      <c r="D33" s="2">
        <v>1.5457551926374435E-3</v>
      </c>
      <c r="E33" s="30">
        <v>0.30515164136886597</v>
      </c>
      <c r="F33" s="30">
        <v>0.61442875862121582</v>
      </c>
      <c r="G33" s="30">
        <v>0.83984220027923584</v>
      </c>
      <c r="H33" s="30">
        <v>1</v>
      </c>
      <c r="I33" s="30">
        <v>2.9183247089385986</v>
      </c>
      <c r="J33" s="30">
        <v>3.5613710880279541</v>
      </c>
      <c r="K33" s="30">
        <v>1.9673514366149902</v>
      </c>
      <c r="L33" s="30">
        <v>3.5524697303771973</v>
      </c>
    </row>
    <row r="34" spans="2:12" ht="18" thickBot="1" x14ac:dyDescent="0.25">
      <c r="B34" s="22" t="s">
        <v>231</v>
      </c>
      <c r="C34" s="2" t="s">
        <v>21</v>
      </c>
      <c r="D34" s="2">
        <v>1.509237801656127E-3</v>
      </c>
      <c r="E34" s="30">
        <v>0.30515170097351074</v>
      </c>
      <c r="F34" s="30">
        <v>0.61442875862121582</v>
      </c>
      <c r="G34" s="30">
        <v>0.83984220027923584</v>
      </c>
      <c r="H34" s="30">
        <v>1</v>
      </c>
      <c r="I34" s="30">
        <v>2.9292609691619873</v>
      </c>
      <c r="J34" s="30">
        <v>3.5613698959350586</v>
      </c>
      <c r="K34" s="30">
        <v>1.9673514366149902</v>
      </c>
      <c r="L34" s="30">
        <v>3.5524697303771973</v>
      </c>
    </row>
    <row r="35" spans="2:12" ht="35" thickBot="1" x14ac:dyDescent="0.25">
      <c r="B35" s="22" t="s">
        <v>227</v>
      </c>
      <c r="C35" s="2" t="s">
        <v>456</v>
      </c>
      <c r="D35" s="2">
        <v>1.5928206266835332E-3</v>
      </c>
      <c r="E35" s="30">
        <v>0.2873363196849823</v>
      </c>
      <c r="F35" s="30">
        <v>0.56538981199264526</v>
      </c>
      <c r="G35" s="30">
        <v>0.815376877784729</v>
      </c>
      <c r="H35" s="30">
        <v>1</v>
      </c>
      <c r="I35" s="30">
        <v>2.9046058654785156</v>
      </c>
      <c r="J35" s="30">
        <v>3.4422295093536377</v>
      </c>
      <c r="K35" s="30">
        <v>2.3071722984313965</v>
      </c>
      <c r="L35" s="30">
        <v>4.1665596961975098</v>
      </c>
    </row>
    <row r="36" spans="2:12" ht="18" thickBot="1" x14ac:dyDescent="0.25">
      <c r="B36" s="22" t="s">
        <v>227</v>
      </c>
      <c r="C36" s="2" t="s">
        <v>35</v>
      </c>
      <c r="D36" s="2">
        <v>1.5822607092559338E-3</v>
      </c>
      <c r="E36" s="30">
        <v>0.30515167117118835</v>
      </c>
      <c r="F36" s="30">
        <v>0.61442875862121582</v>
      </c>
      <c r="G36" s="30">
        <v>0.83984214067459106</v>
      </c>
      <c r="H36" s="30">
        <v>1</v>
      </c>
      <c r="I36" s="30">
        <v>2.9076480865478516</v>
      </c>
      <c r="J36" s="30">
        <v>3.5613706111907959</v>
      </c>
      <c r="K36" s="30">
        <v>1.9673514366149902</v>
      </c>
      <c r="L36" s="30">
        <v>3.5524711608886719</v>
      </c>
    </row>
    <row r="37" spans="2:12" ht="18" thickBot="1" x14ac:dyDescent="0.25">
      <c r="B37" s="22" t="s">
        <v>227</v>
      </c>
      <c r="C37" s="2" t="s">
        <v>32</v>
      </c>
      <c r="D37" s="2">
        <v>1.5843049623072147E-3</v>
      </c>
      <c r="E37" s="30">
        <v>0.30515170097351074</v>
      </c>
      <c r="F37" s="30">
        <v>0.61442875862121582</v>
      </c>
      <c r="G37" s="30">
        <v>0.83984220027923584</v>
      </c>
      <c r="H37" s="30">
        <v>1</v>
      </c>
      <c r="I37" s="30">
        <v>2.9070577621459961</v>
      </c>
      <c r="J37" s="30">
        <v>3.5613698959350586</v>
      </c>
      <c r="K37" s="30">
        <v>1.9673514366149902</v>
      </c>
      <c r="L37" s="30">
        <v>3.5524697303771973</v>
      </c>
    </row>
    <row r="38" spans="2:12" ht="18" thickBot="1" x14ac:dyDescent="0.25">
      <c r="B38" s="22" t="s">
        <v>227</v>
      </c>
      <c r="C38" s="2" t="s">
        <v>51</v>
      </c>
      <c r="D38" s="2">
        <v>1.6032580751925707E-3</v>
      </c>
      <c r="E38" s="30">
        <v>0.30515167117118835</v>
      </c>
      <c r="F38" s="30">
        <v>0.6144288182258606</v>
      </c>
      <c r="G38" s="30">
        <v>0.83984214067459106</v>
      </c>
      <c r="H38" s="30">
        <v>1</v>
      </c>
      <c r="I38" s="30">
        <v>2.9016187191009521</v>
      </c>
      <c r="J38" s="30">
        <v>3.5613710880279541</v>
      </c>
      <c r="K38" s="30">
        <v>1.967350959777832</v>
      </c>
      <c r="L38" s="30">
        <v>3.5524711608886719</v>
      </c>
    </row>
    <row r="39" spans="2:12" ht="18" thickBot="1" x14ac:dyDescent="0.25">
      <c r="B39" s="22" t="s">
        <v>227</v>
      </c>
      <c r="C39" s="2" t="s">
        <v>22</v>
      </c>
      <c r="D39" s="2">
        <v>1.5866366447880864E-3</v>
      </c>
      <c r="E39" s="30">
        <v>0.30515167117118835</v>
      </c>
      <c r="F39" s="30">
        <v>0.61442875862121582</v>
      </c>
      <c r="G39" s="30">
        <v>0.83984220027923584</v>
      </c>
      <c r="H39" s="30">
        <v>1</v>
      </c>
      <c r="I39" s="30">
        <v>2.9063849449157715</v>
      </c>
      <c r="J39" s="30">
        <v>3.5613706111907959</v>
      </c>
      <c r="K39" s="30">
        <v>1.9673514366149902</v>
      </c>
      <c r="L39" s="30">
        <v>3.5524697303771973</v>
      </c>
    </row>
    <row r="40" spans="2:12" ht="18" thickBot="1" x14ac:dyDescent="0.25">
      <c r="B40" s="22" t="s">
        <v>233</v>
      </c>
      <c r="C40" s="2" t="s">
        <v>457</v>
      </c>
      <c r="D40" s="2">
        <v>1.6215197974815965E-3</v>
      </c>
      <c r="E40" s="30">
        <v>0.31158354878425598</v>
      </c>
      <c r="F40" s="30">
        <v>0.62458556890487671</v>
      </c>
      <c r="G40" s="30">
        <v>0.8447607159614563</v>
      </c>
      <c r="H40" s="30">
        <v>1</v>
      </c>
      <c r="I40" s="30">
        <v>2.8964390754699707</v>
      </c>
      <c r="J40" s="30">
        <v>3.5382621288299561</v>
      </c>
      <c r="K40" s="30">
        <v>1.9005017280578613</v>
      </c>
      <c r="L40" s="30">
        <v>3.4316036701202393</v>
      </c>
    </row>
    <row r="41" spans="2:12" ht="18" thickBot="1" x14ac:dyDescent="0.25">
      <c r="B41" s="22" t="s">
        <v>233</v>
      </c>
      <c r="C41" s="2" t="s">
        <v>56</v>
      </c>
      <c r="D41" s="2">
        <v>1.6124197281897068E-3</v>
      </c>
      <c r="E41" s="30">
        <v>0.30515167117118835</v>
      </c>
      <c r="F41" s="30">
        <v>0.61442875862121582</v>
      </c>
      <c r="G41" s="30">
        <v>0.83984214067459106</v>
      </c>
      <c r="H41" s="30">
        <v>1</v>
      </c>
      <c r="I41" s="30">
        <v>2.8990128040313721</v>
      </c>
      <c r="J41" s="30">
        <v>3.5613706111907959</v>
      </c>
      <c r="K41" s="30">
        <v>1.9673514366149902</v>
      </c>
      <c r="L41" s="30">
        <v>3.5524711608886719</v>
      </c>
    </row>
    <row r="42" spans="2:12" ht="18" thickBot="1" x14ac:dyDescent="0.25">
      <c r="B42" s="22" t="s">
        <v>228</v>
      </c>
      <c r="C42" s="2" t="s">
        <v>149</v>
      </c>
      <c r="D42" s="2">
        <v>1.6435261350125074E-3</v>
      </c>
      <c r="E42" s="30">
        <v>0.30515167117118835</v>
      </c>
      <c r="F42" s="30">
        <v>0.61442875862121582</v>
      </c>
      <c r="G42" s="30">
        <v>0.83984220027923584</v>
      </c>
      <c r="H42" s="30">
        <v>1</v>
      </c>
      <c r="I42" s="30">
        <v>2.8902745246887207</v>
      </c>
      <c r="J42" s="30">
        <v>3.5613706111907959</v>
      </c>
      <c r="K42" s="30">
        <v>1.9673514366149902</v>
      </c>
      <c r="L42" s="30">
        <v>3.5524697303771973</v>
      </c>
    </row>
    <row r="43" spans="2:12" ht="18" thickBot="1" x14ac:dyDescent="0.25">
      <c r="B43" s="22" t="s">
        <v>228</v>
      </c>
      <c r="C43" s="2" t="s">
        <v>148</v>
      </c>
      <c r="D43" s="2">
        <v>1.5618243487551808E-3</v>
      </c>
      <c r="E43" s="30">
        <v>0.30515170097351074</v>
      </c>
      <c r="F43" s="30">
        <v>0.61442875862121582</v>
      </c>
      <c r="G43" s="30">
        <v>0.83984220027923584</v>
      </c>
      <c r="H43" s="30">
        <v>1</v>
      </c>
      <c r="I43" s="30">
        <v>2.9135942459106445</v>
      </c>
      <c r="J43" s="30">
        <v>3.5613698959350586</v>
      </c>
      <c r="K43" s="30">
        <v>1.9673514366149902</v>
      </c>
      <c r="L43" s="30">
        <v>3.5524697303771973</v>
      </c>
    </row>
    <row r="44" spans="2:12" ht="18" thickBot="1" x14ac:dyDescent="0.25">
      <c r="B44" s="22" t="s">
        <v>228</v>
      </c>
      <c r="C44" s="2" t="s">
        <v>170</v>
      </c>
      <c r="D44" s="2">
        <v>1.6894448781386018E-3</v>
      </c>
      <c r="E44" s="30">
        <v>0.30515167117118835</v>
      </c>
      <c r="F44" s="30">
        <v>0.6144288182258606</v>
      </c>
      <c r="G44" s="30">
        <v>0.83984231948852539</v>
      </c>
      <c r="H44" s="30">
        <v>1</v>
      </c>
      <c r="I44" s="30">
        <v>2.8776743412017822</v>
      </c>
      <c r="J44" s="30">
        <v>3.5613710880279541</v>
      </c>
      <c r="K44" s="30">
        <v>1.967350959777832</v>
      </c>
      <c r="L44" s="30">
        <v>3.552466869354248</v>
      </c>
    </row>
    <row r="45" spans="2:12" ht="18" thickBot="1" x14ac:dyDescent="0.25">
      <c r="B45" s="22" t="s">
        <v>228</v>
      </c>
      <c r="C45" s="2" t="s">
        <v>124</v>
      </c>
      <c r="D45" s="2">
        <v>1.5942738391458988E-3</v>
      </c>
      <c r="E45" s="30">
        <v>0.30515167117118835</v>
      </c>
      <c r="F45" s="30">
        <v>0.61442869901657104</v>
      </c>
      <c r="G45" s="30">
        <v>0.83984220027923584</v>
      </c>
      <c r="H45" s="30">
        <v>1</v>
      </c>
      <c r="I45" s="30">
        <v>2.904188871383667</v>
      </c>
      <c r="J45" s="30">
        <v>3.5613698959350586</v>
      </c>
      <c r="K45" s="30">
        <v>1.9673517942428589</v>
      </c>
      <c r="L45" s="30">
        <v>3.5524697303771973</v>
      </c>
    </row>
    <row r="46" spans="2:12" ht="18" thickBot="1" x14ac:dyDescent="0.25">
      <c r="B46" s="22" t="s">
        <v>228</v>
      </c>
      <c r="C46" s="2" t="s">
        <v>165</v>
      </c>
      <c r="D46" s="2">
        <v>1.6180819366127253E-3</v>
      </c>
      <c r="E46" s="30">
        <v>0.30515170097351074</v>
      </c>
      <c r="F46" s="30">
        <v>0.6144288182258606</v>
      </c>
      <c r="G46" s="30">
        <v>0.83984225988388062</v>
      </c>
      <c r="H46" s="30">
        <v>1</v>
      </c>
      <c r="I46" s="30">
        <v>2.8974096775054932</v>
      </c>
      <c r="J46" s="30">
        <v>3.5613706111907959</v>
      </c>
      <c r="K46" s="30">
        <v>1.967350959777832</v>
      </c>
      <c r="L46" s="30">
        <v>3.5524682998657227</v>
      </c>
    </row>
    <row r="47" spans="2:12" ht="35" thickBot="1" x14ac:dyDescent="0.25">
      <c r="B47" s="22" t="s">
        <v>228</v>
      </c>
      <c r="C47" s="2" t="s">
        <v>458</v>
      </c>
      <c r="D47" s="2">
        <v>1.6182665713131428E-3</v>
      </c>
      <c r="E47" s="30">
        <v>0.34603419899940491</v>
      </c>
      <c r="F47" s="30">
        <v>0.60797774791717529</v>
      </c>
      <c r="G47" s="30">
        <v>0.83605492115020752</v>
      </c>
      <c r="H47" s="30">
        <v>1</v>
      </c>
      <c r="I47" s="30">
        <v>2.8973574638366699</v>
      </c>
      <c r="J47" s="30">
        <v>2.8580846786499023</v>
      </c>
      <c r="K47" s="30">
        <v>2.0104098320007324</v>
      </c>
      <c r="L47" s="30">
        <v>3.6461174488067627</v>
      </c>
    </row>
    <row r="48" spans="2:12" ht="18" thickBot="1" x14ac:dyDescent="0.25">
      <c r="B48" s="22" t="s">
        <v>228</v>
      </c>
      <c r="C48" s="2" t="s">
        <v>133</v>
      </c>
      <c r="D48" s="2">
        <v>1.5794190112501383E-3</v>
      </c>
      <c r="E48" s="30">
        <v>0.30515167117118835</v>
      </c>
      <c r="F48" s="30">
        <v>0.6144288182258606</v>
      </c>
      <c r="G48" s="30">
        <v>0.83984220027923584</v>
      </c>
      <c r="H48" s="30">
        <v>1</v>
      </c>
      <c r="I48" s="30">
        <v>2.9084703922271729</v>
      </c>
      <c r="J48" s="30">
        <v>3.5613710880279541</v>
      </c>
      <c r="K48" s="30">
        <v>1.967350959777832</v>
      </c>
      <c r="L48" s="30">
        <v>3.5524697303771973</v>
      </c>
    </row>
    <row r="49" spans="2:12" ht="18" thickBot="1" x14ac:dyDescent="0.25">
      <c r="B49" s="22" t="s">
        <v>228</v>
      </c>
      <c r="C49" s="2" t="s">
        <v>103</v>
      </c>
      <c r="D49" s="2">
        <v>1.5298965154215693E-3</v>
      </c>
      <c r="E49" s="30">
        <v>0.30515167117118835</v>
      </c>
      <c r="F49" s="30">
        <v>0.61442875862121582</v>
      </c>
      <c r="G49" s="30">
        <v>0.83984225988388062</v>
      </c>
      <c r="H49" s="30">
        <v>1</v>
      </c>
      <c r="I49" s="30">
        <v>2.923041820526123</v>
      </c>
      <c r="J49" s="30">
        <v>3.5613706111907959</v>
      </c>
      <c r="K49" s="30">
        <v>1.9673514366149902</v>
      </c>
      <c r="L49" s="30">
        <v>3.5524682998657227</v>
      </c>
    </row>
    <row r="50" spans="2:12" ht="18" thickBot="1" x14ac:dyDescent="0.25">
      <c r="B50" s="22" t="s">
        <v>228</v>
      </c>
      <c r="C50" s="2" t="s">
        <v>138</v>
      </c>
      <c r="D50" s="2">
        <v>1.5654119197279215E-3</v>
      </c>
      <c r="E50" s="30">
        <v>0.30515167117118835</v>
      </c>
      <c r="F50" s="30">
        <v>0.61442875862121582</v>
      </c>
      <c r="G50" s="30">
        <v>0.83984220027923584</v>
      </c>
      <c r="H50" s="30">
        <v>1</v>
      </c>
      <c r="I50" s="30">
        <v>2.9125447273254395</v>
      </c>
      <c r="J50" s="30">
        <v>3.5613706111907959</v>
      </c>
      <c r="K50" s="30">
        <v>1.9673514366149902</v>
      </c>
      <c r="L50" s="30">
        <v>3.5524697303771973</v>
      </c>
    </row>
    <row r="51" spans="2:12" ht="18" thickBot="1" x14ac:dyDescent="0.25">
      <c r="B51" s="22" t="s">
        <v>232</v>
      </c>
      <c r="C51" s="2" t="s">
        <v>166</v>
      </c>
      <c r="D51" s="2">
        <v>1.7566757742315531E-3</v>
      </c>
      <c r="E51" s="30">
        <v>0.30515170097351074</v>
      </c>
      <c r="F51" s="30">
        <v>0.61442875862121582</v>
      </c>
      <c r="G51" s="30">
        <v>0.83984220027923584</v>
      </c>
      <c r="H51" s="30">
        <v>1</v>
      </c>
      <c r="I51" s="30">
        <v>2.8598330020904541</v>
      </c>
      <c r="J51" s="30">
        <v>3.5613698959350586</v>
      </c>
      <c r="K51" s="30">
        <v>1.9673514366149902</v>
      </c>
      <c r="L51" s="30">
        <v>3.5524697303771973</v>
      </c>
    </row>
    <row r="52" spans="2:12" ht="18" thickBot="1" x14ac:dyDescent="0.25">
      <c r="B52" s="22" t="s">
        <v>232</v>
      </c>
      <c r="C52" s="2" t="s">
        <v>203</v>
      </c>
      <c r="D52" s="2">
        <v>1.5199868939816952E-3</v>
      </c>
      <c r="E52" s="30">
        <v>0.30515170097351074</v>
      </c>
      <c r="F52" s="30">
        <v>0.61442875862121582</v>
      </c>
      <c r="G52" s="30">
        <v>0.83984214067459106</v>
      </c>
      <c r="H52" s="30">
        <v>1</v>
      </c>
      <c r="I52" s="30">
        <v>2.9260144233703613</v>
      </c>
      <c r="J52" s="30">
        <v>3.5613698959350586</v>
      </c>
      <c r="K52" s="30">
        <v>1.9673514366149902</v>
      </c>
      <c r="L52" s="30">
        <v>3.5524711608886719</v>
      </c>
    </row>
    <row r="53" spans="2:12" ht="18" thickBot="1" x14ac:dyDescent="0.25">
      <c r="B53" s="22" t="s">
        <v>232</v>
      </c>
      <c r="C53" s="2" t="s">
        <v>185</v>
      </c>
      <c r="D53" s="2">
        <v>1.6521420329809189E-3</v>
      </c>
      <c r="E53" s="30">
        <v>0.30515167117118835</v>
      </c>
      <c r="F53" s="30">
        <v>0.6144288182258606</v>
      </c>
      <c r="G53" s="30">
        <v>0.83984225988388062</v>
      </c>
      <c r="H53" s="30">
        <v>1</v>
      </c>
      <c r="I53" s="30">
        <v>2.8878836631774902</v>
      </c>
      <c r="J53" s="30">
        <v>3.5613710880279541</v>
      </c>
      <c r="K53" s="30">
        <v>1.967350959777832</v>
      </c>
      <c r="L53" s="30">
        <v>3.5524682998657227</v>
      </c>
    </row>
    <row r="54" spans="2:12" ht="18" thickBot="1" x14ac:dyDescent="0.25">
      <c r="B54" s="22" t="s">
        <v>232</v>
      </c>
      <c r="C54" s="2" t="s">
        <v>208</v>
      </c>
      <c r="D54" s="2">
        <v>1.6739679267629981E-3</v>
      </c>
      <c r="E54" s="30">
        <v>0.30515167117118835</v>
      </c>
      <c r="F54" s="30">
        <v>0.61442875862121582</v>
      </c>
      <c r="G54" s="30">
        <v>0.83984214067459106</v>
      </c>
      <c r="H54" s="30">
        <v>1</v>
      </c>
      <c r="I54" s="30">
        <v>2.8818824291229248</v>
      </c>
      <c r="J54" s="30">
        <v>3.5613706111907959</v>
      </c>
      <c r="K54" s="30">
        <v>1.9673514366149902</v>
      </c>
      <c r="L54" s="30">
        <v>3.5524711608886719</v>
      </c>
    </row>
    <row r="55" spans="2:12" ht="18" thickBot="1" x14ac:dyDescent="0.25">
      <c r="B55" s="22" t="s">
        <v>232</v>
      </c>
      <c r="C55" s="2" t="s">
        <v>129</v>
      </c>
      <c r="D55" s="2">
        <v>1.5859099803492427E-3</v>
      </c>
      <c r="E55" s="30">
        <v>0.30515167117118835</v>
      </c>
      <c r="F55" s="30">
        <v>0.6144288182258606</v>
      </c>
      <c r="G55" s="30">
        <v>0.83984225988388062</v>
      </c>
      <c r="H55" s="30">
        <v>1</v>
      </c>
      <c r="I55" s="30">
        <v>2.9065945148468018</v>
      </c>
      <c r="J55" s="30">
        <v>3.5613710880279541</v>
      </c>
      <c r="K55" s="30">
        <v>1.967350959777832</v>
      </c>
      <c r="L55" s="30">
        <v>3.5524682998657227</v>
      </c>
    </row>
    <row r="56" spans="2:12" ht="18" thickBot="1" x14ac:dyDescent="0.25">
      <c r="B56" s="22" t="s">
        <v>232</v>
      </c>
      <c r="C56" s="2" t="s">
        <v>184</v>
      </c>
      <c r="D56" s="2">
        <v>1.8155123107135296E-3</v>
      </c>
      <c r="E56" s="30">
        <v>0.30515170097351074</v>
      </c>
      <c r="F56" s="30">
        <v>0.61442875862121582</v>
      </c>
      <c r="G56" s="30">
        <v>0.83984225988388062</v>
      </c>
      <c r="H56" s="30">
        <v>1</v>
      </c>
      <c r="I56" s="30">
        <v>2.844773530960083</v>
      </c>
      <c r="J56" s="30">
        <v>3.5613698959350586</v>
      </c>
      <c r="K56" s="30">
        <v>1.9673514366149902</v>
      </c>
      <c r="L56" s="30">
        <v>3.5524682998657227</v>
      </c>
    </row>
    <row r="57" spans="2:12" ht="18" thickBot="1" x14ac:dyDescent="0.25">
      <c r="B57" s="22" t="s">
        <v>232</v>
      </c>
      <c r="C57" s="2" t="s">
        <v>159</v>
      </c>
      <c r="D57" s="2">
        <v>1.5752648469060659E-3</v>
      </c>
      <c r="E57" s="30">
        <v>0.30515170097351074</v>
      </c>
      <c r="F57" s="30">
        <v>0.61442875862121582</v>
      </c>
      <c r="G57" s="30">
        <v>0.83984220027923584</v>
      </c>
      <c r="H57" s="30">
        <v>1</v>
      </c>
      <c r="I57" s="30">
        <v>2.9096748828887939</v>
      </c>
      <c r="J57" s="30">
        <v>3.5613698959350586</v>
      </c>
      <c r="K57" s="30">
        <v>1.9673514366149902</v>
      </c>
      <c r="L57" s="30">
        <v>3.5524697303771973</v>
      </c>
    </row>
    <row r="58" spans="2:12" ht="18" thickBot="1" x14ac:dyDescent="0.25">
      <c r="B58" s="22" t="s">
        <v>232</v>
      </c>
      <c r="C58" s="2" t="s">
        <v>214</v>
      </c>
      <c r="D58" s="2">
        <v>3.1430628150701523E-3</v>
      </c>
      <c r="E58" s="30">
        <v>0.30515167117118835</v>
      </c>
      <c r="F58" s="30">
        <v>0.61442875862121582</v>
      </c>
      <c r="G58" s="30">
        <v>0.83984220027923584</v>
      </c>
      <c r="H58" s="30">
        <v>1</v>
      </c>
      <c r="I58" s="30">
        <v>2.5942156314849854</v>
      </c>
      <c r="J58" s="30">
        <v>3.5613706111907959</v>
      </c>
      <c r="K58" s="30">
        <v>1.9673514366149902</v>
      </c>
      <c r="L58" s="30">
        <v>3.5524697303771973</v>
      </c>
    </row>
    <row r="59" spans="2:12" ht="18" thickBot="1" x14ac:dyDescent="0.25">
      <c r="B59" s="22" t="s">
        <v>232</v>
      </c>
      <c r="C59" s="2" t="s">
        <v>168</v>
      </c>
      <c r="D59" s="2">
        <v>1.5993008855730295E-3</v>
      </c>
      <c r="E59" s="30">
        <v>0.30515167117118835</v>
      </c>
      <c r="F59" s="30">
        <v>0.61442875862121582</v>
      </c>
      <c r="G59" s="30">
        <v>0.83984214067459106</v>
      </c>
      <c r="H59" s="30">
        <v>1</v>
      </c>
      <c r="I59" s="30">
        <v>2.9027490615844727</v>
      </c>
      <c r="J59" s="30">
        <v>3.5613706111907959</v>
      </c>
      <c r="K59" s="30">
        <v>1.9673514366149902</v>
      </c>
      <c r="L59" s="30">
        <v>3.5524711608886719</v>
      </c>
    </row>
    <row r="60" spans="2:12" ht="18" thickBot="1" x14ac:dyDescent="0.25">
      <c r="B60" s="22" t="s">
        <v>232</v>
      </c>
      <c r="C60" s="2" t="s">
        <v>198</v>
      </c>
      <c r="D60" s="2">
        <v>1.5814361395314336E-3</v>
      </c>
      <c r="E60" s="30">
        <v>0.30515170097351074</v>
      </c>
      <c r="F60" s="30">
        <v>0.61442875862121582</v>
      </c>
      <c r="G60" s="30">
        <v>0.83984214067459106</v>
      </c>
      <c r="H60" s="30">
        <v>1</v>
      </c>
      <c r="I60" s="30">
        <v>2.9078865051269531</v>
      </c>
      <c r="J60" s="30">
        <v>3.5613698959350586</v>
      </c>
      <c r="K60" s="30">
        <v>1.9673514366149902</v>
      </c>
      <c r="L60" s="30">
        <v>3.5524711608886719</v>
      </c>
    </row>
    <row r="61" spans="2:12" ht="18" thickBot="1" x14ac:dyDescent="0.25">
      <c r="B61" s="22" t="s">
        <v>232</v>
      </c>
      <c r="C61" s="2" t="s">
        <v>459</v>
      </c>
      <c r="D61" s="2">
        <v>2.2855126298964024E-3</v>
      </c>
      <c r="E61" s="30">
        <v>0.32525724172592163</v>
      </c>
      <c r="F61" s="30">
        <v>0.51476430892944336</v>
      </c>
      <c r="G61" s="30">
        <v>0.80061691999435425</v>
      </c>
      <c r="H61" s="30">
        <v>1</v>
      </c>
      <c r="I61" s="30">
        <v>2.7395951747894287</v>
      </c>
      <c r="J61" s="30">
        <v>2.3220124244689941</v>
      </c>
      <c r="K61" s="30">
        <v>2.6917755603790283</v>
      </c>
      <c r="L61" s="30">
        <v>4.5478358268737793</v>
      </c>
    </row>
    <row r="62" spans="2:12" ht="18" thickBot="1" x14ac:dyDescent="0.25">
      <c r="B62" s="22" t="s">
        <v>450</v>
      </c>
      <c r="C62" s="2" t="s">
        <v>450</v>
      </c>
      <c r="D62" s="2">
        <v>1.6282612923532724E-3</v>
      </c>
      <c r="E62" s="30">
        <v>0.26889580488204956</v>
      </c>
      <c r="F62" s="30">
        <v>0.53426259756088257</v>
      </c>
      <c r="G62" s="30">
        <v>0.82272106409072876</v>
      </c>
      <c r="H62" s="30">
        <v>1</v>
      </c>
      <c r="I62" s="30">
        <v>2.8945417404174805</v>
      </c>
      <c r="J62" s="30">
        <v>3.4924187660217285</v>
      </c>
      <c r="K62" s="30">
        <v>2.5391726493835449</v>
      </c>
      <c r="L62" s="30">
        <v>3.97991943359375</v>
      </c>
    </row>
  </sheetData>
  <mergeCells count="1">
    <mergeCell ref="B3:L3"/>
  </mergeCells>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FF0000"/>
  </sheetPr>
  <dimension ref="B2:N24"/>
  <sheetViews>
    <sheetView zoomScale="75" workbookViewId="0">
      <selection activeCell="K30" sqref="K30"/>
    </sheetView>
  </sheetViews>
  <sheetFormatPr baseColWidth="10" defaultColWidth="18.33203125" defaultRowHeight="15" x14ac:dyDescent="0.2"/>
  <sheetData>
    <row r="2" spans="2:14" ht="16" thickBot="1" x14ac:dyDescent="0.25"/>
    <row r="3" spans="2:14" ht="17" thickBot="1" x14ac:dyDescent="0.25">
      <c r="B3" s="111" t="s">
        <v>702</v>
      </c>
      <c r="C3" s="112"/>
      <c r="D3" s="112"/>
      <c r="E3" s="112"/>
      <c r="F3" s="112"/>
      <c r="G3" s="112"/>
      <c r="H3" s="112"/>
      <c r="I3" s="112"/>
      <c r="J3" s="112"/>
      <c r="K3" s="112"/>
      <c r="L3" s="112"/>
      <c r="M3" s="112"/>
      <c r="N3" s="113"/>
    </row>
    <row r="4" spans="2:14" ht="120" thickBot="1" x14ac:dyDescent="0.25">
      <c r="B4" s="21"/>
      <c r="C4" s="1" t="s">
        <v>460</v>
      </c>
      <c r="D4" s="1" t="s">
        <v>598</v>
      </c>
      <c r="E4" s="1" t="s">
        <v>509</v>
      </c>
      <c r="F4" s="15" t="s">
        <v>510</v>
      </c>
      <c r="G4" s="15" t="s">
        <v>511</v>
      </c>
      <c r="H4" s="1" t="s">
        <v>512</v>
      </c>
      <c r="I4" s="1" t="s">
        <v>604</v>
      </c>
      <c r="J4" s="1" t="s">
        <v>513</v>
      </c>
      <c r="K4" s="15" t="s">
        <v>514</v>
      </c>
      <c r="L4" s="34" t="s">
        <v>515</v>
      </c>
      <c r="M4" s="15" t="s">
        <v>605</v>
      </c>
      <c r="N4" s="15" t="s">
        <v>606</v>
      </c>
    </row>
    <row r="5" spans="2:14" ht="18" thickBot="1" x14ac:dyDescent="0.25">
      <c r="B5" s="22">
        <v>1</v>
      </c>
      <c r="C5" s="16" t="s">
        <v>0</v>
      </c>
      <c r="D5" s="2">
        <v>169293.1875</v>
      </c>
      <c r="E5" s="2">
        <v>38341</v>
      </c>
      <c r="F5" s="37">
        <v>-0.28643760085105896</v>
      </c>
      <c r="G5" s="37">
        <v>0.99974685907363892</v>
      </c>
      <c r="H5" s="16" t="s">
        <v>18</v>
      </c>
      <c r="I5" s="2">
        <v>55318.48046875</v>
      </c>
      <c r="J5" s="2">
        <v>23112793</v>
      </c>
      <c r="K5" s="37">
        <v>6.1520170420408249E-2</v>
      </c>
      <c r="L5" s="27">
        <v>0.58458143472671509</v>
      </c>
      <c r="M5" s="37">
        <v>10.989471435546875</v>
      </c>
      <c r="N5" s="37">
        <v>2.0188534259796143</v>
      </c>
    </row>
    <row r="6" spans="2:14" ht="35" thickBot="1" x14ac:dyDescent="0.25">
      <c r="B6" s="22">
        <v>2</v>
      </c>
      <c r="C6" s="16" t="s">
        <v>1</v>
      </c>
      <c r="D6" s="2">
        <v>152139.9375</v>
      </c>
      <c r="E6" s="2">
        <v>40128</v>
      </c>
      <c r="F6" s="37">
        <v>0.26791957020759583</v>
      </c>
      <c r="G6" s="37">
        <v>1.4142372608184814</v>
      </c>
      <c r="H6" s="16" t="s">
        <v>21</v>
      </c>
      <c r="I6" s="2">
        <v>53610.1171875</v>
      </c>
      <c r="J6" s="2">
        <v>11346000</v>
      </c>
      <c r="K6" s="37">
        <v>4.2291291058063507E-2</v>
      </c>
      <c r="L6" s="27">
        <v>0.75419050455093384</v>
      </c>
      <c r="M6" s="37">
        <v>14.362680435180664</v>
      </c>
      <c r="N6" s="37">
        <v>2.7800033092498779</v>
      </c>
    </row>
    <row r="7" spans="2:14" ht="18" thickBot="1" x14ac:dyDescent="0.25">
      <c r="B7" s="22">
        <v>3</v>
      </c>
      <c r="C7" s="16" t="s">
        <v>2</v>
      </c>
      <c r="D7" s="2">
        <v>127374.1875</v>
      </c>
      <c r="E7" s="2">
        <v>680453</v>
      </c>
      <c r="F7" s="37">
        <v>0.46338683366775513</v>
      </c>
      <c r="G7" s="37">
        <v>1.2885363101959229</v>
      </c>
      <c r="H7" s="16" t="s">
        <v>22</v>
      </c>
      <c r="I7" s="2">
        <v>49822.73828125</v>
      </c>
      <c r="J7" s="2">
        <v>347275807</v>
      </c>
      <c r="K7" s="37">
        <v>-2.5801826268434525E-3</v>
      </c>
      <c r="L7" s="27">
        <v>1.2513751983642578</v>
      </c>
      <c r="M7" s="37">
        <v>6.8253231048583984</v>
      </c>
      <c r="N7" s="37">
        <v>-1.0444386005401611</v>
      </c>
    </row>
    <row r="8" spans="2:14" ht="18" thickBot="1" x14ac:dyDescent="0.25">
      <c r="B8" s="22">
        <v>4</v>
      </c>
      <c r="C8" s="16" t="s">
        <v>4</v>
      </c>
      <c r="D8" s="2">
        <v>126125.984375</v>
      </c>
      <c r="E8" s="2">
        <v>64555</v>
      </c>
      <c r="F8" s="37">
        <v>0.59416759014129639</v>
      </c>
      <c r="G8" s="37">
        <v>1.4313027858734131</v>
      </c>
      <c r="H8" s="16" t="s">
        <v>36</v>
      </c>
      <c r="I8" s="2">
        <v>48551.51171875</v>
      </c>
      <c r="J8" s="2">
        <v>34566328</v>
      </c>
      <c r="K8" s="37">
        <v>2.3078816011548042E-3</v>
      </c>
      <c r="L8" s="27">
        <v>0.58542263507843018</v>
      </c>
      <c r="M8" s="37">
        <v>50.907005310058594</v>
      </c>
      <c r="N8" s="37">
        <v>1.5157818794250488</v>
      </c>
    </row>
    <row r="9" spans="2:14" ht="18" thickBot="1" x14ac:dyDescent="0.25">
      <c r="B9" s="22">
        <v>5</v>
      </c>
      <c r="C9" s="16" t="s">
        <v>3</v>
      </c>
      <c r="D9" s="2">
        <v>125265.890625</v>
      </c>
      <c r="E9" s="2">
        <v>64477</v>
      </c>
      <c r="F9" s="37">
        <v>0.92516762018203735</v>
      </c>
      <c r="G9" s="37">
        <v>1.1858717203140259</v>
      </c>
      <c r="H9" s="16" t="s">
        <v>25</v>
      </c>
      <c r="I9" s="2">
        <v>47596.3828125</v>
      </c>
      <c r="J9" s="2">
        <v>18346819</v>
      </c>
      <c r="K9" s="37">
        <v>2.2173689678311348E-2</v>
      </c>
      <c r="L9" s="27">
        <v>1.1503196954727173</v>
      </c>
      <c r="M9" s="37">
        <v>32.615653991699219</v>
      </c>
      <c r="N9" s="37">
        <v>1.1486704349517822</v>
      </c>
    </row>
    <row r="10" spans="2:14" ht="18" thickBot="1" x14ac:dyDescent="0.25">
      <c r="B10" s="22">
        <v>6</v>
      </c>
      <c r="C10" s="16" t="s">
        <v>5</v>
      </c>
      <c r="D10" s="2">
        <v>121562.3203125</v>
      </c>
      <c r="E10" s="2">
        <v>103989</v>
      </c>
      <c r="F10" s="37">
        <v>0.89237743616104126</v>
      </c>
      <c r="G10" s="37">
        <v>1.1858717203140259</v>
      </c>
      <c r="H10" s="16" t="s">
        <v>26</v>
      </c>
      <c r="I10" s="2">
        <v>45212.1171875</v>
      </c>
      <c r="J10" s="2">
        <v>10656633</v>
      </c>
      <c r="K10" s="37">
        <v>9.3091696500778198E-2</v>
      </c>
      <c r="L10" s="27">
        <v>1.1068054437637329</v>
      </c>
      <c r="M10" s="37">
        <v>21.835508346557617</v>
      </c>
      <c r="N10" s="37">
        <v>0.81526529788970947</v>
      </c>
    </row>
    <row r="11" spans="2:14" ht="18" thickBot="1" x14ac:dyDescent="0.25">
      <c r="B11" s="22">
        <v>7</v>
      </c>
      <c r="C11" s="16" t="s">
        <v>6</v>
      </c>
      <c r="D11" s="2">
        <v>107222.7890625</v>
      </c>
      <c r="E11" s="2">
        <v>5870750</v>
      </c>
      <c r="F11" s="37">
        <v>0.11621449887752533</v>
      </c>
      <c r="G11" s="37">
        <v>0.75498604774475098</v>
      </c>
      <c r="H11" s="16" t="s">
        <v>35</v>
      </c>
      <c r="I11" s="2">
        <v>42177.09375</v>
      </c>
      <c r="J11" s="2">
        <v>40126723</v>
      </c>
      <c r="K11" s="37">
        <v>3.0857117846608162E-2</v>
      </c>
      <c r="L11" s="27">
        <v>1.0549728870391846</v>
      </c>
      <c r="M11" s="37">
        <v>2.2231130599975586</v>
      </c>
      <c r="N11" s="37">
        <v>0.86337381601333618</v>
      </c>
    </row>
    <row r="12" spans="2:14" ht="18" thickBot="1" x14ac:dyDescent="0.25">
      <c r="B12" s="22">
        <v>8</v>
      </c>
      <c r="C12" s="16" t="s">
        <v>7</v>
      </c>
      <c r="D12" s="2">
        <v>101111.3359375</v>
      </c>
      <c r="E12" s="2">
        <v>75844</v>
      </c>
      <c r="F12" s="37">
        <v>0.69566631317138672</v>
      </c>
      <c r="G12" s="37">
        <v>1.400154709815979</v>
      </c>
      <c r="H12" s="16" t="s">
        <v>29</v>
      </c>
      <c r="I12" s="2">
        <v>42068.8515625</v>
      </c>
      <c r="J12" s="2">
        <v>11758603</v>
      </c>
      <c r="K12" s="37">
        <v>2.9227472841739655E-2</v>
      </c>
      <c r="L12" s="27">
        <v>1.058205246925354</v>
      </c>
      <c r="M12" s="37">
        <v>-68.226409912109375</v>
      </c>
      <c r="N12" s="37">
        <v>0.79171377420425415</v>
      </c>
    </row>
    <row r="13" spans="2:14" ht="18" thickBot="1" x14ac:dyDescent="0.25">
      <c r="B13" s="22">
        <v>9</v>
      </c>
      <c r="C13" s="16" t="s">
        <v>10</v>
      </c>
      <c r="D13" s="2">
        <v>85969.3671875</v>
      </c>
      <c r="E13" s="2">
        <v>40126</v>
      </c>
      <c r="F13" s="37">
        <v>0.37258920073509216</v>
      </c>
      <c r="G13" s="37">
        <v>1.1858717203140259</v>
      </c>
      <c r="H13" s="16" t="s">
        <v>30</v>
      </c>
      <c r="I13" s="2">
        <v>41799.515625</v>
      </c>
      <c r="J13" s="2">
        <v>84075075</v>
      </c>
      <c r="K13" s="37">
        <v>4.7023799270391464E-2</v>
      </c>
      <c r="L13" s="27">
        <v>1.0649183988571167</v>
      </c>
      <c r="M13" s="37">
        <v>8.1257047653198242</v>
      </c>
      <c r="N13" s="37">
        <v>0.8809056282043457</v>
      </c>
    </row>
    <row r="14" spans="2:14" ht="18" thickBot="1" x14ac:dyDescent="0.25">
      <c r="B14" s="22">
        <v>10</v>
      </c>
      <c r="C14" s="16" t="s">
        <v>8</v>
      </c>
      <c r="D14" s="2">
        <v>78131.4765625</v>
      </c>
      <c r="E14" s="2">
        <v>722007</v>
      </c>
      <c r="F14" s="37">
        <v>5.5550944060087204E-2</v>
      </c>
      <c r="G14" s="37">
        <v>0.68804389238357544</v>
      </c>
      <c r="H14" s="16" t="s">
        <v>32</v>
      </c>
      <c r="I14" s="2">
        <v>41624.9375</v>
      </c>
      <c r="J14" s="2">
        <v>26974026</v>
      </c>
      <c r="K14" s="37">
        <v>-1.3680905103683472E-2</v>
      </c>
      <c r="L14" s="27">
        <v>1.1546173095703125</v>
      </c>
      <c r="M14" s="37">
        <v>4.1023545265197754</v>
      </c>
      <c r="N14" s="37">
        <v>-0.21125340461730957</v>
      </c>
    </row>
    <row r="15" spans="2:14" ht="18" thickBot="1" x14ac:dyDescent="0.25">
      <c r="B15" s="22">
        <v>11</v>
      </c>
      <c r="C15" s="16" t="s">
        <v>9</v>
      </c>
      <c r="D15" s="2">
        <v>73923.9140625</v>
      </c>
      <c r="E15" s="2">
        <v>14728</v>
      </c>
      <c r="F15" s="37">
        <v>-3.3261410892009735E-2</v>
      </c>
      <c r="G15" s="37">
        <v>0.30965313315391541</v>
      </c>
      <c r="H15" s="16" t="s">
        <v>42</v>
      </c>
      <c r="I15" s="2">
        <v>38187.03515625</v>
      </c>
      <c r="J15" s="2">
        <v>69551332</v>
      </c>
      <c r="K15" s="37">
        <v>2.0781757310032845E-2</v>
      </c>
      <c r="L15" s="27">
        <v>1.1858717203140259</v>
      </c>
      <c r="M15" s="37">
        <v>-1.6918486356735229</v>
      </c>
      <c r="N15" s="37">
        <v>5.2665058523416519E-2</v>
      </c>
    </row>
    <row r="16" spans="2:14" ht="18" thickBot="1" x14ac:dyDescent="0.25">
      <c r="B16" s="22">
        <v>12</v>
      </c>
      <c r="C16" s="16" t="s">
        <v>12</v>
      </c>
      <c r="D16" s="2">
        <v>69947.3046875</v>
      </c>
      <c r="E16" s="2">
        <v>5623071</v>
      </c>
      <c r="F16" s="37">
        <v>0.15726423263549805</v>
      </c>
      <c r="G16" s="37">
        <v>1.1006637811660767</v>
      </c>
      <c r="H16" s="16" t="s">
        <v>39</v>
      </c>
      <c r="I16" s="2">
        <v>37172.39453125</v>
      </c>
      <c r="J16" s="2">
        <v>68898116</v>
      </c>
      <c r="K16" s="37">
        <v>3.8339726626873016E-2</v>
      </c>
      <c r="L16" s="27">
        <v>0.99082297086715698</v>
      </c>
      <c r="M16" s="37">
        <v>4.0950531959533691</v>
      </c>
      <c r="N16" s="37">
        <v>-0.23345911502838135</v>
      </c>
    </row>
    <row r="17" spans="2:14" ht="18" thickBot="1" x14ac:dyDescent="0.25">
      <c r="B17" s="22">
        <v>13</v>
      </c>
      <c r="C17" s="16" t="s">
        <v>13</v>
      </c>
      <c r="D17" s="2">
        <v>69242.5390625</v>
      </c>
      <c r="E17" s="2">
        <v>3115889</v>
      </c>
      <c r="F17" s="37">
        <v>-2.9037849977612495E-2</v>
      </c>
      <c r="G17" s="37">
        <v>0.72564506530761719</v>
      </c>
      <c r="H17" s="16" t="s">
        <v>45</v>
      </c>
      <c r="I17" s="2">
        <v>35358.00390625</v>
      </c>
      <c r="J17" s="2">
        <v>51667029</v>
      </c>
      <c r="K17" s="37">
        <v>1.9520068541169167E-2</v>
      </c>
      <c r="L17" s="27">
        <v>0.73212653398513794</v>
      </c>
      <c r="M17" s="37">
        <v>3.4598767757415771</v>
      </c>
      <c r="N17" s="37">
        <v>0.77059102058410645</v>
      </c>
    </row>
    <row r="18" spans="2:14" ht="18" thickBot="1" x14ac:dyDescent="0.25">
      <c r="B18" s="22">
        <v>14</v>
      </c>
      <c r="C18" s="16" t="s">
        <v>11</v>
      </c>
      <c r="D18" s="2">
        <v>63127.9921875</v>
      </c>
      <c r="E18" s="2">
        <v>84118</v>
      </c>
      <c r="F18" s="37">
        <v>-3.2232560217380524E-2</v>
      </c>
      <c r="G18" s="37">
        <v>1.2242249250411987</v>
      </c>
      <c r="H18" s="16" t="s">
        <v>44</v>
      </c>
      <c r="I18" s="2">
        <v>34716.8515625</v>
      </c>
      <c r="J18" s="2">
        <v>59146260</v>
      </c>
      <c r="K18" s="37">
        <v>-2.4660388589836657E-4</v>
      </c>
      <c r="L18" s="27">
        <v>0.90017342567443848</v>
      </c>
      <c r="M18" s="37">
        <v>1.7868751287460327</v>
      </c>
      <c r="N18" s="37">
        <v>0.10820485651493073</v>
      </c>
    </row>
    <row r="19" spans="2:14" ht="18" thickBot="1" x14ac:dyDescent="0.25">
      <c r="B19" s="22">
        <v>15</v>
      </c>
      <c r="C19" s="16" t="s">
        <v>19</v>
      </c>
      <c r="D19" s="2">
        <v>60958.421875</v>
      </c>
      <c r="E19" s="2">
        <v>5308039</v>
      </c>
      <c r="F19" s="37">
        <v>-0.25005197525024414</v>
      </c>
      <c r="G19" s="37">
        <v>1.0893615484237671</v>
      </c>
      <c r="H19" s="16" t="s">
        <v>49</v>
      </c>
      <c r="I19" s="2">
        <v>33523.9296875</v>
      </c>
      <c r="J19" s="2">
        <v>47889958</v>
      </c>
      <c r="K19" s="37">
        <v>-2.1116859279572964E-3</v>
      </c>
      <c r="L19" s="27">
        <v>0.87393677234649658</v>
      </c>
      <c r="M19" s="37">
        <v>-0.40812557935714722</v>
      </c>
      <c r="N19" s="37">
        <v>-0.35272303223609924</v>
      </c>
    </row>
    <row r="20" spans="2:14" ht="18" thickBot="1" x14ac:dyDescent="0.25">
      <c r="B20" s="22">
        <v>16</v>
      </c>
      <c r="C20" s="51" t="s">
        <v>16</v>
      </c>
      <c r="D20" s="2">
        <v>56061.24609375</v>
      </c>
      <c r="E20" s="2">
        <v>7396076</v>
      </c>
      <c r="F20" s="37">
        <v>0.19739183783531189</v>
      </c>
      <c r="G20" s="37">
        <v>0.87755590677261353</v>
      </c>
      <c r="H20" s="16" t="s">
        <v>50</v>
      </c>
      <c r="I20" s="2">
        <v>30096.572265625</v>
      </c>
      <c r="J20" s="2">
        <v>123103479</v>
      </c>
      <c r="K20" s="37">
        <v>8.7730027735233307E-2</v>
      </c>
      <c r="L20" s="27">
        <v>0.81981289386749268</v>
      </c>
      <c r="M20" s="37">
        <v>6.76068115234375</v>
      </c>
      <c r="N20" s="37">
        <v>1.0303177833557129</v>
      </c>
    </row>
    <row r="21" spans="2:14" ht="18" thickBot="1" x14ac:dyDescent="0.25">
      <c r="B21" s="22">
        <v>17</v>
      </c>
      <c r="C21" s="16" t="s">
        <v>18</v>
      </c>
      <c r="D21" s="2">
        <v>55318.48046875</v>
      </c>
      <c r="E21" s="2">
        <v>23112793</v>
      </c>
      <c r="F21" s="37">
        <v>6.1520170420408249E-2</v>
      </c>
      <c r="G21" s="37">
        <v>0.58458143472671509</v>
      </c>
      <c r="H21" s="16" t="s">
        <v>55</v>
      </c>
      <c r="I21" s="2">
        <v>29576.306640625</v>
      </c>
      <c r="J21" s="2">
        <v>38140910</v>
      </c>
      <c r="K21" s="37">
        <v>-5.2653919905424118E-2</v>
      </c>
      <c r="L21" s="27">
        <v>0.61017525196075439</v>
      </c>
      <c r="M21" s="37">
        <v>2.0188534259796143</v>
      </c>
      <c r="N21" s="37">
        <v>-0.31971704959869385</v>
      </c>
    </row>
    <row r="22" spans="2:14" ht="35" thickBot="1" x14ac:dyDescent="0.25">
      <c r="B22" s="22">
        <v>18</v>
      </c>
      <c r="C22" s="16" t="s">
        <v>21</v>
      </c>
      <c r="D22" s="2">
        <v>53610.1171875</v>
      </c>
      <c r="E22" s="2">
        <v>11346000</v>
      </c>
      <c r="F22" s="37">
        <v>4.2291291058063507E-2</v>
      </c>
      <c r="G22" s="37">
        <v>0.75419050455093384</v>
      </c>
      <c r="H22" s="16" t="s">
        <v>57</v>
      </c>
      <c r="I22" s="2">
        <v>29225.3671875</v>
      </c>
      <c r="J22" s="2">
        <v>10609239</v>
      </c>
      <c r="K22" s="37">
        <v>-6.6495813429355621E-2</v>
      </c>
      <c r="L22" s="27">
        <v>0.80542612075805664</v>
      </c>
      <c r="M22" s="37">
        <v>2.7800033092498779</v>
      </c>
      <c r="N22" s="37">
        <v>-2.7579620480537415E-2</v>
      </c>
    </row>
    <row r="23" spans="2:14" ht="35" thickBot="1" x14ac:dyDescent="0.25">
      <c r="B23" s="22">
        <v>19</v>
      </c>
      <c r="C23" s="16" t="s">
        <v>15</v>
      </c>
      <c r="D23" s="2">
        <v>53175.62890625</v>
      </c>
      <c r="E23" s="2">
        <v>466330</v>
      </c>
      <c r="F23" s="37">
        <v>6.8277046084403992E-3</v>
      </c>
      <c r="G23" s="37">
        <v>0.47829276323318481</v>
      </c>
      <c r="H23" s="16" t="s">
        <v>56</v>
      </c>
      <c r="I23" s="2">
        <v>29046.2265625</v>
      </c>
      <c r="J23" s="2">
        <v>143997393</v>
      </c>
      <c r="K23" s="37">
        <v>-9.3224914744496346E-3</v>
      </c>
      <c r="L23" s="27">
        <v>0.4719395637512207</v>
      </c>
      <c r="M23" s="37">
        <v>7.1705703735351562</v>
      </c>
      <c r="N23" s="37">
        <v>0.35051229596138</v>
      </c>
    </row>
    <row r="24" spans="2:14" ht="18" thickBot="1" x14ac:dyDescent="0.25">
      <c r="B24" s="22">
        <v>20</v>
      </c>
      <c r="C24" s="16" t="s">
        <v>14</v>
      </c>
      <c r="D24" s="2">
        <v>52928.58203125</v>
      </c>
      <c r="E24" s="2">
        <v>4359</v>
      </c>
      <c r="F24" s="37">
        <v>6.7814923822879791E-2</v>
      </c>
      <c r="G24" s="37">
        <v>0.29125025868415833</v>
      </c>
      <c r="H24" s="16" t="s">
        <v>62</v>
      </c>
      <c r="I24" s="2">
        <v>28088.453125</v>
      </c>
      <c r="J24" s="2">
        <v>18908650</v>
      </c>
      <c r="K24" s="37">
        <v>-3.3614262938499451E-2</v>
      </c>
      <c r="L24" s="27">
        <v>0.60826432704925537</v>
      </c>
      <c r="M24" s="37">
        <v>1.5361876487731934</v>
      </c>
      <c r="N24" s="37">
        <v>3.025144524872303E-2</v>
      </c>
    </row>
  </sheetData>
  <mergeCells count="1">
    <mergeCell ref="B3:N3"/>
  </mergeCells>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FF0000"/>
  </sheetPr>
  <dimension ref="B2:N24"/>
  <sheetViews>
    <sheetView zoomScale="84" workbookViewId="0">
      <selection activeCell="B3" sqref="B3:N3"/>
    </sheetView>
  </sheetViews>
  <sheetFormatPr baseColWidth="10" defaultColWidth="19.5" defaultRowHeight="15" x14ac:dyDescent="0.2"/>
  <cols>
    <col min="1" max="1" width="15.1640625" customWidth="1"/>
    <col min="2" max="2" width="3.5" bestFit="1" customWidth="1"/>
    <col min="3" max="3" width="16.6640625" bestFit="1" customWidth="1"/>
    <col min="4" max="4" width="22" customWidth="1"/>
    <col min="5" max="5" width="16" bestFit="1" customWidth="1"/>
    <col min="9" max="9" width="22.1640625" customWidth="1"/>
  </cols>
  <sheetData>
    <row r="2" spans="2:14" ht="16" thickBot="1" x14ac:dyDescent="0.25"/>
    <row r="3" spans="2:14" ht="17" thickBot="1" x14ac:dyDescent="0.25">
      <c r="B3" s="175" t="s">
        <v>705</v>
      </c>
      <c r="C3" s="176"/>
      <c r="D3" s="176"/>
      <c r="E3" s="176"/>
      <c r="F3" s="176"/>
      <c r="G3" s="176"/>
      <c r="H3" s="176"/>
      <c r="I3" s="176"/>
      <c r="J3" s="176"/>
      <c r="K3" s="176"/>
      <c r="L3" s="176"/>
      <c r="M3" s="176"/>
      <c r="N3" s="177"/>
    </row>
    <row r="4" spans="2:14" ht="103" thickBot="1" x14ac:dyDescent="0.25">
      <c r="B4" s="39"/>
      <c r="C4" s="40" t="s">
        <v>460</v>
      </c>
      <c r="D4" s="41" t="s">
        <v>598</v>
      </c>
      <c r="E4" s="41" t="s">
        <v>509</v>
      </c>
      <c r="F4" s="41" t="s">
        <v>510</v>
      </c>
      <c r="G4" s="41" t="s">
        <v>511</v>
      </c>
      <c r="H4" s="41" t="s">
        <v>512</v>
      </c>
      <c r="I4" s="41" t="s">
        <v>604</v>
      </c>
      <c r="J4" s="41" t="s">
        <v>513</v>
      </c>
      <c r="K4" s="41" t="s">
        <v>514</v>
      </c>
      <c r="L4" s="41" t="s">
        <v>515</v>
      </c>
      <c r="M4" s="42" t="s">
        <v>605</v>
      </c>
      <c r="N4" s="43" t="s">
        <v>606</v>
      </c>
    </row>
    <row r="5" spans="2:14" ht="18" thickBot="1" x14ac:dyDescent="0.25">
      <c r="B5" s="22">
        <v>1</v>
      </c>
      <c r="C5" s="16" t="s">
        <v>213</v>
      </c>
      <c r="D5" s="2">
        <v>622.47052001953125</v>
      </c>
      <c r="E5" s="2">
        <v>14390003</v>
      </c>
      <c r="F5" s="37">
        <v>-9.6550006419420242E-3</v>
      </c>
      <c r="G5" s="37">
        <v>0.49313724040985107</v>
      </c>
      <c r="H5" s="16" t="s">
        <v>213</v>
      </c>
      <c r="I5" s="16">
        <v>622.47052001953125</v>
      </c>
      <c r="J5" s="2">
        <v>14390003</v>
      </c>
      <c r="K5" s="37">
        <v>-9.6550006419420242E-3</v>
      </c>
      <c r="L5" s="37">
        <v>0.49313724040985107</v>
      </c>
      <c r="M5" s="37">
        <v>-0.87130123376846313</v>
      </c>
      <c r="N5" s="37">
        <v>-0.87130123376846313</v>
      </c>
    </row>
    <row r="6" spans="2:14" ht="18" thickBot="1" x14ac:dyDescent="0.25">
      <c r="B6" s="22">
        <v>2</v>
      </c>
      <c r="C6" s="16" t="s">
        <v>212</v>
      </c>
      <c r="D6" s="2">
        <v>709.0682373046875</v>
      </c>
      <c r="E6" s="2">
        <v>41773878</v>
      </c>
      <c r="F6" s="37">
        <v>-7.7636376954615116E-4</v>
      </c>
      <c r="G6" s="37">
        <v>0.94936615228652954</v>
      </c>
      <c r="H6" s="16" t="s">
        <v>212</v>
      </c>
      <c r="I6" s="16">
        <v>709.0682373046875</v>
      </c>
      <c r="J6" s="2">
        <v>41773878</v>
      </c>
      <c r="K6" s="37">
        <v>-7.7636376954615116E-4</v>
      </c>
      <c r="L6" s="37">
        <v>0.94936615228652954</v>
      </c>
      <c r="M6" s="37">
        <v>-7.7065490186214447E-2</v>
      </c>
      <c r="N6" s="37">
        <v>-7.7065490186214447E-2</v>
      </c>
    </row>
    <row r="7" spans="2:14" ht="35" thickBot="1" x14ac:dyDescent="0.25">
      <c r="B7" s="22">
        <v>3</v>
      </c>
      <c r="C7" s="16" t="s">
        <v>211</v>
      </c>
      <c r="D7" s="2">
        <v>828.11175537109375</v>
      </c>
      <c r="E7" s="2">
        <v>5513282</v>
      </c>
      <c r="F7" s="37">
        <v>1.0976120829582214E-3</v>
      </c>
      <c r="G7" s="37">
        <v>0.55026501417160034</v>
      </c>
      <c r="H7" s="16" t="s">
        <v>210</v>
      </c>
      <c r="I7" s="16">
        <v>879.02142333984375</v>
      </c>
      <c r="J7" s="2">
        <v>35631653</v>
      </c>
      <c r="K7" s="37">
        <v>-0.13149820268154144</v>
      </c>
      <c r="L7" s="37">
        <v>0.46290618181228638</v>
      </c>
      <c r="M7" s="37">
        <v>-0.56045663356781006</v>
      </c>
      <c r="N7" s="37">
        <v>-3.4795238971710205</v>
      </c>
    </row>
    <row r="8" spans="2:14" ht="18" thickBot="1" x14ac:dyDescent="0.25">
      <c r="B8" s="22">
        <v>4</v>
      </c>
      <c r="C8" s="16" t="s">
        <v>210</v>
      </c>
      <c r="D8" s="2">
        <v>879.02142333984375</v>
      </c>
      <c r="E8" s="2">
        <v>35631653</v>
      </c>
      <c r="F8" s="37">
        <v>-0.13149820268154144</v>
      </c>
      <c r="G8" s="37">
        <v>0.46290618181228638</v>
      </c>
      <c r="H8" s="16" t="s">
        <v>214</v>
      </c>
      <c r="I8" s="16">
        <v>916.88299560546875</v>
      </c>
      <c r="J8" s="2">
        <v>51662147</v>
      </c>
      <c r="K8" s="37">
        <v>-2.3580461740493774E-2</v>
      </c>
      <c r="L8" s="37">
        <v>1.9754630327224731</v>
      </c>
      <c r="M8" s="37">
        <v>-3.4795238971710205</v>
      </c>
      <c r="N8" s="37">
        <v>-0.68874287605285645</v>
      </c>
    </row>
    <row r="9" spans="2:14" ht="18" thickBot="1" x14ac:dyDescent="0.25">
      <c r="B9" s="22">
        <v>5</v>
      </c>
      <c r="C9" s="16" t="s">
        <v>214</v>
      </c>
      <c r="D9" s="2">
        <v>916.88299560546875</v>
      </c>
      <c r="E9" s="2">
        <v>51662147</v>
      </c>
      <c r="F9" s="37">
        <v>-2.3580461740493774E-2</v>
      </c>
      <c r="G9" s="37">
        <v>1.9754630327224731</v>
      </c>
      <c r="H9" s="16" t="s">
        <v>209</v>
      </c>
      <c r="I9" s="16">
        <v>969.49273681640625</v>
      </c>
      <c r="J9" s="2">
        <v>19654739</v>
      </c>
      <c r="K9" s="37">
        <v>3.0611632391810417E-3</v>
      </c>
      <c r="L9" s="37">
        <v>0.52909529209136963</v>
      </c>
      <c r="M9" s="37">
        <v>-0.68874287605285645</v>
      </c>
      <c r="N9" s="37">
        <v>-0.52980178594589233</v>
      </c>
    </row>
    <row r="10" spans="2:14" ht="18" thickBot="1" x14ac:dyDescent="0.25">
      <c r="B10" s="22">
        <v>6</v>
      </c>
      <c r="C10" s="16" t="s">
        <v>209</v>
      </c>
      <c r="D10" s="2">
        <v>969.49273681640625</v>
      </c>
      <c r="E10" s="2">
        <v>19654739</v>
      </c>
      <c r="F10" s="37">
        <v>3.0611632391810417E-3</v>
      </c>
      <c r="G10" s="37">
        <v>0.52909529209136963</v>
      </c>
      <c r="H10" s="16" t="s">
        <v>207</v>
      </c>
      <c r="I10" s="16">
        <v>1163.8697509765625</v>
      </c>
      <c r="J10" s="2">
        <v>22216120</v>
      </c>
      <c r="K10" s="37">
        <v>-1.7456613481044769E-2</v>
      </c>
      <c r="L10" s="37">
        <v>0.44583719968795776</v>
      </c>
      <c r="M10" s="37">
        <v>-0.52980178594589233</v>
      </c>
      <c r="N10" s="37">
        <v>-0.34621450304985046</v>
      </c>
    </row>
    <row r="11" spans="2:14" ht="18" thickBot="1" x14ac:dyDescent="0.25">
      <c r="B11" s="22">
        <v>7</v>
      </c>
      <c r="C11" s="16" t="s">
        <v>207</v>
      </c>
      <c r="D11" s="2">
        <v>1163.8697509765625</v>
      </c>
      <c r="E11" s="2">
        <v>22216120</v>
      </c>
      <c r="F11" s="37">
        <v>-1.7456613481044769E-2</v>
      </c>
      <c r="G11" s="37">
        <v>0.44583719968795776</v>
      </c>
      <c r="H11" s="16" t="s">
        <v>208</v>
      </c>
      <c r="I11" s="16">
        <v>1174.8968505859375</v>
      </c>
      <c r="J11" s="2">
        <v>112832473</v>
      </c>
      <c r="K11" s="37">
        <v>-3.9706144481897354E-2</v>
      </c>
      <c r="L11" s="37">
        <v>0.47532013058662415</v>
      </c>
      <c r="M11" s="37">
        <v>-0.34621450304985046</v>
      </c>
      <c r="N11" s="37">
        <v>-0.50321322679519653</v>
      </c>
    </row>
    <row r="12" spans="2:14" ht="18" thickBot="1" x14ac:dyDescent="0.25">
      <c r="B12" s="22">
        <v>8</v>
      </c>
      <c r="C12" s="16" t="s">
        <v>208</v>
      </c>
      <c r="D12" s="2">
        <v>1174.8968505859375</v>
      </c>
      <c r="E12" s="2">
        <v>112832473</v>
      </c>
      <c r="F12" s="37">
        <v>-3.9706144481897354E-2</v>
      </c>
      <c r="G12" s="37">
        <v>0.47532013058662415</v>
      </c>
      <c r="H12" s="16" t="s">
        <v>206</v>
      </c>
      <c r="I12" s="16">
        <v>1177.4119873046875</v>
      </c>
      <c r="J12" s="2">
        <v>32740678</v>
      </c>
      <c r="K12" s="37">
        <v>-3.612188994884491E-2</v>
      </c>
      <c r="L12" s="37">
        <v>0.39191344380378723</v>
      </c>
      <c r="M12" s="37">
        <v>-0.50321322679519653</v>
      </c>
      <c r="N12" s="37">
        <v>-0.39437830448150635</v>
      </c>
    </row>
    <row r="13" spans="2:14" ht="18" thickBot="1" x14ac:dyDescent="0.25">
      <c r="B13" s="22">
        <v>9</v>
      </c>
      <c r="C13" s="16" t="s">
        <v>206</v>
      </c>
      <c r="D13" s="2">
        <v>1177.4119873046875</v>
      </c>
      <c r="E13" s="2">
        <v>32740678</v>
      </c>
      <c r="F13" s="37">
        <v>-3.612188994884491E-2</v>
      </c>
      <c r="G13" s="37">
        <v>0.39191344380378723</v>
      </c>
      <c r="H13" s="16" t="s">
        <v>203</v>
      </c>
      <c r="I13" s="16">
        <v>1268.602783203125</v>
      </c>
      <c r="J13" s="2">
        <v>27917831</v>
      </c>
      <c r="K13" s="37">
        <v>-2.0950449630618095E-2</v>
      </c>
      <c r="L13" s="37">
        <v>0.43841049075126648</v>
      </c>
      <c r="M13" s="37">
        <v>-0.39437830448150635</v>
      </c>
      <c r="N13" s="37">
        <v>-0.95463085174560547</v>
      </c>
    </row>
    <row r="14" spans="2:14" ht="18" thickBot="1" x14ac:dyDescent="0.25">
      <c r="B14" s="22">
        <v>10</v>
      </c>
      <c r="C14" s="16" t="s">
        <v>203</v>
      </c>
      <c r="D14" s="2">
        <v>1268.602783203125</v>
      </c>
      <c r="E14" s="2">
        <v>27917831</v>
      </c>
      <c r="F14" s="37">
        <v>-2.0950449630618095E-2</v>
      </c>
      <c r="G14" s="37">
        <v>0.43841049075126648</v>
      </c>
      <c r="H14" s="16" t="s">
        <v>200</v>
      </c>
      <c r="I14" s="16">
        <v>1407.8302001953125</v>
      </c>
      <c r="J14" s="2">
        <v>43844111</v>
      </c>
      <c r="K14" s="37">
        <v>9.7350962460041046E-3</v>
      </c>
      <c r="L14" s="37">
        <v>0.24501165747642517</v>
      </c>
      <c r="M14" s="37">
        <v>-0.95463085174560547</v>
      </c>
      <c r="N14" s="37">
        <v>2.5141606107354164E-2</v>
      </c>
    </row>
    <row r="15" spans="2:14" ht="18" thickBot="1" x14ac:dyDescent="0.25">
      <c r="B15" s="22">
        <v>11</v>
      </c>
      <c r="C15" s="16" t="s">
        <v>204</v>
      </c>
      <c r="D15" s="2">
        <v>1309.9129638671875</v>
      </c>
      <c r="E15" s="2">
        <v>5731206</v>
      </c>
      <c r="F15" s="37">
        <v>-7.5491391122341156E-2</v>
      </c>
      <c r="G15" s="37">
        <v>0.54056811332702637</v>
      </c>
      <c r="H15" s="16" t="s">
        <v>195</v>
      </c>
      <c r="I15" s="16">
        <v>1818.962158203125</v>
      </c>
      <c r="J15" s="2">
        <v>24074580</v>
      </c>
      <c r="K15" s="37">
        <v>-5.3782336413860321E-2</v>
      </c>
      <c r="L15" s="37">
        <v>0.48323267698287964</v>
      </c>
      <c r="M15" s="37">
        <v>-0.64391547441482544</v>
      </c>
      <c r="N15" s="37">
        <v>-0.3804340660572052</v>
      </c>
    </row>
    <row r="16" spans="2:14" ht="18" thickBot="1" x14ac:dyDescent="0.25">
      <c r="B16" s="22">
        <v>12</v>
      </c>
      <c r="C16" s="16" t="s">
        <v>200</v>
      </c>
      <c r="D16" s="2">
        <v>1407.8302001953125</v>
      </c>
      <c r="E16" s="2">
        <v>43844111</v>
      </c>
      <c r="F16" s="37">
        <v>9.7350962460041046E-3</v>
      </c>
      <c r="G16" s="37">
        <v>0.24501165747642517</v>
      </c>
      <c r="H16" s="16" t="s">
        <v>201</v>
      </c>
      <c r="I16" s="16">
        <v>1873.5333251953125</v>
      </c>
      <c r="J16" s="2">
        <v>21003705</v>
      </c>
      <c r="K16" s="37">
        <v>1.4860848896205425E-3</v>
      </c>
      <c r="L16" s="37">
        <v>0.45588994026184082</v>
      </c>
      <c r="M16" s="37">
        <v>2.5141606107354164E-2</v>
      </c>
      <c r="N16" s="37">
        <v>-0.61020797491073608</v>
      </c>
    </row>
    <row r="17" spans="2:14" ht="18" thickBot="1" x14ac:dyDescent="0.25">
      <c r="B17" s="22">
        <v>13</v>
      </c>
      <c r="C17" s="16" t="s">
        <v>202</v>
      </c>
      <c r="D17" s="2">
        <v>1517.9412841796875</v>
      </c>
      <c r="E17" s="2">
        <v>3607003</v>
      </c>
      <c r="F17" s="37">
        <v>-6.8583292886614799E-3</v>
      </c>
      <c r="G17" s="37">
        <v>0.23008748888969421</v>
      </c>
      <c r="H17" s="16" t="s">
        <v>194</v>
      </c>
      <c r="I17" s="16">
        <v>1912.2821044921875</v>
      </c>
      <c r="J17" s="2">
        <v>28516896</v>
      </c>
      <c r="K17" s="37">
        <v>-0.13735437393188477</v>
      </c>
      <c r="L17" s="37">
        <v>0.80865716934204102</v>
      </c>
      <c r="M17" s="37">
        <v>-0.68408435583114624</v>
      </c>
      <c r="N17" s="37">
        <v>2.5168530941009521</v>
      </c>
    </row>
    <row r="18" spans="2:14" ht="18" thickBot="1" x14ac:dyDescent="0.25">
      <c r="B18" s="22">
        <v>14</v>
      </c>
      <c r="C18" s="16" t="s">
        <v>196</v>
      </c>
      <c r="D18" s="2">
        <v>1669.0172119140625</v>
      </c>
      <c r="E18" s="2">
        <v>838645</v>
      </c>
      <c r="F18" s="37">
        <v>-8.2497019320726395E-3</v>
      </c>
      <c r="G18" s="37">
        <v>0.91903781890869141</v>
      </c>
      <c r="H18" s="16" t="s">
        <v>205</v>
      </c>
      <c r="I18" s="16">
        <v>1950.6634521484375</v>
      </c>
      <c r="J18" s="2">
        <v>12188788</v>
      </c>
      <c r="K18" s="37">
        <v>-8.7614618241786957E-2</v>
      </c>
      <c r="L18" s="37">
        <v>13.594289779663086</v>
      </c>
      <c r="M18" s="37">
        <v>-6.7023776471614838E-2</v>
      </c>
      <c r="N18" s="37">
        <v>-6.3684163615107536E-3</v>
      </c>
    </row>
    <row r="19" spans="2:14" ht="18" thickBot="1" x14ac:dyDescent="0.25">
      <c r="B19" s="22">
        <v>15</v>
      </c>
      <c r="C19" s="16" t="s">
        <v>199</v>
      </c>
      <c r="D19" s="2">
        <v>1690.253173828125</v>
      </c>
      <c r="E19" s="2">
        <v>2249515</v>
      </c>
      <c r="F19" s="37">
        <v>-1.9505058880895376E-3</v>
      </c>
      <c r="G19" s="37">
        <v>0.47569000720977783</v>
      </c>
      <c r="H19" s="16" t="s">
        <v>193</v>
      </c>
      <c r="I19" s="16">
        <v>2065.39501953125</v>
      </c>
      <c r="J19" s="2">
        <v>11906095</v>
      </c>
      <c r="K19" s="37">
        <v>8.3492667181417346E-4</v>
      </c>
      <c r="L19" s="37">
        <v>1.0489652156829834</v>
      </c>
      <c r="M19" s="37">
        <v>-0.43470531702041626</v>
      </c>
      <c r="N19" s="37">
        <v>1.2041295878589153E-2</v>
      </c>
    </row>
    <row r="20" spans="2:14" ht="18" thickBot="1" x14ac:dyDescent="0.25">
      <c r="B20" s="22">
        <v>16</v>
      </c>
      <c r="C20" s="16" t="s">
        <v>195</v>
      </c>
      <c r="D20" s="2">
        <v>1818.962158203125</v>
      </c>
      <c r="E20" s="2">
        <v>24074580</v>
      </c>
      <c r="F20" s="37">
        <v>-5.3782336413860321E-2</v>
      </c>
      <c r="G20" s="37">
        <v>0.48323267698287964</v>
      </c>
      <c r="H20" s="16" t="s">
        <v>198</v>
      </c>
      <c r="I20" s="16">
        <v>2113.726806640625</v>
      </c>
      <c r="J20" s="2">
        <v>25198821</v>
      </c>
      <c r="K20" s="37">
        <v>-3.0101735144853592E-2</v>
      </c>
      <c r="L20" s="37">
        <v>0.44808900356292725</v>
      </c>
      <c r="M20" s="37">
        <v>-0.3804340660572052</v>
      </c>
      <c r="N20" s="37">
        <v>-0.60577404499053955</v>
      </c>
    </row>
    <row r="21" spans="2:14" ht="18" thickBot="1" x14ac:dyDescent="0.25">
      <c r="B21" s="22">
        <v>17</v>
      </c>
      <c r="C21" s="16" t="s">
        <v>201</v>
      </c>
      <c r="D21" s="2">
        <v>1873.5333251953125</v>
      </c>
      <c r="E21" s="2">
        <v>21003705</v>
      </c>
      <c r="F21" s="37">
        <v>1.4860848896205425E-3</v>
      </c>
      <c r="G21" s="37">
        <v>0.45588994026184082</v>
      </c>
      <c r="H21" s="16" t="s">
        <v>191</v>
      </c>
      <c r="I21" s="16">
        <v>2212.416015625</v>
      </c>
      <c r="J21" s="2">
        <v>51384894</v>
      </c>
      <c r="K21" s="37">
        <v>-2.8105325996875763E-2</v>
      </c>
      <c r="L21" s="37">
        <v>0.43308904767036438</v>
      </c>
      <c r="M21" s="37">
        <v>-0.61020797491073608</v>
      </c>
      <c r="N21" s="37">
        <v>-0.55701488256454468</v>
      </c>
    </row>
    <row r="22" spans="2:14" ht="18" thickBot="1" x14ac:dyDescent="0.25">
      <c r="B22" s="22">
        <v>18</v>
      </c>
      <c r="C22" s="16" t="s">
        <v>194</v>
      </c>
      <c r="D22" s="2">
        <v>1912.2821044921875</v>
      </c>
      <c r="E22" s="2">
        <v>28516896</v>
      </c>
      <c r="F22" s="37">
        <v>-0.13735437393188477</v>
      </c>
      <c r="G22" s="37">
        <v>0.80865716934204102</v>
      </c>
      <c r="H22" s="16" t="s">
        <v>187</v>
      </c>
      <c r="I22" s="16">
        <v>2321.96240234375</v>
      </c>
      <c r="J22" s="2">
        <v>70545865</v>
      </c>
      <c r="K22" s="37">
        <v>-3.0657568946480751E-2</v>
      </c>
      <c r="L22" s="37">
        <v>0.36865821480751038</v>
      </c>
      <c r="M22" s="37">
        <v>2.5168530941009521</v>
      </c>
      <c r="N22" s="37">
        <v>-0.68992447853088379</v>
      </c>
    </row>
    <row r="23" spans="2:14" ht="18" thickBot="1" x14ac:dyDescent="0.25">
      <c r="B23" s="22">
        <v>19</v>
      </c>
      <c r="C23" s="16" t="s">
        <v>205</v>
      </c>
      <c r="D23" s="2">
        <v>1950.6634521484375</v>
      </c>
      <c r="E23" s="2">
        <v>12188788</v>
      </c>
      <c r="F23" s="37">
        <v>-8.7614618241786957E-2</v>
      </c>
      <c r="G23" s="37">
        <v>13.594289779663086</v>
      </c>
      <c r="H23" s="16" t="s">
        <v>181</v>
      </c>
      <c r="I23" s="16">
        <v>2327.72314453125</v>
      </c>
      <c r="J23" s="2">
        <v>21913874</v>
      </c>
      <c r="K23" s="37">
        <v>-0.12098840624094009</v>
      </c>
      <c r="L23" s="37">
        <v>0.39616665244102478</v>
      </c>
      <c r="M23" s="37">
        <v>-6.3684163615107536E-3</v>
      </c>
      <c r="N23" s="37">
        <v>-1.144267201423645</v>
      </c>
    </row>
    <row r="24" spans="2:14" ht="18" thickBot="1" x14ac:dyDescent="0.25">
      <c r="B24" s="22">
        <v>20</v>
      </c>
      <c r="C24" s="16" t="s">
        <v>193</v>
      </c>
      <c r="D24" s="2">
        <v>2065.39501953125</v>
      </c>
      <c r="E24" s="2">
        <v>11906095</v>
      </c>
      <c r="F24" s="37">
        <v>8.3492667181417346E-4</v>
      </c>
      <c r="G24" s="37">
        <v>1.0489652156829834</v>
      </c>
      <c r="H24" s="16" t="s">
        <v>185</v>
      </c>
      <c r="I24" s="16">
        <v>2506.8623046875</v>
      </c>
      <c r="J24" s="2">
        <v>14569341</v>
      </c>
      <c r="K24" s="37">
        <v>-2.7213895693421364E-2</v>
      </c>
      <c r="L24" s="37">
        <v>0.33551618456840515</v>
      </c>
      <c r="M24" s="37">
        <v>1.2041295878589153E-2</v>
      </c>
      <c r="N24" s="37">
        <v>-0.81192529201507568</v>
      </c>
    </row>
  </sheetData>
  <mergeCells count="1">
    <mergeCell ref="B3:N3"/>
  </mergeCells>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FF0000"/>
  </sheetPr>
  <dimension ref="B2:J14"/>
  <sheetViews>
    <sheetView workbookViewId="0">
      <selection activeCell="B3" sqref="B3:J3"/>
    </sheetView>
  </sheetViews>
  <sheetFormatPr baseColWidth="10" defaultColWidth="16.6640625" defaultRowHeight="15" x14ac:dyDescent="0.2"/>
  <cols>
    <col min="2" max="2" width="16.1640625" customWidth="1"/>
    <col min="4" max="4" width="15" customWidth="1"/>
  </cols>
  <sheetData>
    <row r="2" spans="2:10" ht="16" thickBot="1" x14ac:dyDescent="0.25"/>
    <row r="3" spans="2:10" ht="17" thickBot="1" x14ac:dyDescent="0.25">
      <c r="B3" s="178" t="s">
        <v>706</v>
      </c>
      <c r="C3" s="179"/>
      <c r="D3" s="179"/>
      <c r="E3" s="179"/>
      <c r="F3" s="179"/>
      <c r="G3" s="179"/>
      <c r="H3" s="179"/>
      <c r="I3" s="179"/>
      <c r="J3" s="180"/>
    </row>
    <row r="4" spans="2:10" ht="69" thickBot="1" x14ac:dyDescent="0.25">
      <c r="B4" s="1" t="s">
        <v>460</v>
      </c>
      <c r="C4" s="15" t="s">
        <v>597</v>
      </c>
      <c r="D4" s="1" t="s">
        <v>517</v>
      </c>
      <c r="E4" s="1" t="s">
        <v>607</v>
      </c>
      <c r="F4" s="15" t="s">
        <v>608</v>
      </c>
      <c r="G4" s="44" t="s">
        <v>609</v>
      </c>
      <c r="H4" s="15" t="s">
        <v>518</v>
      </c>
      <c r="I4" s="15" t="s">
        <v>610</v>
      </c>
      <c r="J4" s="15" t="s">
        <v>611</v>
      </c>
    </row>
    <row r="5" spans="2:10" ht="18" thickBot="1" x14ac:dyDescent="0.25">
      <c r="B5" s="16" t="s">
        <v>94</v>
      </c>
      <c r="C5" s="2">
        <v>22490.373046875</v>
      </c>
      <c r="D5" s="2">
        <v>1416.096094</v>
      </c>
      <c r="E5" s="2">
        <v>15881.955078125</v>
      </c>
      <c r="F5" s="45">
        <v>13339.5908203125</v>
      </c>
      <c r="G5" s="46">
        <v>2</v>
      </c>
      <c r="H5" s="47">
        <v>0.59312444925308228</v>
      </c>
      <c r="I5" s="48">
        <v>-1.6812274232506752E-2</v>
      </c>
      <c r="J5" s="48">
        <v>0.24408727884292603</v>
      </c>
    </row>
    <row r="6" spans="2:10" ht="18" thickBot="1" x14ac:dyDescent="0.25">
      <c r="B6" s="16" t="s">
        <v>22</v>
      </c>
      <c r="C6" s="2">
        <v>17302.232421875</v>
      </c>
      <c r="D6" s="2">
        <v>347.27580699999999</v>
      </c>
      <c r="E6" s="2">
        <v>49822.73828125</v>
      </c>
      <c r="F6" s="45">
        <v>21651.58203125</v>
      </c>
      <c r="G6" s="46">
        <v>1</v>
      </c>
      <c r="H6" s="47">
        <v>1.2513751983642578</v>
      </c>
      <c r="I6" s="48">
        <v>-2.5801826268434525E-3</v>
      </c>
      <c r="J6" s="48">
        <v>-1.0471404790878296</v>
      </c>
    </row>
    <row r="7" spans="2:10" ht="18" thickBot="1" x14ac:dyDescent="0.25">
      <c r="B7" s="16" t="s">
        <v>148</v>
      </c>
      <c r="C7" s="2">
        <v>10239.841796875</v>
      </c>
      <c r="D7" s="2">
        <v>1463.8655249999999</v>
      </c>
      <c r="E7" s="2">
        <v>6995.06982421875</v>
      </c>
      <c r="F7" s="45">
        <v>3037.35498046875</v>
      </c>
      <c r="G7" s="46">
        <v>6</v>
      </c>
      <c r="H7" s="47">
        <v>0.29662129282951355</v>
      </c>
      <c r="I7" s="48">
        <v>-2.9733315110206604E-2</v>
      </c>
      <c r="J7" s="48">
        <v>-0.37669509649276733</v>
      </c>
    </row>
    <row r="8" spans="2:10" ht="18" thickBot="1" x14ac:dyDescent="0.25">
      <c r="B8" s="16" t="s">
        <v>56</v>
      </c>
      <c r="C8" s="2">
        <v>4182.5810546875</v>
      </c>
      <c r="D8" s="2">
        <v>143.99739299999999</v>
      </c>
      <c r="E8" s="2">
        <v>29046.2265625</v>
      </c>
      <c r="F8" s="45">
        <v>1973.9254150390625</v>
      </c>
      <c r="G8" s="46">
        <v>8</v>
      </c>
      <c r="H8" s="47">
        <v>0.4719395637512207</v>
      </c>
      <c r="I8" s="48">
        <v>-9.3224924057722092E-3</v>
      </c>
      <c r="J8" s="48">
        <v>0.35381072759628296</v>
      </c>
    </row>
    <row r="9" spans="2:10" ht="18" thickBot="1" x14ac:dyDescent="0.25">
      <c r="B9" s="16" t="s">
        <v>50</v>
      </c>
      <c r="C9" s="2">
        <v>3704.992919921875</v>
      </c>
      <c r="D9" s="2">
        <v>123.10347899999999</v>
      </c>
      <c r="E9" s="2">
        <v>30096.572265625</v>
      </c>
      <c r="F9" s="45">
        <v>3037.40087890625</v>
      </c>
      <c r="G9" s="46">
        <v>5</v>
      </c>
      <c r="H9" s="47">
        <v>0.81981289386749268</v>
      </c>
      <c r="I9" s="48">
        <v>8.7730027735233307E-2</v>
      </c>
      <c r="J9" s="48">
        <v>0.94721829891204834</v>
      </c>
    </row>
    <row r="10" spans="2:10" ht="18" thickBot="1" x14ac:dyDescent="0.25">
      <c r="B10" s="16" t="s">
        <v>30</v>
      </c>
      <c r="C10" s="2">
        <v>3514.29736328125</v>
      </c>
      <c r="D10" s="2">
        <v>84.075074999999998</v>
      </c>
      <c r="E10" s="2">
        <v>41799.515625</v>
      </c>
      <c r="F10" s="45">
        <v>3742.440185546875</v>
      </c>
      <c r="G10" s="46">
        <v>3</v>
      </c>
      <c r="H10" s="47">
        <v>1.0649183988571167</v>
      </c>
      <c r="I10" s="48">
        <v>4.7023802995681763E-2</v>
      </c>
      <c r="J10" s="48">
        <v>0.8413425087928772</v>
      </c>
    </row>
    <row r="11" spans="2:10" ht="18" thickBot="1" x14ac:dyDescent="0.25">
      <c r="B11" s="16" t="s">
        <v>106</v>
      </c>
      <c r="C11" s="2">
        <v>2788.72607421875</v>
      </c>
      <c r="D11" s="2">
        <v>212.81240500000001</v>
      </c>
      <c r="E11" s="2">
        <v>13104.15234375</v>
      </c>
      <c r="F11" s="45">
        <v>1640.5810546875</v>
      </c>
      <c r="G11" s="46">
        <v>11</v>
      </c>
      <c r="H11" s="47">
        <v>0.58829045295715332</v>
      </c>
      <c r="I11" s="48">
        <v>-4.1555073112249374E-2</v>
      </c>
      <c r="J11" s="48">
        <v>-0.40258303284645081</v>
      </c>
    </row>
    <row r="12" spans="2:10" ht="18" thickBot="1" x14ac:dyDescent="0.25">
      <c r="B12" s="16" t="s">
        <v>133</v>
      </c>
      <c r="C12" s="2">
        <v>2786.113037109375</v>
      </c>
      <c r="D12" s="2">
        <v>285.72123599999998</v>
      </c>
      <c r="E12" s="2">
        <v>9751.158203125</v>
      </c>
      <c r="F12" s="45">
        <v>1018.913330078125</v>
      </c>
      <c r="G12" s="46">
        <v>17</v>
      </c>
      <c r="H12" s="47">
        <v>0.36571139097213745</v>
      </c>
      <c r="I12" s="48">
        <v>-3.0268160626292229E-2</v>
      </c>
      <c r="J12" s="48">
        <v>-0.18300607800483704</v>
      </c>
    </row>
    <row r="13" spans="2:10" ht="18" thickBot="1" x14ac:dyDescent="0.25">
      <c r="B13" s="16" t="s">
        <v>42</v>
      </c>
      <c r="C13" s="2">
        <v>2655.959228515625</v>
      </c>
      <c r="D13" s="2">
        <v>69.551332000000002</v>
      </c>
      <c r="E13" s="2">
        <v>38187.03515625</v>
      </c>
      <c r="F13" s="45">
        <v>3149.626953125</v>
      </c>
      <c r="G13" s="46">
        <v>4</v>
      </c>
      <c r="H13" s="47">
        <v>1.1858717203140259</v>
      </c>
      <c r="I13" s="48">
        <v>2.0781759172677994E-2</v>
      </c>
      <c r="J13" s="48">
        <v>5.15928715467453E-2</v>
      </c>
    </row>
    <row r="14" spans="2:10" ht="18" thickBot="1" x14ac:dyDescent="0.25">
      <c r="B14" s="16" t="s">
        <v>39</v>
      </c>
      <c r="C14" s="2">
        <v>2561.10791015625</v>
      </c>
      <c r="D14" s="2">
        <v>68.898116000000002</v>
      </c>
      <c r="E14" s="2">
        <v>37172.39453125</v>
      </c>
      <c r="F14" s="45">
        <v>2537.604248046875</v>
      </c>
      <c r="G14" s="46">
        <v>7</v>
      </c>
      <c r="H14" s="47">
        <v>0.99082297086715698</v>
      </c>
      <c r="I14" s="48">
        <v>3.8339726626873016E-2</v>
      </c>
      <c r="J14" s="48">
        <v>-0.22483885288238525</v>
      </c>
    </row>
  </sheetData>
  <mergeCells count="1">
    <mergeCell ref="B3:J3"/>
  </mergeCells>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tabColor rgb="FF00B050"/>
  </sheetPr>
  <dimension ref="B1:N15"/>
  <sheetViews>
    <sheetView workbookViewId="0">
      <selection activeCell="E21" sqref="E21"/>
    </sheetView>
  </sheetViews>
  <sheetFormatPr baseColWidth="10" defaultColWidth="8.83203125" defaultRowHeight="15" x14ac:dyDescent="0.2"/>
  <cols>
    <col min="2" max="2" width="24.83203125" customWidth="1"/>
    <col min="3" max="5" width="14" bestFit="1" customWidth="1"/>
    <col min="6" max="6" width="24" customWidth="1"/>
    <col min="7" max="11" width="14" bestFit="1" customWidth="1"/>
    <col min="12" max="12" width="22.33203125" customWidth="1"/>
    <col min="13" max="14" width="14" bestFit="1" customWidth="1"/>
  </cols>
  <sheetData>
    <row r="1" spans="2:14" ht="16" thickBot="1" x14ac:dyDescent="0.25"/>
    <row r="2" spans="2:14" ht="17" thickBot="1" x14ac:dyDescent="0.25">
      <c r="B2" s="199" t="s">
        <v>708</v>
      </c>
      <c r="C2" s="200"/>
      <c r="D2" s="200"/>
      <c r="E2" s="200"/>
      <c r="F2" s="200"/>
      <c r="G2" s="200"/>
      <c r="H2" s="200"/>
      <c r="I2" s="200"/>
      <c r="J2" s="200"/>
      <c r="K2" s="200"/>
      <c r="L2" s="200"/>
      <c r="M2" s="200"/>
      <c r="N2" s="201"/>
    </row>
    <row r="3" spans="2:14" ht="17" customHeight="1" thickBot="1" x14ac:dyDescent="0.25">
      <c r="B3" s="1"/>
      <c r="C3" s="120" t="s">
        <v>586</v>
      </c>
      <c r="D3" s="181"/>
      <c r="E3" s="181"/>
      <c r="F3" s="181"/>
      <c r="G3" s="181"/>
      <c r="H3" s="121"/>
      <c r="I3" s="120" t="s">
        <v>667</v>
      </c>
      <c r="J3" s="181"/>
      <c r="K3" s="181"/>
      <c r="L3" s="181"/>
      <c r="M3" s="181"/>
      <c r="N3" s="121"/>
    </row>
    <row r="4" spans="2:14" ht="52" thickBot="1" x14ac:dyDescent="0.25">
      <c r="B4" s="1" t="s">
        <v>462</v>
      </c>
      <c r="C4" s="1" t="s">
        <v>614</v>
      </c>
      <c r="D4" s="1" t="s">
        <v>615</v>
      </c>
      <c r="E4" s="1" t="s">
        <v>616</v>
      </c>
      <c r="F4" s="1" t="s">
        <v>617</v>
      </c>
      <c r="G4" s="1" t="s">
        <v>618</v>
      </c>
      <c r="H4" s="1" t="s">
        <v>613</v>
      </c>
      <c r="I4" s="1" t="s">
        <v>614</v>
      </c>
      <c r="J4" s="1" t="s">
        <v>615</v>
      </c>
      <c r="K4" s="1" t="s">
        <v>616</v>
      </c>
      <c r="L4" s="1" t="s">
        <v>617</v>
      </c>
      <c r="M4" s="1" t="s">
        <v>618</v>
      </c>
      <c r="N4" s="1" t="s">
        <v>613</v>
      </c>
    </row>
    <row r="5" spans="2:14" ht="18" thickBot="1" x14ac:dyDescent="0.25">
      <c r="B5" s="1" t="s">
        <v>230</v>
      </c>
      <c r="C5" s="2">
        <v>113.682010624</v>
      </c>
      <c r="D5" s="2">
        <v>-52.401314176</v>
      </c>
      <c r="E5" s="2">
        <v>1350.1173848799999</v>
      </c>
      <c r="F5" s="2">
        <v>2.7543929303125001</v>
      </c>
      <c r="G5" s="2">
        <v>-99.377801344000005</v>
      </c>
      <c r="H5" s="2">
        <v>1314.774657664</v>
      </c>
      <c r="I5" s="2">
        <v>175.98095225599999</v>
      </c>
      <c r="J5" s="2">
        <v>-33.449965384000002</v>
      </c>
      <c r="K5" s="2">
        <v>777.20953919999999</v>
      </c>
      <c r="L5" s="2">
        <v>2.13563062228125</v>
      </c>
      <c r="M5" s="2">
        <v>-66.271866287999998</v>
      </c>
      <c r="N5" s="2">
        <v>855.60424664599998</v>
      </c>
    </row>
    <row r="6" spans="2:14" ht="18" thickBot="1" x14ac:dyDescent="0.25">
      <c r="B6" s="1" t="s">
        <v>226</v>
      </c>
      <c r="C6" s="2">
        <v>191.868734746</v>
      </c>
      <c r="D6" s="2">
        <v>29.111317572375</v>
      </c>
      <c r="E6" s="2">
        <v>190.897256336</v>
      </c>
      <c r="F6" s="2">
        <v>18.516192721296875</v>
      </c>
      <c r="G6" s="2">
        <v>-150.920471214</v>
      </c>
      <c r="H6" s="2">
        <v>279.47301836849999</v>
      </c>
      <c r="I6" s="2">
        <v>314.88760343199999</v>
      </c>
      <c r="J6" s="2">
        <v>2.4812472682500002</v>
      </c>
      <c r="K6" s="2">
        <v>249.458916784</v>
      </c>
      <c r="L6" s="2">
        <v>15.699171366023437</v>
      </c>
      <c r="M6" s="2">
        <v>-170.70599058400001</v>
      </c>
      <c r="N6" s="2">
        <v>411.82094697799999</v>
      </c>
    </row>
    <row r="7" spans="2:14" ht="18" thickBot="1" x14ac:dyDescent="0.25">
      <c r="B7" s="1" t="s">
        <v>229</v>
      </c>
      <c r="C7" s="2">
        <v>-322.17423892199997</v>
      </c>
      <c r="D7" s="2">
        <v>4.3155091877031246</v>
      </c>
      <c r="E7" s="2">
        <v>-100.13482349212499</v>
      </c>
      <c r="F7" s="2">
        <v>-4.545382188046875</v>
      </c>
      <c r="G7" s="2">
        <v>210.85450935074999</v>
      </c>
      <c r="H7" s="2">
        <v>-211.68443106999999</v>
      </c>
      <c r="I7" s="2">
        <v>-188.53756764625001</v>
      </c>
      <c r="J7" s="2">
        <v>2.3960720476757813</v>
      </c>
      <c r="K7" s="2">
        <v>-56.445070034375</v>
      </c>
      <c r="L7" s="2">
        <v>-2.187907870765625</v>
      </c>
      <c r="M7" s="2">
        <v>128.46445619175</v>
      </c>
      <c r="N7" s="2">
        <v>-116.310012726</v>
      </c>
    </row>
    <row r="8" spans="2:14" ht="18" thickBot="1" x14ac:dyDescent="0.25">
      <c r="B8" s="1" t="s">
        <v>231</v>
      </c>
      <c r="C8" s="2">
        <v>-91.583513663999994</v>
      </c>
      <c r="D8" s="2">
        <v>13.681688582</v>
      </c>
      <c r="E8" s="2">
        <v>126.084296064</v>
      </c>
      <c r="F8" s="2">
        <v>2.2955035776406252</v>
      </c>
      <c r="G8" s="2">
        <v>23.732599488000002</v>
      </c>
      <c r="H8" s="2">
        <v>74.210564735999995</v>
      </c>
      <c r="I8" s="2">
        <v>-21.919561512000001</v>
      </c>
      <c r="J8" s="2">
        <v>5.5041955409999996</v>
      </c>
      <c r="K8" s="2">
        <v>154.88052985600001</v>
      </c>
      <c r="L8" s="2">
        <v>2.0932069917148439</v>
      </c>
      <c r="M8" s="2">
        <v>-46.461652112000003</v>
      </c>
      <c r="N8" s="2">
        <v>94.096718784000004</v>
      </c>
    </row>
    <row r="9" spans="2:14" ht="18" thickBot="1" x14ac:dyDescent="0.25">
      <c r="B9" s="1" t="s">
        <v>227</v>
      </c>
      <c r="C9" s="2">
        <v>22.3096618961875</v>
      </c>
      <c r="D9" s="2">
        <v>-13.6439938145</v>
      </c>
      <c r="E9" s="2">
        <v>-790.64721494399998</v>
      </c>
      <c r="F9" s="2">
        <v>-19.169648210921874</v>
      </c>
      <c r="G9" s="2">
        <v>-140.33282155381249</v>
      </c>
      <c r="H9" s="2">
        <v>-941.48406650724996</v>
      </c>
      <c r="I9" s="2">
        <v>20.690199866218752</v>
      </c>
      <c r="J9" s="2">
        <v>-16.209920938562501</v>
      </c>
      <c r="K9" s="2">
        <v>-981.97827183200002</v>
      </c>
      <c r="L9" s="2">
        <v>-23.684674852171874</v>
      </c>
      <c r="M9" s="2">
        <v>-176.08359261156249</v>
      </c>
      <c r="N9" s="2">
        <v>-1177.26629788425</v>
      </c>
    </row>
    <row r="10" spans="2:14" ht="18" thickBot="1" x14ac:dyDescent="0.25">
      <c r="B10" s="1" t="s">
        <v>233</v>
      </c>
      <c r="C10" s="2">
        <v>-127.96141228800001</v>
      </c>
      <c r="D10" s="2">
        <v>51.368140384</v>
      </c>
      <c r="E10" s="2">
        <v>-88.741652736000006</v>
      </c>
      <c r="F10" s="2">
        <v>-0.77699326999999996</v>
      </c>
      <c r="G10" s="2">
        <v>68.418878320000005</v>
      </c>
      <c r="H10" s="2">
        <v>-97.693042816000002</v>
      </c>
      <c r="I10" s="2">
        <v>-53.218631455999997</v>
      </c>
      <c r="J10" s="2">
        <v>20.998923951999998</v>
      </c>
      <c r="K10" s="2">
        <v>-27.455713088</v>
      </c>
      <c r="L10" s="2">
        <v>-0.39441260849999998</v>
      </c>
      <c r="M10" s="2">
        <v>24.328062471999999</v>
      </c>
      <c r="N10" s="2">
        <v>-35.74177152</v>
      </c>
    </row>
    <row r="11" spans="2:14" ht="18" thickBot="1" x14ac:dyDescent="0.25">
      <c r="B11" s="1" t="s">
        <v>228</v>
      </c>
      <c r="C11" s="2">
        <v>-562.222757688</v>
      </c>
      <c r="D11" s="2">
        <v>14.414238281499999</v>
      </c>
      <c r="E11" s="2">
        <v>-401.03083801600002</v>
      </c>
      <c r="F11" s="2">
        <v>16.332666042</v>
      </c>
      <c r="G11" s="2">
        <v>557.39732309600004</v>
      </c>
      <c r="H11" s="2">
        <v>-375.10936908799999</v>
      </c>
      <c r="I11" s="2">
        <v>-154.01688568399999</v>
      </c>
      <c r="J11" s="2">
        <v>3.4577293103125002</v>
      </c>
      <c r="K11" s="2">
        <v>-31.990298624000001</v>
      </c>
      <c r="L11" s="2">
        <v>5.5400709201874996</v>
      </c>
      <c r="M11" s="2">
        <v>177.43235648300001</v>
      </c>
      <c r="N11" s="2">
        <v>0.42295981599999999</v>
      </c>
    </row>
    <row r="12" spans="2:14" ht="18" thickBot="1" x14ac:dyDescent="0.25">
      <c r="B12" s="1" t="s">
        <v>232</v>
      </c>
      <c r="C12" s="2">
        <v>-142.58034715287499</v>
      </c>
      <c r="D12" s="2">
        <v>3.5889550408124999</v>
      </c>
      <c r="E12" s="2">
        <v>-161.082344656</v>
      </c>
      <c r="F12" s="2">
        <v>2.6097244759296876</v>
      </c>
      <c r="G12" s="2">
        <v>194.13284899199999</v>
      </c>
      <c r="H12" s="2">
        <v>-103.331159023</v>
      </c>
      <c r="I12" s="2">
        <v>-93.866102949093744</v>
      </c>
      <c r="J12" s="2">
        <v>14.821717310546875</v>
      </c>
      <c r="K12" s="2">
        <v>-83.679596152000002</v>
      </c>
      <c r="L12" s="2">
        <v>0.79891582205468747</v>
      </c>
      <c r="M12" s="2">
        <v>129.29823228800001</v>
      </c>
      <c r="N12" s="2">
        <v>-32.626834442000003</v>
      </c>
    </row>
    <row r="13" spans="2:14" ht="18" thickBot="1" x14ac:dyDescent="0.25">
      <c r="B13" s="1" t="s">
        <v>450</v>
      </c>
      <c r="C13" s="2">
        <v>-918.66186244868754</v>
      </c>
      <c r="D13" s="2">
        <v>50.434541057890627</v>
      </c>
      <c r="E13" s="2">
        <v>125.462063435875</v>
      </c>
      <c r="F13" s="2">
        <v>18.016456078210936</v>
      </c>
      <c r="G13" s="2">
        <v>663.90506513493744</v>
      </c>
      <c r="H13" s="2">
        <v>-60.843827735749997</v>
      </c>
      <c r="I13" s="2">
        <v>6.3068749999999996E-6</v>
      </c>
      <c r="J13" s="2">
        <v>-8.9277734374999995E-7</v>
      </c>
      <c r="K13" s="2">
        <v>3.6109624999999999E-5</v>
      </c>
      <c r="L13" s="2">
        <v>3.9082421874999998E-7</v>
      </c>
      <c r="M13" s="2">
        <v>5.8391874999999999E-6</v>
      </c>
      <c r="N13" s="2">
        <v>-4.434825E-5</v>
      </c>
    </row>
    <row r="15" spans="2:14" x14ac:dyDescent="0.2">
      <c r="C15" s="59"/>
      <c r="D15" s="59"/>
      <c r="E15" s="59"/>
      <c r="F15" s="59"/>
      <c r="G15" s="59"/>
      <c r="H15" s="59"/>
    </row>
  </sheetData>
  <mergeCells count="3">
    <mergeCell ref="C3:H3"/>
    <mergeCell ref="I3:N3"/>
    <mergeCell ref="B2:N2"/>
  </mergeCells>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tabColor rgb="FF00B050"/>
  </sheetPr>
  <dimension ref="B1:N13"/>
  <sheetViews>
    <sheetView workbookViewId="0">
      <selection activeCell="B2" sqref="B2:N2"/>
    </sheetView>
  </sheetViews>
  <sheetFormatPr baseColWidth="10" defaultColWidth="8.83203125" defaultRowHeight="15" x14ac:dyDescent="0.2"/>
  <cols>
    <col min="2" max="2" width="25.5" customWidth="1"/>
    <col min="3" max="3" width="14.33203125" customWidth="1"/>
    <col min="4" max="4" width="13.83203125" customWidth="1"/>
    <col min="5" max="5" width="10" customWidth="1"/>
    <col min="6" max="6" width="21.83203125" customWidth="1"/>
    <col min="7" max="7" width="12.6640625" customWidth="1"/>
    <col min="8" max="8" width="11.5" customWidth="1"/>
    <col min="9" max="9" width="15" customWidth="1"/>
    <col min="10" max="10" width="13.1640625" customWidth="1"/>
    <col min="11" max="11" width="11" customWidth="1"/>
    <col min="12" max="12" width="22" customWidth="1"/>
    <col min="13" max="13" width="12" customWidth="1"/>
    <col min="14" max="14" width="12.6640625" customWidth="1"/>
  </cols>
  <sheetData>
    <row r="1" spans="2:14" ht="16" thickBot="1" x14ac:dyDescent="0.25"/>
    <row r="2" spans="2:14" ht="17" thickBot="1" x14ac:dyDescent="0.25">
      <c r="B2" s="199" t="s">
        <v>707</v>
      </c>
      <c r="C2" s="200"/>
      <c r="D2" s="200"/>
      <c r="E2" s="200"/>
      <c r="F2" s="200"/>
      <c r="G2" s="200"/>
      <c r="H2" s="200"/>
      <c r="I2" s="200"/>
      <c r="J2" s="200"/>
      <c r="K2" s="200"/>
      <c r="L2" s="200"/>
      <c r="M2" s="200"/>
      <c r="N2" s="201"/>
    </row>
    <row r="3" spans="2:14" ht="17" thickBot="1" x14ac:dyDescent="0.25">
      <c r="B3" s="1"/>
      <c r="C3" s="120" t="s">
        <v>588</v>
      </c>
      <c r="D3" s="181"/>
      <c r="E3" s="181"/>
      <c r="F3" s="181"/>
      <c r="G3" s="181"/>
      <c r="H3" s="121"/>
      <c r="I3" s="120" t="s">
        <v>660</v>
      </c>
      <c r="J3" s="181"/>
      <c r="K3" s="181"/>
      <c r="L3" s="181"/>
      <c r="M3" s="181"/>
      <c r="N3" s="121"/>
    </row>
    <row r="4" spans="2:14" ht="69" thickBot="1" x14ac:dyDescent="0.25">
      <c r="B4" s="1" t="s">
        <v>462</v>
      </c>
      <c r="C4" s="1" t="s">
        <v>614</v>
      </c>
      <c r="D4" s="1" t="s">
        <v>615</v>
      </c>
      <c r="E4" s="1" t="s">
        <v>616</v>
      </c>
      <c r="F4" s="1" t="s">
        <v>617</v>
      </c>
      <c r="G4" s="1" t="s">
        <v>618</v>
      </c>
      <c r="H4" s="1" t="s">
        <v>613</v>
      </c>
      <c r="I4" s="1" t="s">
        <v>614</v>
      </c>
      <c r="J4" s="1" t="s">
        <v>615</v>
      </c>
      <c r="K4" s="1" t="s">
        <v>616</v>
      </c>
      <c r="L4" s="1" t="s">
        <v>617</v>
      </c>
      <c r="M4" s="1" t="s">
        <v>618</v>
      </c>
      <c r="N4" s="1" t="s">
        <v>613</v>
      </c>
    </row>
    <row r="5" spans="2:14" ht="18" thickBot="1" x14ac:dyDescent="0.25">
      <c r="B5" s="1" t="s">
        <v>230</v>
      </c>
      <c r="C5" s="2">
        <v>167.67149312000001</v>
      </c>
      <c r="D5" s="2">
        <v>-77.287558207999993</v>
      </c>
      <c r="E5" s="2">
        <v>1991.310291456</v>
      </c>
      <c r="F5" s="2">
        <v>4.0624994243749999</v>
      </c>
      <c r="G5" s="2">
        <v>-146.573956864</v>
      </c>
      <c r="H5" s="2">
        <v>1939.1827903999999</v>
      </c>
      <c r="I5" s="2">
        <v>207.41757958400001</v>
      </c>
      <c r="J5" s="2">
        <v>-39.425348767999999</v>
      </c>
      <c r="K5" s="2">
        <v>916.04753691200006</v>
      </c>
      <c r="L5" s="2">
        <v>2.5171321125000001</v>
      </c>
      <c r="M5" s="2">
        <v>-78.110441359999996</v>
      </c>
      <c r="N5" s="2">
        <v>1008.446418432</v>
      </c>
    </row>
    <row r="6" spans="2:14" ht="18" thickBot="1" x14ac:dyDescent="0.25">
      <c r="B6" s="1" t="s">
        <v>226</v>
      </c>
      <c r="C6" s="2">
        <v>282.99034840799999</v>
      </c>
      <c r="D6" s="2">
        <v>42.936761704250003</v>
      </c>
      <c r="E6" s="2">
        <v>281.55748305600002</v>
      </c>
      <c r="F6" s="2">
        <v>27.309837424062501</v>
      </c>
      <c r="G6" s="2">
        <v>-222.59509371999999</v>
      </c>
      <c r="H6" s="2">
        <v>412.19934272400002</v>
      </c>
      <c r="I6" s="2">
        <v>371.13803137600001</v>
      </c>
      <c r="J6" s="2">
        <v>2.9244878607499998</v>
      </c>
      <c r="K6" s="2">
        <v>294.02139780800002</v>
      </c>
      <c r="L6" s="2">
        <v>18.503616827257812</v>
      </c>
      <c r="M6" s="2">
        <v>-201.200310968</v>
      </c>
      <c r="N6" s="2">
        <v>485.38721494800001</v>
      </c>
    </row>
    <row r="7" spans="2:14" ht="18" thickBot="1" x14ac:dyDescent="0.25">
      <c r="B7" s="1" t="s">
        <v>229</v>
      </c>
      <c r="C7" s="2">
        <v>-475.18010151999999</v>
      </c>
      <c r="D7" s="2">
        <v>6.3650153756875003</v>
      </c>
      <c r="E7" s="2">
        <v>-147.69050176425</v>
      </c>
      <c r="F7" s="2">
        <v>-6.7040590461757814</v>
      </c>
      <c r="G7" s="2">
        <v>310.99278206775</v>
      </c>
      <c r="H7" s="2">
        <v>-312.21685560399999</v>
      </c>
      <c r="I7" s="2">
        <v>-222.21725614549999</v>
      </c>
      <c r="J7" s="2">
        <v>2.8240979518515625</v>
      </c>
      <c r="K7" s="2">
        <v>-66.528220830999999</v>
      </c>
      <c r="L7" s="2">
        <v>-2.5787481450859375</v>
      </c>
      <c r="M7" s="2">
        <v>151.41289627762501</v>
      </c>
      <c r="N7" s="2">
        <v>-137.08723330399999</v>
      </c>
    </row>
    <row r="8" spans="2:14" ht="18" thickBot="1" x14ac:dyDescent="0.25">
      <c r="B8" s="1" t="s">
        <v>231</v>
      </c>
      <c r="C8" s="2">
        <v>-135.07803948</v>
      </c>
      <c r="D8" s="2">
        <v>20.17934782</v>
      </c>
      <c r="E8" s="2">
        <v>185.96380441599999</v>
      </c>
      <c r="F8" s="2">
        <v>3.3856761872812502</v>
      </c>
      <c r="G8" s="2">
        <v>35.003600927999997</v>
      </c>
      <c r="H8" s="2">
        <v>109.454388224</v>
      </c>
      <c r="I8" s="2">
        <v>-25.835194024</v>
      </c>
      <c r="J8" s="2">
        <v>6.4874459079999998</v>
      </c>
      <c r="K8" s="2">
        <v>182.54784972799999</v>
      </c>
      <c r="L8" s="2">
        <v>2.4671299892734373</v>
      </c>
      <c r="M8" s="2">
        <v>-54.761399648000001</v>
      </c>
      <c r="N8" s="2">
        <v>110.905824512</v>
      </c>
    </row>
    <row r="9" spans="2:14" ht="18" thickBot="1" x14ac:dyDescent="0.25">
      <c r="B9" s="1" t="s">
        <v>227</v>
      </c>
      <c r="C9" s="2">
        <v>32.904883002875003</v>
      </c>
      <c r="D9" s="2">
        <v>-20.123751545375001</v>
      </c>
      <c r="E9" s="2">
        <v>-1166.138655904</v>
      </c>
      <c r="F9" s="2">
        <v>-28.273629217468748</v>
      </c>
      <c r="G9" s="2">
        <v>-206.979192262</v>
      </c>
      <c r="H9" s="2">
        <v>-1388.6103258897499</v>
      </c>
      <c r="I9" s="2">
        <v>24.386223598031251</v>
      </c>
      <c r="J9" s="2">
        <v>-19.105603379624998</v>
      </c>
      <c r="K9" s="2">
        <v>-1157.3954881679999</v>
      </c>
      <c r="L9" s="2">
        <v>-27.915621949578124</v>
      </c>
      <c r="M9" s="2">
        <v>-207.53856060300001</v>
      </c>
      <c r="N9" s="2">
        <v>-1387.5690372515</v>
      </c>
    </row>
    <row r="10" spans="2:14" ht="18" thickBot="1" x14ac:dyDescent="0.25">
      <c r="B10" s="1" t="s">
        <v>233</v>
      </c>
      <c r="C10" s="2">
        <v>-188.73238841599999</v>
      </c>
      <c r="D10" s="2">
        <v>75.763714367999995</v>
      </c>
      <c r="E10" s="2">
        <v>-130.88652236799999</v>
      </c>
      <c r="F10" s="2">
        <v>-1.146000176</v>
      </c>
      <c r="G10" s="2">
        <v>100.912133904</v>
      </c>
      <c r="H10" s="2">
        <v>-144.08907468800001</v>
      </c>
      <c r="I10" s="2">
        <v>-62.725421504000003</v>
      </c>
      <c r="J10" s="2">
        <v>24.750098688000001</v>
      </c>
      <c r="K10" s="2">
        <v>-32.360306303999998</v>
      </c>
      <c r="L10" s="2">
        <v>-0.464869068</v>
      </c>
      <c r="M10" s="2">
        <v>28.673941888000002</v>
      </c>
      <c r="N10" s="2">
        <v>-42.126557120000001</v>
      </c>
    </row>
    <row r="11" spans="2:14" ht="18" thickBot="1" x14ac:dyDescent="0.25">
      <c r="B11" s="1" t="s">
        <v>228</v>
      </c>
      <c r="C11" s="2">
        <v>-829.23161196800004</v>
      </c>
      <c r="D11" s="2">
        <v>21.259799657999999</v>
      </c>
      <c r="E11" s="2">
        <v>-591.48698227199998</v>
      </c>
      <c r="F11" s="2">
        <v>24.089318260999999</v>
      </c>
      <c r="G11" s="2">
        <v>822.11446419200001</v>
      </c>
      <c r="H11" s="2">
        <v>-553.25502681600005</v>
      </c>
      <c r="I11" s="2">
        <v>-181.529924016</v>
      </c>
      <c r="J11" s="2">
        <v>4.0754063575000004</v>
      </c>
      <c r="K11" s="2">
        <v>-37.704940223999998</v>
      </c>
      <c r="L11" s="2">
        <v>6.5297294691249999</v>
      </c>
      <c r="M11" s="2">
        <v>209.128254336</v>
      </c>
      <c r="N11" s="2">
        <v>0.49850815199999998</v>
      </c>
    </row>
    <row r="12" spans="2:14" ht="18" thickBot="1" x14ac:dyDescent="0.25">
      <c r="B12" s="1" t="s">
        <v>232</v>
      </c>
      <c r="C12" s="2">
        <v>-210.29409480312501</v>
      </c>
      <c r="D12" s="2">
        <v>5.2934087583749996</v>
      </c>
      <c r="E12" s="2">
        <v>-237.58300063999999</v>
      </c>
      <c r="F12" s="2">
        <v>3.84912558575</v>
      </c>
      <c r="G12" s="2">
        <v>286.32973823200001</v>
      </c>
      <c r="H12" s="2">
        <v>-152.404826214</v>
      </c>
      <c r="I12" s="2">
        <v>-110.6340164595625</v>
      </c>
      <c r="J12" s="2">
        <v>17.469417685453124</v>
      </c>
      <c r="K12" s="2">
        <v>-98.627826303999996</v>
      </c>
      <c r="L12" s="2">
        <v>0.94163132926562498</v>
      </c>
      <c r="M12" s="2">
        <v>152.395614876</v>
      </c>
      <c r="N12" s="2">
        <v>-38.455179563999998</v>
      </c>
    </row>
    <row r="13" spans="2:14" ht="18" thickBot="1" x14ac:dyDescent="0.25">
      <c r="B13" s="1" t="s">
        <v>450</v>
      </c>
      <c r="C13" s="2">
        <v>-1354.94951165625</v>
      </c>
      <c r="D13" s="2">
        <v>74.3867379309375</v>
      </c>
      <c r="E13" s="2">
        <v>185.04591597974999</v>
      </c>
      <c r="F13" s="2">
        <v>26.57276844282422</v>
      </c>
      <c r="G13" s="2">
        <v>979.20447647774995</v>
      </c>
      <c r="H13" s="2">
        <v>-89.739587863750003</v>
      </c>
      <c r="I13" s="2">
        <v>2.2408968750000001E-5</v>
      </c>
      <c r="J13" s="2">
        <v>2.3039296875E-6</v>
      </c>
      <c r="K13" s="2">
        <v>2.6170000000000001E-6</v>
      </c>
      <c r="L13" s="2">
        <v>5.6475781249999999E-7</v>
      </c>
      <c r="M13" s="2">
        <v>-5.2013749999999998E-6</v>
      </c>
      <c r="N13" s="2">
        <v>-4.1195500000000002E-5</v>
      </c>
    </row>
  </sheetData>
  <mergeCells count="3">
    <mergeCell ref="B2:N2"/>
    <mergeCell ref="C3:H3"/>
    <mergeCell ref="I3:N3"/>
  </mergeCells>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tabColor rgb="FF00B050"/>
  </sheetPr>
  <dimension ref="B2:L13"/>
  <sheetViews>
    <sheetView workbookViewId="0">
      <selection activeCell="B4" sqref="B4"/>
    </sheetView>
  </sheetViews>
  <sheetFormatPr baseColWidth="10" defaultColWidth="8.83203125" defaultRowHeight="15" x14ac:dyDescent="0.2"/>
  <cols>
    <col min="2" max="2" width="26.1640625" customWidth="1"/>
    <col min="3" max="7" width="16.1640625" customWidth="1"/>
    <col min="8" max="8" width="14.83203125" customWidth="1"/>
    <col min="9" max="12" width="15.33203125" customWidth="1"/>
    <col min="13" max="16" width="10.83203125" customWidth="1"/>
  </cols>
  <sheetData>
    <row r="2" spans="2:12" ht="16" thickBot="1" x14ac:dyDescent="0.25"/>
    <row r="3" spans="2:12" ht="17" customHeight="1" thickBot="1" x14ac:dyDescent="0.25">
      <c r="B3" s="175" t="s">
        <v>709</v>
      </c>
      <c r="C3" s="176"/>
      <c r="D3" s="176"/>
      <c r="E3" s="176"/>
      <c r="F3" s="176"/>
      <c r="G3" s="176"/>
      <c r="H3" s="176"/>
      <c r="I3" s="176"/>
      <c r="J3" s="176"/>
      <c r="K3" s="176"/>
      <c r="L3" s="177"/>
    </row>
    <row r="4" spans="2:12" ht="52" thickBot="1" x14ac:dyDescent="0.25">
      <c r="B4" s="1" t="s">
        <v>462</v>
      </c>
      <c r="C4" s="1" t="s">
        <v>656</v>
      </c>
      <c r="D4" s="15" t="s">
        <v>657</v>
      </c>
      <c r="E4" s="1" t="s">
        <v>661</v>
      </c>
      <c r="F4" s="1" t="s">
        <v>658</v>
      </c>
      <c r="G4" s="15" t="s">
        <v>659</v>
      </c>
      <c r="H4" s="44" t="s">
        <v>662</v>
      </c>
      <c r="I4" s="15" t="s">
        <v>663</v>
      </c>
      <c r="J4" s="15" t="s">
        <v>664</v>
      </c>
      <c r="K4" s="15" t="s">
        <v>665</v>
      </c>
      <c r="L4" s="1" t="s">
        <v>666</v>
      </c>
    </row>
    <row r="5" spans="2:12" ht="18" thickBot="1" x14ac:dyDescent="0.25">
      <c r="B5" s="26" t="s">
        <v>230</v>
      </c>
      <c r="C5" s="2">
        <v>0</v>
      </c>
      <c r="D5" s="2">
        <v>21.65736198425293</v>
      </c>
      <c r="E5" s="2">
        <v>1876.620849609375</v>
      </c>
      <c r="F5" s="2">
        <v>9184.96484375</v>
      </c>
      <c r="G5" s="2">
        <v>10736.9013671875</v>
      </c>
      <c r="H5" s="37">
        <v>0</v>
      </c>
      <c r="I5" s="37">
        <v>2.3237744346261024E-2</v>
      </c>
      <c r="J5" s="37">
        <v>0.30194512009620667</v>
      </c>
      <c r="K5" s="37">
        <v>0.56580442190170288</v>
      </c>
      <c r="L5" s="37">
        <v>0.57262367010116577</v>
      </c>
    </row>
    <row r="6" spans="2:12" ht="18" thickBot="1" x14ac:dyDescent="0.25">
      <c r="B6" s="26" t="s">
        <v>226</v>
      </c>
      <c r="C6" s="2">
        <v>7.1272514760494232E-3</v>
      </c>
      <c r="D6" s="2">
        <v>122.91727447509766</v>
      </c>
      <c r="E6" s="2">
        <v>492.26773071289062</v>
      </c>
      <c r="F6" s="2">
        <v>4218.404296875</v>
      </c>
      <c r="G6" s="2">
        <v>7665.48779296875</v>
      </c>
      <c r="H6" s="37">
        <v>1.8664512783288956E-2</v>
      </c>
      <c r="I6" s="37">
        <v>4.9125123769044876E-2</v>
      </c>
      <c r="J6" s="37">
        <v>5.6538909673690796E-2</v>
      </c>
      <c r="K6" s="37">
        <v>0.30209815502166748</v>
      </c>
      <c r="L6" s="37">
        <v>0.38977977633476257</v>
      </c>
    </row>
    <row r="7" spans="2:12" ht="18" thickBot="1" x14ac:dyDescent="0.25">
      <c r="B7" s="26" t="s">
        <v>229</v>
      </c>
      <c r="C7" s="2">
        <v>-6.4793194178491831E-4</v>
      </c>
      <c r="D7" s="2">
        <v>-159.75718688964844</v>
      </c>
      <c r="E7" s="2">
        <v>-612.6546630859375</v>
      </c>
      <c r="F7" s="2">
        <v>-4013.328369140625</v>
      </c>
      <c r="G7" s="2">
        <v>-545.89300537109375</v>
      </c>
      <c r="H7" s="37">
        <v>-3.6382481455802917E-2</v>
      </c>
      <c r="I7" s="37">
        <v>-0.26598986983299255</v>
      </c>
      <c r="J7" s="37">
        <v>-0.26966428756713867</v>
      </c>
      <c r="K7" s="37">
        <v>-1.1281619071960449</v>
      </c>
      <c r="L7" s="37">
        <v>-9.6585936844348907E-2</v>
      </c>
    </row>
    <row r="8" spans="2:12" ht="18" thickBot="1" x14ac:dyDescent="0.25">
      <c r="B8" s="26" t="s">
        <v>231</v>
      </c>
      <c r="C8" s="2">
        <v>0</v>
      </c>
      <c r="D8" s="2">
        <v>108.43708801269531</v>
      </c>
      <c r="E8" s="2">
        <v>341.88162231445312</v>
      </c>
      <c r="F8" s="2">
        <v>2899.601318359375</v>
      </c>
      <c r="G8" s="2">
        <v>4178.81689453125</v>
      </c>
      <c r="H8" s="37">
        <v>0</v>
      </c>
      <c r="I8" s="37">
        <v>0.26179662346839905</v>
      </c>
      <c r="J8" s="37">
        <v>0.28561830520629883</v>
      </c>
      <c r="K8" s="37">
        <v>0.94500946998596191</v>
      </c>
      <c r="L8" s="37">
        <v>0.84126508235931396</v>
      </c>
    </row>
    <row r="9" spans="2:12" ht="18" thickBot="1" x14ac:dyDescent="0.25">
      <c r="B9" s="26" t="s">
        <v>227</v>
      </c>
      <c r="C9" s="2">
        <v>-5.1834555342793465E-3</v>
      </c>
      <c r="D9" s="2">
        <v>14.544766426086426</v>
      </c>
      <c r="E9" s="2">
        <v>-1746.0089111328125</v>
      </c>
      <c r="F9" s="2">
        <v>-11948.7177734375</v>
      </c>
      <c r="G9" s="2">
        <v>-21222.765625</v>
      </c>
      <c r="H9" s="37">
        <v>-0.19321912527084351</v>
      </c>
      <c r="I9" s="37">
        <v>7.3021980933845043E-3</v>
      </c>
      <c r="J9" s="37">
        <v>-0.16442617774009705</v>
      </c>
      <c r="K9" s="37">
        <v>-0.663582444190979</v>
      </c>
      <c r="L9" s="37">
        <v>-0.84865254163742065</v>
      </c>
    </row>
    <row r="10" spans="2:12" ht="18" thickBot="1" x14ac:dyDescent="0.25">
      <c r="B10" s="26" t="s">
        <v>233</v>
      </c>
      <c r="C10" s="2">
        <v>0</v>
      </c>
      <c r="D10" s="2">
        <v>-17.680469512939453</v>
      </c>
      <c r="E10" s="2">
        <v>39.958011627197266</v>
      </c>
      <c r="F10" s="2">
        <v>186.32090759277344</v>
      </c>
      <c r="G10" s="2">
        <v>579.8304443359375</v>
      </c>
      <c r="H10" s="37">
        <v>0</v>
      </c>
      <c r="I10" s="37">
        <v>-3.4179732203483582E-2</v>
      </c>
      <c r="J10" s="37">
        <v>0.11512936651706696</v>
      </c>
      <c r="K10" s="37">
        <v>0.11760666966438293</v>
      </c>
      <c r="L10" s="37">
        <v>0.21324287354946136</v>
      </c>
    </row>
    <row r="11" spans="2:12" ht="18" thickBot="1" x14ac:dyDescent="0.25">
      <c r="B11" s="26" t="s">
        <v>228</v>
      </c>
      <c r="C11" s="2">
        <v>-1.2958638835698366E-3</v>
      </c>
      <c r="D11" s="2">
        <v>-38.597362518310547</v>
      </c>
      <c r="E11" s="2">
        <v>-197.366455078125</v>
      </c>
      <c r="F11" s="2">
        <v>-59.728630065917969</v>
      </c>
      <c r="G11" s="2">
        <v>-800.7586669921875</v>
      </c>
      <c r="H11" s="37">
        <v>-6.3463835977017879E-3</v>
      </c>
      <c r="I11" s="37">
        <v>-0.13294927775859833</v>
      </c>
      <c r="J11" s="37">
        <v>-0.16088835895061493</v>
      </c>
      <c r="K11" s="37">
        <v>-1.1811680160462856E-2</v>
      </c>
      <c r="L11" s="37">
        <v>-0.11291715502738953</v>
      </c>
    </row>
    <row r="12" spans="2:12" ht="18" thickBot="1" x14ac:dyDescent="0.25">
      <c r="B12" s="26" t="s">
        <v>232</v>
      </c>
      <c r="C12" s="2">
        <v>0</v>
      </c>
      <c r="D12" s="2">
        <v>-51.521476745605469</v>
      </c>
      <c r="E12" s="2">
        <v>-194.69813537597656</v>
      </c>
      <c r="F12" s="2">
        <v>-467.5220947265625</v>
      </c>
      <c r="G12" s="2">
        <v>-591.61871337890625</v>
      </c>
      <c r="H12" s="37">
        <v>0</v>
      </c>
      <c r="I12" s="37">
        <v>-0.17019328474998474</v>
      </c>
      <c r="J12" s="37">
        <v>-0.47481560707092285</v>
      </c>
      <c r="K12" s="37">
        <v>-0.31401389837265015</v>
      </c>
      <c r="L12" s="37">
        <v>-0.27823552489280701</v>
      </c>
    </row>
    <row r="13" spans="2:12" ht="18" thickBot="1" x14ac:dyDescent="0.25">
      <c r="B13" s="28" t="s">
        <v>450</v>
      </c>
      <c r="C13" s="2">
        <v>9.3750000818015877E-11</v>
      </c>
      <c r="D13" s="2">
        <v>-2.573375013525947E-6</v>
      </c>
      <c r="E13" s="2">
        <v>2.0773999494849704E-5</v>
      </c>
      <c r="F13" s="2">
        <v>-5.6969081051647663E-3</v>
      </c>
      <c r="G13" s="2">
        <v>-3.8239199784584343E-4</v>
      </c>
      <c r="H13" s="37">
        <v>9.2435663290313386E-11</v>
      </c>
      <c r="I13" s="37">
        <v>-3.4079528088426514E-10</v>
      </c>
      <c r="J13" s="37">
        <v>6.7027244865514035E-10</v>
      </c>
      <c r="K13" s="37">
        <v>-9.0485798409645213E-8</v>
      </c>
      <c r="L13" s="37">
        <v>-4.4474348648293471E-9</v>
      </c>
    </row>
  </sheetData>
  <mergeCells count="1">
    <mergeCell ref="B3:L3"/>
  </mergeCells>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tabColor rgb="FF00B050"/>
  </sheetPr>
  <dimension ref="B2:L13"/>
  <sheetViews>
    <sheetView workbookViewId="0">
      <selection activeCell="L31" sqref="L31"/>
    </sheetView>
  </sheetViews>
  <sheetFormatPr baseColWidth="10" defaultColWidth="8.83203125" defaultRowHeight="15" x14ac:dyDescent="0.2"/>
  <cols>
    <col min="2" max="2" width="25.83203125" customWidth="1"/>
    <col min="3" max="12" width="14.83203125" customWidth="1"/>
  </cols>
  <sheetData>
    <row r="2" spans="2:12" ht="16" thickBot="1" x14ac:dyDescent="0.25"/>
    <row r="3" spans="2:12" ht="17" thickBot="1" x14ac:dyDescent="0.25">
      <c r="B3" s="175" t="s">
        <v>710</v>
      </c>
      <c r="C3" s="176"/>
      <c r="D3" s="176"/>
      <c r="E3" s="176"/>
      <c r="F3" s="176"/>
      <c r="G3" s="176"/>
      <c r="H3" s="176"/>
      <c r="I3" s="176"/>
      <c r="J3" s="176"/>
      <c r="K3" s="176"/>
      <c r="L3" s="177"/>
    </row>
    <row r="4" spans="2:12" ht="52" thickBot="1" x14ac:dyDescent="0.25">
      <c r="B4" s="1" t="s">
        <v>462</v>
      </c>
      <c r="C4" s="1" t="s">
        <v>656</v>
      </c>
      <c r="D4" s="15" t="s">
        <v>657</v>
      </c>
      <c r="E4" s="1" t="s">
        <v>661</v>
      </c>
      <c r="F4" s="1" t="s">
        <v>658</v>
      </c>
      <c r="G4" s="15" t="s">
        <v>659</v>
      </c>
      <c r="H4" s="44" t="s">
        <v>662</v>
      </c>
      <c r="I4" s="15" t="s">
        <v>663</v>
      </c>
      <c r="J4" s="15" t="s">
        <v>664</v>
      </c>
      <c r="K4" s="15" t="s">
        <v>665</v>
      </c>
      <c r="L4" s="1" t="s">
        <v>666</v>
      </c>
    </row>
    <row r="5" spans="2:12" ht="18" thickBot="1" x14ac:dyDescent="0.25">
      <c r="B5" s="26" t="s">
        <v>230</v>
      </c>
      <c r="C5" s="2">
        <v>0</v>
      </c>
      <c r="D5" s="2">
        <v>30.863674163818359</v>
      </c>
      <c r="E5" s="2">
        <v>1733.2706298828125</v>
      </c>
      <c r="F5" s="2">
        <v>10491.03125</v>
      </c>
      <c r="G5" s="2">
        <v>12654.9033203125</v>
      </c>
      <c r="H5" s="37">
        <v>0</v>
      </c>
      <c r="I5" s="37">
        <v>2.3237744346261024E-2</v>
      </c>
      <c r="J5" s="37">
        <v>0.30194512009620667</v>
      </c>
      <c r="K5" s="37">
        <v>0.56580442190170288</v>
      </c>
      <c r="L5" s="37">
        <v>0.57262367010116577</v>
      </c>
    </row>
    <row r="6" spans="2:12" ht="18" thickBot="1" x14ac:dyDescent="0.25">
      <c r="B6" s="26" t="s">
        <v>226</v>
      </c>
      <c r="C6" s="2">
        <v>0.10999999940395355</v>
      </c>
      <c r="D6" s="2">
        <v>175.1680908203125</v>
      </c>
      <c r="E6" s="2">
        <v>454.66464233398438</v>
      </c>
      <c r="F6" s="2">
        <v>4818.25146484375</v>
      </c>
      <c r="G6" s="2">
        <v>9034.82421875</v>
      </c>
      <c r="H6" s="37">
        <v>1.8664512783288956E-2</v>
      </c>
      <c r="I6" s="37">
        <v>4.9125127494335175E-2</v>
      </c>
      <c r="J6" s="37">
        <v>5.6538909673690796E-2</v>
      </c>
      <c r="K6" s="37">
        <v>0.30209878087043762</v>
      </c>
      <c r="L6" s="37">
        <v>0.38977977633476257</v>
      </c>
    </row>
    <row r="7" spans="2:12" ht="18" thickBot="1" x14ac:dyDescent="0.25">
      <c r="B7" s="26" t="s">
        <v>229</v>
      </c>
      <c r="C7" s="2">
        <v>-9.9999997764825821E-3</v>
      </c>
      <c r="D7" s="2">
        <v>-227.66824340820312</v>
      </c>
      <c r="E7" s="2">
        <v>-565.85552978515625</v>
      </c>
      <c r="F7" s="2">
        <v>-4584.00830078125</v>
      </c>
      <c r="G7" s="2">
        <v>-643.40936279296875</v>
      </c>
      <c r="H7" s="37">
        <v>-3.6382481455802917E-2</v>
      </c>
      <c r="I7" s="37">
        <v>-0.26598986983299255</v>
      </c>
      <c r="J7" s="37">
        <v>-0.26966431736946106</v>
      </c>
      <c r="K7" s="37">
        <v>-1.1281619071960449</v>
      </c>
      <c r="L7" s="37">
        <v>-9.6585921943187714E-2</v>
      </c>
    </row>
    <row r="8" spans="2:12" ht="18" thickBot="1" x14ac:dyDescent="0.25">
      <c r="B8" s="26" t="s">
        <v>231</v>
      </c>
      <c r="C8" s="2">
        <v>0</v>
      </c>
      <c r="D8" s="2">
        <v>154.53251647949219</v>
      </c>
      <c r="E8" s="2">
        <v>315.76614379882812</v>
      </c>
      <c r="F8" s="2">
        <v>3311.913330078125</v>
      </c>
      <c r="G8" s="2">
        <v>4925.30615234375</v>
      </c>
      <c r="H8" s="37">
        <v>0</v>
      </c>
      <c r="I8" s="37">
        <v>0.26179662346839905</v>
      </c>
      <c r="J8" s="37">
        <v>0.28561830520629883</v>
      </c>
      <c r="K8" s="37">
        <v>0.94500935077667236</v>
      </c>
      <c r="L8" s="37">
        <v>0.84126514196395874</v>
      </c>
    </row>
    <row r="9" spans="2:12" ht="18" thickBot="1" x14ac:dyDescent="0.25">
      <c r="B9" s="26" t="s">
        <v>227</v>
      </c>
      <c r="C9" s="2">
        <v>-7.9999998211860657E-2</v>
      </c>
      <c r="D9" s="2">
        <v>20.727602005004883</v>
      </c>
      <c r="E9" s="2">
        <v>-1612.6358642578125</v>
      </c>
      <c r="F9" s="2">
        <v>-13647.779296875</v>
      </c>
      <c r="G9" s="2">
        <v>-25013.927734375</v>
      </c>
      <c r="H9" s="37">
        <v>-0.19321912527084351</v>
      </c>
      <c r="I9" s="37">
        <v>7.3022022843360901E-3</v>
      </c>
      <c r="J9" s="37">
        <v>-0.16442619264125824</v>
      </c>
      <c r="K9" s="37">
        <v>-0.663582444190979</v>
      </c>
      <c r="L9" s="37">
        <v>-0.84865254163742065</v>
      </c>
    </row>
    <row r="10" spans="2:12" ht="18" thickBot="1" x14ac:dyDescent="0.25">
      <c r="B10" s="26" t="s">
        <v>233</v>
      </c>
      <c r="C10" s="2">
        <v>0</v>
      </c>
      <c r="D10" s="2">
        <v>-25.196245193481445</v>
      </c>
      <c r="E10" s="2">
        <v>36.905723571777344</v>
      </c>
      <c r="F10" s="2">
        <v>212.81500244140625</v>
      </c>
      <c r="G10" s="2">
        <v>683.40936279296875</v>
      </c>
      <c r="H10" s="37">
        <v>0</v>
      </c>
      <c r="I10" s="37">
        <v>-3.4179732203483582E-2</v>
      </c>
      <c r="J10" s="37">
        <v>0.11512937396764755</v>
      </c>
      <c r="K10" s="37">
        <v>0.11760666221380234</v>
      </c>
      <c r="L10" s="37">
        <v>0.21324288845062256</v>
      </c>
    </row>
    <row r="11" spans="2:12" ht="18" thickBot="1" x14ac:dyDescent="0.25">
      <c r="B11" s="26" t="s">
        <v>228</v>
      </c>
      <c r="C11" s="2">
        <v>-1.9999999552965164E-2</v>
      </c>
      <c r="D11" s="2">
        <v>-55.004688262939453</v>
      </c>
      <c r="E11" s="2">
        <v>-182.29013061523438</v>
      </c>
      <c r="F11" s="2">
        <v>-68.221817016601562</v>
      </c>
      <c r="G11" s="2">
        <v>-943.803466796875</v>
      </c>
      <c r="H11" s="37">
        <v>-6.3463835977017879E-3</v>
      </c>
      <c r="I11" s="37">
        <v>-0.13294927775859833</v>
      </c>
      <c r="J11" s="37">
        <v>-0.16088835895061493</v>
      </c>
      <c r="K11" s="37">
        <v>-1.1811682023108006E-2</v>
      </c>
      <c r="L11" s="37">
        <v>-0.11291715502738953</v>
      </c>
    </row>
    <row r="12" spans="2:12" ht="18" thickBot="1" x14ac:dyDescent="0.25">
      <c r="B12" s="26" t="s">
        <v>232</v>
      </c>
      <c r="C12" s="2">
        <v>0</v>
      </c>
      <c r="D12" s="2">
        <v>-73.422698974609375</v>
      </c>
      <c r="E12" s="2">
        <v>-179.82563781738281</v>
      </c>
      <c r="F12" s="2">
        <v>-534.00189208984375</v>
      </c>
      <c r="G12" s="2">
        <v>-697.30340576171875</v>
      </c>
      <c r="H12" s="37">
        <v>0</v>
      </c>
      <c r="I12" s="37">
        <v>-0.17019328474998474</v>
      </c>
      <c r="J12" s="37">
        <v>-0.47481560707092285</v>
      </c>
      <c r="K12" s="37">
        <v>-0.31401389837265015</v>
      </c>
      <c r="L12" s="37">
        <v>-0.27823552489280701</v>
      </c>
    </row>
    <row r="13" spans="2:12" ht="18" thickBot="1" x14ac:dyDescent="0.25">
      <c r="B13" s="28" t="s">
        <v>450</v>
      </c>
      <c r="C13" s="2">
        <v>0</v>
      </c>
      <c r="D13" s="2">
        <v>1.1118156180600636E-5</v>
      </c>
      <c r="E13" s="2">
        <v>-2.6951000108965673E-5</v>
      </c>
      <c r="F13" s="2">
        <v>2.9878687928430736E-4</v>
      </c>
      <c r="G13" s="2">
        <v>-1.7365999519824982E-4</v>
      </c>
      <c r="H13" s="37">
        <v>0</v>
      </c>
      <c r="I13" s="37">
        <v>1.0331924205075893E-9</v>
      </c>
      <c r="J13" s="37">
        <v>-9.4149121832032279E-10</v>
      </c>
      <c r="K13" s="37">
        <v>4.1549150786579503E-9</v>
      </c>
      <c r="L13" s="37">
        <v>-1.7136444485643665E-9</v>
      </c>
    </row>
  </sheetData>
  <mergeCells count="1">
    <mergeCell ref="B3:L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54</vt:i4>
      </vt:variant>
    </vt:vector>
  </HeadingPairs>
  <TitlesOfParts>
    <vt:vector size="54" baseType="lpstr">
      <vt:lpstr>ReadMe</vt:lpstr>
      <vt:lpstr>F0a</vt:lpstr>
      <vt:lpstr>F0b</vt:lpstr>
      <vt:lpstr>T1</vt:lpstr>
      <vt:lpstr>T2</vt:lpstr>
      <vt:lpstr>T2a</vt:lpstr>
      <vt:lpstr>T3</vt:lpstr>
      <vt:lpstr>T3a</vt:lpstr>
      <vt:lpstr>T4a</vt:lpstr>
      <vt:lpstr>T4b</vt:lpstr>
      <vt:lpstr>T4c</vt:lpstr>
      <vt:lpstr>T4d</vt:lpstr>
      <vt:lpstr>T5</vt:lpstr>
      <vt:lpstr>T6</vt:lpstr>
      <vt:lpstr>T7a</vt:lpstr>
      <vt:lpstr>T7b</vt:lpstr>
      <vt:lpstr>T7c</vt:lpstr>
      <vt:lpstr>T7d</vt:lpstr>
      <vt:lpstr>T8</vt:lpstr>
      <vt:lpstr>T9a</vt:lpstr>
      <vt:lpstr>T9b</vt:lpstr>
      <vt:lpstr>T10</vt:lpstr>
      <vt:lpstr>T11</vt:lpstr>
      <vt:lpstr>T12a</vt:lpstr>
      <vt:lpstr>T12b</vt:lpstr>
      <vt:lpstr>T13a</vt:lpstr>
      <vt:lpstr>T13b</vt:lpstr>
      <vt:lpstr>Appendix1</vt:lpstr>
      <vt:lpstr>DataF0a</vt:lpstr>
      <vt:lpstr>DataF1</vt:lpstr>
      <vt:lpstr>DataT1</vt:lpstr>
      <vt:lpstr>DataT2</vt:lpstr>
      <vt:lpstr>DataT2a</vt:lpstr>
      <vt:lpstr>DataT3</vt:lpstr>
      <vt:lpstr>DataT3a</vt:lpstr>
      <vt:lpstr>DataT3c</vt:lpstr>
      <vt:lpstr>DataT4a</vt:lpstr>
      <vt:lpstr>DataT4b</vt:lpstr>
      <vt:lpstr>DataT4c</vt:lpstr>
      <vt:lpstr>DataT4d</vt:lpstr>
      <vt:lpstr>Data5</vt:lpstr>
      <vt:lpstr>Data6</vt:lpstr>
      <vt:lpstr>DataT7a</vt:lpstr>
      <vt:lpstr>DataT7b</vt:lpstr>
      <vt:lpstr>DataT7c</vt:lpstr>
      <vt:lpstr>DataT7d</vt:lpstr>
      <vt:lpstr>DataT8</vt:lpstr>
      <vt:lpstr>DataT9</vt:lpstr>
      <vt:lpstr>DataT10</vt:lpstr>
      <vt:lpstr>DataT11</vt:lpstr>
      <vt:lpstr>DataT12a</vt:lpstr>
      <vt:lpstr>DataT12b</vt:lpstr>
      <vt:lpstr>DataT13a</vt:lpstr>
      <vt:lpstr>DataT13b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Manuel Esteban Arias</cp:lastModifiedBy>
  <dcterms:modified xsi:type="dcterms:W3CDTF">2026-07-09T16:53:06Z</dcterms:modified>
</cp:coreProperties>
</file>