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manuelestebanarias/Documents/GitHub/technicalnote_wid_update/"/>
    </mc:Choice>
  </mc:AlternateContent>
  <xr:revisionPtr revIDLastSave="0" documentId="13_ncr:1_{F06EF253-F4C2-484B-A168-5C83F952EB16}" xr6:coauthVersionLast="47" xr6:coauthVersionMax="47" xr10:uidLastSave="{00000000-0000-0000-0000-000000000000}"/>
  <bookViews>
    <workbookView xWindow="0" yWindow="680" windowWidth="27040" windowHeight="16880" activeTab="6" xr2:uid="{00000000-000D-0000-FFFF-FFFF00000000}"/>
  </bookViews>
  <sheets>
    <sheet name="ReadMe" sheetId="26" r:id="rId1"/>
    <sheet name="F0a" sheetId="50" r:id="rId2"/>
    <sheet name="F0b" sheetId="49" r:id="rId3"/>
    <sheet name="T1" sheetId="45" r:id="rId4"/>
    <sheet name="T1a" sheetId="44" r:id="rId5"/>
    <sheet name="T2" sheetId="70" r:id="rId6"/>
    <sheet name="T3" sheetId="46" r:id="rId7"/>
    <sheet name="T4" sheetId="48" r:id="rId8"/>
    <sheet name="T4a" sheetId="47" r:id="rId9"/>
    <sheet name="T5a" sheetId="36" r:id="rId10"/>
    <sheet name="T5b" sheetId="40" r:id="rId11"/>
    <sheet name="T5c" sheetId="41" r:id="rId12"/>
    <sheet name="T5d" sheetId="42" r:id="rId13"/>
    <sheet name="T6" sheetId="37" r:id="rId14"/>
    <sheet name="T7" sheetId="39" r:id="rId15"/>
    <sheet name="T8a" sheetId="35" r:id="rId16"/>
    <sheet name="T8b" sheetId="31" r:id="rId17"/>
    <sheet name="T8c" sheetId="32" r:id="rId18"/>
    <sheet name="T8d" sheetId="33" r:id="rId19"/>
    <sheet name="T9" sheetId="34" r:id="rId20"/>
    <sheet name="T10a" sheetId="29" r:id="rId21"/>
    <sheet name="T10b" sheetId="30" r:id="rId22"/>
    <sheet name="T11" sheetId="28" r:id="rId23"/>
    <sheet name="T12" sheetId="27" r:id="rId24"/>
    <sheet name="T13a" sheetId="55" r:id="rId25"/>
    <sheet name="T13b" sheetId="56" r:id="rId26"/>
    <sheet name="T13c" sheetId="63" r:id="rId27"/>
    <sheet name="T13d" sheetId="64" r:id="rId28"/>
    <sheet name="T14a" sheetId="68" r:id="rId29"/>
    <sheet name="T14b" sheetId="67" r:id="rId30"/>
    <sheet name="T14c" sheetId="59" r:id="rId31"/>
    <sheet name="T14d" sheetId="60" r:id="rId32"/>
    <sheet name="T15a" sheetId="78" r:id="rId33"/>
    <sheet name="T15b" sheetId="77" r:id="rId34"/>
    <sheet name="T15c" sheetId="76" r:id="rId35"/>
    <sheet name="T15d" sheetId="75" r:id="rId36"/>
    <sheet name="T16a" sheetId="86" r:id="rId37"/>
    <sheet name="T16b" sheetId="85" r:id="rId38"/>
    <sheet name="T16c" sheetId="84" r:id="rId39"/>
    <sheet name="T16d" sheetId="83" r:id="rId40"/>
    <sheet name="Appendix1" sheetId="1" r:id="rId41"/>
    <sheet name="DataF0a" sheetId="2" r:id="rId42"/>
    <sheet name="DataF1" sheetId="3" r:id="rId43"/>
    <sheet name="DataT1" sheetId="7" r:id="rId44"/>
    <sheet name="DataT1a" sheetId="25" r:id="rId45"/>
    <sheet name="DataT2" sheetId="69" r:id="rId46"/>
    <sheet name="DataT3" sheetId="5" r:id="rId47"/>
    <sheet name="DataT4-" sheetId="4" r:id="rId48"/>
    <sheet name="DataT4a" sheetId="6" r:id="rId49"/>
    <sheet name="DataT3c" sheetId="9" r:id="rId50"/>
    <sheet name="DataT5a" sheetId="10" r:id="rId51"/>
    <sheet name="DataT5b" sheetId="11" r:id="rId52"/>
    <sheet name="DataT5c" sheetId="12" r:id="rId53"/>
    <sheet name="DataT5d" sheetId="13" r:id="rId54"/>
    <sheet name="DataT6" sheetId="14" r:id="rId55"/>
    <sheet name="DataT7" sheetId="16" r:id="rId56"/>
    <sheet name="DataT8a" sheetId="17" r:id="rId57"/>
    <sheet name="DataT8b" sheetId="18" r:id="rId58"/>
    <sheet name="DataT8c" sheetId="19" r:id="rId59"/>
    <sheet name="DataT8d" sheetId="20" r:id="rId60"/>
    <sheet name="DataT9" sheetId="21" r:id="rId61"/>
    <sheet name="DataT10" sheetId="22" r:id="rId62"/>
    <sheet name="DataT11" sheetId="23" r:id="rId63"/>
    <sheet name="DataT12" sheetId="24" r:id="rId64"/>
    <sheet name="DataT13a" sheetId="52" r:id="rId65"/>
    <sheet name="DataT13b" sheetId="51" r:id="rId66"/>
    <sheet name="DataT13c" sheetId="61" r:id="rId67"/>
    <sheet name="DataT13d" sheetId="62" r:id="rId68"/>
    <sheet name="DataT14a" sheetId="65" r:id="rId69"/>
    <sheet name="DataT14b" sheetId="66" r:id="rId70"/>
    <sheet name="DataT14c" sheetId="53" r:id="rId71"/>
    <sheet name="DataT14d" sheetId="54" r:id="rId72"/>
    <sheet name="DataT15a" sheetId="71" r:id="rId73"/>
    <sheet name="DataT15b" sheetId="72" r:id="rId74"/>
    <sheet name="DataT15c" sheetId="73" r:id="rId75"/>
    <sheet name="DataT15d" sheetId="74" r:id="rId76"/>
    <sheet name="DataT16a" sheetId="79" r:id="rId77"/>
    <sheet name="DataT16b" sheetId="80" r:id="rId78"/>
    <sheet name="DataT16c" sheetId="81" r:id="rId79"/>
    <sheet name="DataT16d" sheetId="82" r:id="rId80"/>
    <sheet name="Sheet5" sheetId="87" r:id="rId8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 i="48" l="1"/>
  <c r="K5" i="47" l="1"/>
  <c r="K6" i="47"/>
  <c r="K7" i="47"/>
  <c r="K8" i="47"/>
  <c r="K9" i="47"/>
  <c r="K10" i="47"/>
  <c r="K11" i="47"/>
  <c r="K12" i="47"/>
  <c r="K4" i="47"/>
  <c r="K6" i="78"/>
  <c r="K7" i="78"/>
  <c r="K8" i="78"/>
  <c r="K9" i="78"/>
  <c r="K10" i="78"/>
  <c r="K11" i="78"/>
  <c r="K12" i="78"/>
  <c r="K5" i="78"/>
  <c r="K10" i="44"/>
  <c r="B40" i="26"/>
  <c r="B2" i="86"/>
  <c r="B2" i="83"/>
  <c r="C2" i="83"/>
  <c r="D2" i="83"/>
  <c r="E2" i="83"/>
  <c r="F2" i="83"/>
  <c r="G2" i="83"/>
  <c r="H2" i="83"/>
  <c r="I2" i="83"/>
  <c r="J2" i="83"/>
  <c r="K2" i="83"/>
  <c r="L2" i="83"/>
  <c r="B3" i="83"/>
  <c r="C3" i="83"/>
  <c r="D3" i="83"/>
  <c r="E3" i="83"/>
  <c r="F3" i="83"/>
  <c r="G3" i="83"/>
  <c r="H3" i="83"/>
  <c r="I3" i="83"/>
  <c r="J3" i="83"/>
  <c r="K3" i="83"/>
  <c r="L3" i="83"/>
  <c r="A4" i="83"/>
  <c r="B4" i="83"/>
  <c r="C4" i="83"/>
  <c r="D4" i="83"/>
  <c r="E4" i="83"/>
  <c r="F4" i="83"/>
  <c r="G4" i="83"/>
  <c r="H4" i="83"/>
  <c r="I4" i="83"/>
  <c r="J4" i="83"/>
  <c r="K4" i="83"/>
  <c r="L4" i="83"/>
  <c r="A5" i="83"/>
  <c r="B5" i="83"/>
  <c r="C5" i="83"/>
  <c r="D5" i="83"/>
  <c r="E5" i="83"/>
  <c r="F5" i="83"/>
  <c r="G5" i="83"/>
  <c r="H5" i="83"/>
  <c r="I5" i="83"/>
  <c r="J5" i="83"/>
  <c r="K5" i="83"/>
  <c r="L5" i="83"/>
  <c r="A6" i="83"/>
  <c r="B6" i="83"/>
  <c r="C6" i="83"/>
  <c r="D6" i="83"/>
  <c r="E6" i="83"/>
  <c r="F6" i="83"/>
  <c r="G6" i="83"/>
  <c r="H6" i="83"/>
  <c r="I6" i="83"/>
  <c r="J6" i="83"/>
  <c r="K6" i="83"/>
  <c r="L6" i="83"/>
  <c r="A7" i="83"/>
  <c r="B7" i="83"/>
  <c r="C7" i="83"/>
  <c r="D7" i="83"/>
  <c r="E7" i="83"/>
  <c r="F7" i="83"/>
  <c r="G7" i="83"/>
  <c r="H7" i="83"/>
  <c r="I7" i="83"/>
  <c r="J7" i="83"/>
  <c r="K7" i="83"/>
  <c r="L7" i="83"/>
  <c r="A8" i="83"/>
  <c r="B8" i="83"/>
  <c r="C8" i="83"/>
  <c r="D8" i="83"/>
  <c r="E8" i="83"/>
  <c r="F8" i="83"/>
  <c r="G8" i="83"/>
  <c r="H8" i="83"/>
  <c r="I8" i="83"/>
  <c r="J8" i="83"/>
  <c r="K8" i="83"/>
  <c r="L8" i="83"/>
  <c r="A9" i="83"/>
  <c r="B9" i="83"/>
  <c r="C9" i="83"/>
  <c r="D9" i="83"/>
  <c r="E9" i="83"/>
  <c r="F9" i="83"/>
  <c r="G9" i="83"/>
  <c r="H9" i="83"/>
  <c r="I9" i="83"/>
  <c r="J9" i="83"/>
  <c r="K9" i="83"/>
  <c r="L9" i="83"/>
  <c r="A10" i="83"/>
  <c r="B10" i="83"/>
  <c r="C10" i="83"/>
  <c r="D10" i="83"/>
  <c r="E10" i="83"/>
  <c r="F10" i="83"/>
  <c r="G10" i="83"/>
  <c r="H10" i="83"/>
  <c r="I10" i="83"/>
  <c r="J10" i="83"/>
  <c r="K10" i="83"/>
  <c r="L10" i="83"/>
  <c r="A11" i="83"/>
  <c r="B11" i="83"/>
  <c r="C11" i="83"/>
  <c r="D11" i="83"/>
  <c r="E11" i="83"/>
  <c r="F11" i="83"/>
  <c r="G11" i="83"/>
  <c r="H11" i="83"/>
  <c r="I11" i="83"/>
  <c r="J11" i="83"/>
  <c r="K11" i="83"/>
  <c r="L11" i="83"/>
  <c r="A12" i="83"/>
  <c r="B12" i="83"/>
  <c r="C12" i="83"/>
  <c r="D12" i="83"/>
  <c r="E12" i="83"/>
  <c r="F12" i="83"/>
  <c r="G12" i="83"/>
  <c r="H12" i="83"/>
  <c r="I12" i="83"/>
  <c r="J12" i="83"/>
  <c r="K12" i="83"/>
  <c r="L12" i="83"/>
  <c r="B1" i="83"/>
  <c r="C1" i="83"/>
  <c r="D1" i="83"/>
  <c r="E1" i="83"/>
  <c r="F1" i="83"/>
  <c r="G1" i="83"/>
  <c r="H1" i="83"/>
  <c r="I1" i="83"/>
  <c r="J1" i="83"/>
  <c r="K1" i="83"/>
  <c r="L1" i="83"/>
  <c r="A1" i="83"/>
  <c r="B43" i="26" s="1"/>
  <c r="B2" i="84"/>
  <c r="C2" i="84"/>
  <c r="D2" i="84"/>
  <c r="E2" i="84"/>
  <c r="F2" i="84"/>
  <c r="G2" i="84"/>
  <c r="H2" i="84"/>
  <c r="I2" i="84"/>
  <c r="J2" i="84"/>
  <c r="K2" i="84"/>
  <c r="L2" i="84"/>
  <c r="B3" i="84"/>
  <c r="C3" i="84"/>
  <c r="D3" i="84"/>
  <c r="E3" i="84"/>
  <c r="F3" i="84"/>
  <c r="G3" i="84"/>
  <c r="H3" i="84"/>
  <c r="I3" i="84"/>
  <c r="J3" i="84"/>
  <c r="K3" i="84"/>
  <c r="L3" i="84"/>
  <c r="A4" i="84"/>
  <c r="B4" i="84"/>
  <c r="C4" i="84"/>
  <c r="D4" i="84"/>
  <c r="E4" i="84"/>
  <c r="F4" i="84"/>
  <c r="G4" i="84"/>
  <c r="H4" i="84"/>
  <c r="I4" i="84"/>
  <c r="J4" i="84"/>
  <c r="K4" i="84"/>
  <c r="L4" i="84"/>
  <c r="A5" i="84"/>
  <c r="B5" i="84"/>
  <c r="C5" i="84"/>
  <c r="D5" i="84"/>
  <c r="E5" i="84"/>
  <c r="F5" i="84"/>
  <c r="G5" i="84"/>
  <c r="H5" i="84"/>
  <c r="I5" i="84"/>
  <c r="J5" i="84"/>
  <c r="K5" i="84"/>
  <c r="L5" i="84"/>
  <c r="A6" i="84"/>
  <c r="B6" i="84"/>
  <c r="C6" i="84"/>
  <c r="D6" i="84"/>
  <c r="E6" i="84"/>
  <c r="F6" i="84"/>
  <c r="G6" i="84"/>
  <c r="H6" i="84"/>
  <c r="I6" i="84"/>
  <c r="J6" i="84"/>
  <c r="K6" i="84"/>
  <c r="L6" i="84"/>
  <c r="A7" i="84"/>
  <c r="B7" i="84"/>
  <c r="C7" i="84"/>
  <c r="D7" i="84"/>
  <c r="E7" i="84"/>
  <c r="F7" i="84"/>
  <c r="G7" i="84"/>
  <c r="H7" i="84"/>
  <c r="I7" i="84"/>
  <c r="J7" i="84"/>
  <c r="K7" i="84"/>
  <c r="L7" i="84"/>
  <c r="A8" i="84"/>
  <c r="B8" i="84"/>
  <c r="C8" i="84"/>
  <c r="D8" i="84"/>
  <c r="E8" i="84"/>
  <c r="F8" i="84"/>
  <c r="G8" i="84"/>
  <c r="H8" i="84"/>
  <c r="I8" i="84"/>
  <c r="J8" i="84"/>
  <c r="K8" i="84"/>
  <c r="L8" i="84"/>
  <c r="A9" i="84"/>
  <c r="B9" i="84"/>
  <c r="C9" i="84"/>
  <c r="D9" i="84"/>
  <c r="E9" i="84"/>
  <c r="F9" i="84"/>
  <c r="G9" i="84"/>
  <c r="H9" i="84"/>
  <c r="I9" i="84"/>
  <c r="J9" i="84"/>
  <c r="K9" i="84"/>
  <c r="L9" i="84"/>
  <c r="A10" i="84"/>
  <c r="B10" i="84"/>
  <c r="C10" i="84"/>
  <c r="D10" i="84"/>
  <c r="E10" i="84"/>
  <c r="F10" i="84"/>
  <c r="G10" i="84"/>
  <c r="H10" i="84"/>
  <c r="I10" i="84"/>
  <c r="J10" i="84"/>
  <c r="K10" i="84"/>
  <c r="L10" i="84"/>
  <c r="A11" i="84"/>
  <c r="B11" i="84"/>
  <c r="C11" i="84"/>
  <c r="D11" i="84"/>
  <c r="E11" i="84"/>
  <c r="F11" i="84"/>
  <c r="G11" i="84"/>
  <c r="H11" i="84"/>
  <c r="I11" i="84"/>
  <c r="J11" i="84"/>
  <c r="K11" i="84"/>
  <c r="L11" i="84"/>
  <c r="A12" i="84"/>
  <c r="B12" i="84"/>
  <c r="C12" i="84"/>
  <c r="D12" i="84"/>
  <c r="E12" i="84"/>
  <c r="F12" i="84"/>
  <c r="G12" i="84"/>
  <c r="H12" i="84"/>
  <c r="I12" i="84"/>
  <c r="J12" i="84"/>
  <c r="K12" i="84"/>
  <c r="L12" i="84"/>
  <c r="B1" i="84"/>
  <c r="C1" i="84"/>
  <c r="D1" i="84"/>
  <c r="E1" i="84"/>
  <c r="F1" i="84"/>
  <c r="G1" i="84"/>
  <c r="H1" i="84"/>
  <c r="I1" i="84"/>
  <c r="J1" i="84"/>
  <c r="K1" i="84"/>
  <c r="L1" i="84"/>
  <c r="A1" i="84"/>
  <c r="B42" i="26" s="1"/>
  <c r="B2" i="85"/>
  <c r="C2" i="85"/>
  <c r="D2" i="85"/>
  <c r="E2" i="85"/>
  <c r="F2" i="85"/>
  <c r="G2" i="85"/>
  <c r="H2" i="85"/>
  <c r="I2" i="85"/>
  <c r="J2" i="85"/>
  <c r="K2" i="85"/>
  <c r="L2" i="85"/>
  <c r="B3" i="85"/>
  <c r="C3" i="85"/>
  <c r="D3" i="85"/>
  <c r="E3" i="85"/>
  <c r="F3" i="85"/>
  <c r="G3" i="85"/>
  <c r="H3" i="85"/>
  <c r="I3" i="85"/>
  <c r="J3" i="85"/>
  <c r="K3" i="85"/>
  <c r="L3" i="85"/>
  <c r="A4" i="85"/>
  <c r="B4" i="85"/>
  <c r="C4" i="85"/>
  <c r="D4" i="85"/>
  <c r="E4" i="85"/>
  <c r="F4" i="85"/>
  <c r="G4" i="85"/>
  <c r="H4" i="85"/>
  <c r="I4" i="85"/>
  <c r="J4" i="85"/>
  <c r="K4" i="85"/>
  <c r="L4" i="85"/>
  <c r="A5" i="85"/>
  <c r="B5" i="85"/>
  <c r="C5" i="85"/>
  <c r="D5" i="85"/>
  <c r="E5" i="85"/>
  <c r="F5" i="85"/>
  <c r="G5" i="85"/>
  <c r="H5" i="85"/>
  <c r="I5" i="85"/>
  <c r="J5" i="85"/>
  <c r="K5" i="85"/>
  <c r="L5" i="85"/>
  <c r="A6" i="85"/>
  <c r="B6" i="85"/>
  <c r="C6" i="85"/>
  <c r="D6" i="85"/>
  <c r="E6" i="85"/>
  <c r="F6" i="85"/>
  <c r="G6" i="85"/>
  <c r="H6" i="85"/>
  <c r="I6" i="85"/>
  <c r="J6" i="85"/>
  <c r="K6" i="85"/>
  <c r="L6" i="85"/>
  <c r="A7" i="85"/>
  <c r="B7" i="85"/>
  <c r="C7" i="85"/>
  <c r="D7" i="85"/>
  <c r="E7" i="85"/>
  <c r="F7" i="85"/>
  <c r="G7" i="85"/>
  <c r="H7" i="85"/>
  <c r="I7" i="85"/>
  <c r="J7" i="85"/>
  <c r="K7" i="85"/>
  <c r="L7" i="85"/>
  <c r="A8" i="85"/>
  <c r="B8" i="85"/>
  <c r="C8" i="85"/>
  <c r="D8" i="85"/>
  <c r="E8" i="85"/>
  <c r="F8" i="85"/>
  <c r="G8" i="85"/>
  <c r="H8" i="85"/>
  <c r="I8" i="85"/>
  <c r="J8" i="85"/>
  <c r="K8" i="85"/>
  <c r="L8" i="85"/>
  <c r="A9" i="85"/>
  <c r="B9" i="85"/>
  <c r="C9" i="85"/>
  <c r="D9" i="85"/>
  <c r="E9" i="85"/>
  <c r="F9" i="85"/>
  <c r="G9" i="85"/>
  <c r="H9" i="85"/>
  <c r="I9" i="85"/>
  <c r="J9" i="85"/>
  <c r="K9" i="85"/>
  <c r="L9" i="85"/>
  <c r="A10" i="85"/>
  <c r="B10" i="85"/>
  <c r="C10" i="85"/>
  <c r="D10" i="85"/>
  <c r="E10" i="85"/>
  <c r="F10" i="85"/>
  <c r="G10" i="85"/>
  <c r="H10" i="85"/>
  <c r="I10" i="85"/>
  <c r="J10" i="85"/>
  <c r="K10" i="85"/>
  <c r="L10" i="85"/>
  <c r="A11" i="85"/>
  <c r="B11" i="85"/>
  <c r="C11" i="85"/>
  <c r="D11" i="85"/>
  <c r="E11" i="85"/>
  <c r="F11" i="85"/>
  <c r="G11" i="85"/>
  <c r="H11" i="85"/>
  <c r="I11" i="85"/>
  <c r="J11" i="85"/>
  <c r="K11" i="85"/>
  <c r="L11" i="85"/>
  <c r="A12" i="85"/>
  <c r="B12" i="85"/>
  <c r="C12" i="85"/>
  <c r="D12" i="85"/>
  <c r="E12" i="85"/>
  <c r="F12" i="85"/>
  <c r="G12" i="85"/>
  <c r="H12" i="85"/>
  <c r="I12" i="85"/>
  <c r="J12" i="85"/>
  <c r="K12" i="85"/>
  <c r="L12" i="85"/>
  <c r="B1" i="85"/>
  <c r="C1" i="85"/>
  <c r="D1" i="85"/>
  <c r="E1" i="85"/>
  <c r="F1" i="85"/>
  <c r="G1" i="85"/>
  <c r="H1" i="85"/>
  <c r="I1" i="85"/>
  <c r="J1" i="85"/>
  <c r="K1" i="85"/>
  <c r="L1" i="85"/>
  <c r="A1" i="85"/>
  <c r="B41" i="26" s="1"/>
  <c r="L1" i="86"/>
  <c r="L2" i="86"/>
  <c r="L3" i="86"/>
  <c r="L4" i="86"/>
  <c r="L5" i="86"/>
  <c r="L6" i="86"/>
  <c r="L7" i="86"/>
  <c r="L8" i="86"/>
  <c r="L9" i="86"/>
  <c r="L10" i="86"/>
  <c r="L11" i="86"/>
  <c r="L12" i="86"/>
  <c r="K1" i="86"/>
  <c r="K2" i="86"/>
  <c r="K3" i="86"/>
  <c r="K4" i="86"/>
  <c r="K5" i="86"/>
  <c r="K6" i="86"/>
  <c r="K7" i="86"/>
  <c r="K8" i="86"/>
  <c r="K9" i="86"/>
  <c r="K10" i="86"/>
  <c r="K11" i="86"/>
  <c r="K12" i="86"/>
  <c r="J1" i="86"/>
  <c r="J2" i="86"/>
  <c r="J3" i="86"/>
  <c r="J4" i="86"/>
  <c r="J5" i="86"/>
  <c r="J6" i="86"/>
  <c r="J7" i="86"/>
  <c r="J8" i="86"/>
  <c r="J9" i="86"/>
  <c r="J10" i="86"/>
  <c r="J11" i="86"/>
  <c r="J12" i="86"/>
  <c r="C2" i="86"/>
  <c r="D2" i="86"/>
  <c r="E2" i="86"/>
  <c r="F2" i="86"/>
  <c r="G2" i="86"/>
  <c r="H2" i="86"/>
  <c r="I2" i="86"/>
  <c r="B3" i="86"/>
  <c r="C3" i="86"/>
  <c r="D3" i="86"/>
  <c r="E3" i="86"/>
  <c r="F3" i="86"/>
  <c r="G3" i="86"/>
  <c r="H3" i="86"/>
  <c r="I3" i="86"/>
  <c r="A4" i="86"/>
  <c r="B4" i="86"/>
  <c r="C4" i="86"/>
  <c r="D4" i="86"/>
  <c r="E4" i="86"/>
  <c r="F4" i="86"/>
  <c r="G4" i="86"/>
  <c r="H4" i="86"/>
  <c r="I4" i="86"/>
  <c r="A5" i="86"/>
  <c r="B5" i="86"/>
  <c r="C5" i="86"/>
  <c r="D5" i="86"/>
  <c r="E5" i="86"/>
  <c r="F5" i="86"/>
  <c r="G5" i="86"/>
  <c r="H5" i="86"/>
  <c r="I5" i="86"/>
  <c r="A6" i="86"/>
  <c r="B6" i="86"/>
  <c r="C6" i="86"/>
  <c r="D6" i="86"/>
  <c r="E6" i="86"/>
  <c r="F6" i="86"/>
  <c r="G6" i="86"/>
  <c r="H6" i="86"/>
  <c r="I6" i="86"/>
  <c r="A7" i="86"/>
  <c r="B7" i="86"/>
  <c r="C7" i="86"/>
  <c r="D7" i="86"/>
  <c r="E7" i="86"/>
  <c r="F7" i="86"/>
  <c r="G7" i="86"/>
  <c r="H7" i="86"/>
  <c r="I7" i="86"/>
  <c r="A8" i="86"/>
  <c r="B8" i="86"/>
  <c r="C8" i="86"/>
  <c r="D8" i="86"/>
  <c r="E8" i="86"/>
  <c r="F8" i="86"/>
  <c r="G8" i="86"/>
  <c r="H8" i="86"/>
  <c r="I8" i="86"/>
  <c r="A9" i="86"/>
  <c r="B9" i="86"/>
  <c r="C9" i="86"/>
  <c r="D9" i="86"/>
  <c r="E9" i="86"/>
  <c r="F9" i="86"/>
  <c r="G9" i="86"/>
  <c r="H9" i="86"/>
  <c r="I9" i="86"/>
  <c r="A10" i="86"/>
  <c r="B10" i="86"/>
  <c r="C10" i="86"/>
  <c r="D10" i="86"/>
  <c r="E10" i="86"/>
  <c r="F10" i="86"/>
  <c r="G10" i="86"/>
  <c r="H10" i="86"/>
  <c r="I10" i="86"/>
  <c r="A11" i="86"/>
  <c r="B11" i="86"/>
  <c r="C11" i="86"/>
  <c r="D11" i="86"/>
  <c r="E11" i="86"/>
  <c r="F11" i="86"/>
  <c r="G11" i="86"/>
  <c r="H11" i="86"/>
  <c r="I11" i="86"/>
  <c r="A12" i="86"/>
  <c r="B12" i="86"/>
  <c r="C12" i="86"/>
  <c r="D12" i="86"/>
  <c r="E12" i="86"/>
  <c r="F12" i="86"/>
  <c r="G12" i="86"/>
  <c r="H12" i="86"/>
  <c r="I12" i="86"/>
  <c r="B1" i="86"/>
  <c r="C1" i="86"/>
  <c r="D1" i="86"/>
  <c r="E1" i="86"/>
  <c r="F1" i="86"/>
  <c r="G1" i="86"/>
  <c r="H1" i="86"/>
  <c r="I1" i="86"/>
  <c r="A1" i="86"/>
  <c r="G12" i="75"/>
  <c r="F12" i="75"/>
  <c r="E12" i="75"/>
  <c r="D12" i="75"/>
  <c r="C12" i="75"/>
  <c r="B12" i="75"/>
  <c r="A12" i="75"/>
  <c r="G11" i="75"/>
  <c r="F11" i="75"/>
  <c r="E11" i="75"/>
  <c r="D11" i="75"/>
  <c r="C11" i="75"/>
  <c r="B11" i="75"/>
  <c r="A11" i="75"/>
  <c r="G10" i="75"/>
  <c r="F10" i="75"/>
  <c r="E10" i="75"/>
  <c r="D10" i="75"/>
  <c r="C10" i="75"/>
  <c r="B10" i="75"/>
  <c r="A10" i="75"/>
  <c r="G9" i="75"/>
  <c r="F9" i="75"/>
  <c r="E9" i="75"/>
  <c r="D9" i="75"/>
  <c r="C9" i="75"/>
  <c r="B9" i="75"/>
  <c r="A9" i="75"/>
  <c r="G8" i="75"/>
  <c r="F8" i="75"/>
  <c r="E8" i="75"/>
  <c r="D8" i="75"/>
  <c r="C8" i="75"/>
  <c r="B8" i="75"/>
  <c r="A8" i="75"/>
  <c r="G7" i="75"/>
  <c r="F7" i="75"/>
  <c r="E7" i="75"/>
  <c r="D7" i="75"/>
  <c r="C7" i="75"/>
  <c r="B7" i="75"/>
  <c r="A7" i="75"/>
  <c r="G6" i="75"/>
  <c r="F6" i="75"/>
  <c r="E6" i="75"/>
  <c r="D6" i="75"/>
  <c r="C6" i="75"/>
  <c r="B6" i="75"/>
  <c r="A6" i="75"/>
  <c r="G5" i="75"/>
  <c r="F5" i="75"/>
  <c r="E5" i="75"/>
  <c r="D5" i="75"/>
  <c r="C5" i="75"/>
  <c r="B5" i="75"/>
  <c r="A5" i="75"/>
  <c r="G4" i="75"/>
  <c r="F4" i="75"/>
  <c r="E4" i="75"/>
  <c r="D4" i="75"/>
  <c r="C4" i="75"/>
  <c r="B4" i="75"/>
  <c r="A4" i="75"/>
  <c r="G3" i="75"/>
  <c r="F3" i="75"/>
  <c r="E3" i="75"/>
  <c r="D3" i="75"/>
  <c r="C3" i="75"/>
  <c r="B3" i="75"/>
  <c r="A3" i="75"/>
  <c r="E2" i="75"/>
  <c r="B2" i="75"/>
  <c r="A1" i="75"/>
  <c r="G12" i="76"/>
  <c r="F12" i="76"/>
  <c r="E12" i="76"/>
  <c r="D12" i="76"/>
  <c r="C12" i="76"/>
  <c r="B12" i="76"/>
  <c r="A12" i="76"/>
  <c r="G11" i="76"/>
  <c r="F11" i="76"/>
  <c r="E11" i="76"/>
  <c r="D11" i="76"/>
  <c r="C11" i="76"/>
  <c r="B11" i="76"/>
  <c r="A11" i="76"/>
  <c r="G10" i="76"/>
  <c r="F10" i="76"/>
  <c r="E10" i="76"/>
  <c r="D10" i="76"/>
  <c r="C10" i="76"/>
  <c r="B10" i="76"/>
  <c r="A10" i="76"/>
  <c r="G9" i="76"/>
  <c r="F9" i="76"/>
  <c r="E9" i="76"/>
  <c r="D9" i="76"/>
  <c r="C9" i="76"/>
  <c r="B9" i="76"/>
  <c r="A9" i="76"/>
  <c r="G8" i="76"/>
  <c r="F8" i="76"/>
  <c r="E8" i="76"/>
  <c r="D8" i="76"/>
  <c r="C8" i="76"/>
  <c r="B8" i="76"/>
  <c r="A8" i="76"/>
  <c r="G7" i="76"/>
  <c r="F7" i="76"/>
  <c r="E7" i="76"/>
  <c r="D7" i="76"/>
  <c r="C7" i="76"/>
  <c r="B7" i="76"/>
  <c r="A7" i="76"/>
  <c r="G6" i="76"/>
  <c r="F6" i="76"/>
  <c r="E6" i="76"/>
  <c r="D6" i="76"/>
  <c r="C6" i="76"/>
  <c r="B6" i="76"/>
  <c r="A6" i="76"/>
  <c r="G5" i="76"/>
  <c r="F5" i="76"/>
  <c r="E5" i="76"/>
  <c r="D5" i="76"/>
  <c r="C5" i="76"/>
  <c r="B5" i="76"/>
  <c r="A5" i="76"/>
  <c r="G4" i="76"/>
  <c r="F4" i="76"/>
  <c r="E4" i="76"/>
  <c r="D4" i="76"/>
  <c r="C4" i="76"/>
  <c r="B4" i="76"/>
  <c r="A4" i="76"/>
  <c r="G3" i="76"/>
  <c r="F3" i="76"/>
  <c r="E3" i="76"/>
  <c r="D3" i="76"/>
  <c r="C3" i="76"/>
  <c r="B3" i="76"/>
  <c r="A3" i="76"/>
  <c r="E2" i="76"/>
  <c r="B2" i="76"/>
  <c r="A1" i="76"/>
  <c r="G12" i="77"/>
  <c r="F12" i="77"/>
  <c r="E12" i="77"/>
  <c r="D12" i="77"/>
  <c r="C12" i="77"/>
  <c r="B12" i="77"/>
  <c r="A12" i="77"/>
  <c r="G11" i="77"/>
  <c r="F11" i="77"/>
  <c r="E11" i="77"/>
  <c r="D11" i="77"/>
  <c r="C11" i="77"/>
  <c r="B11" i="77"/>
  <c r="A11" i="77"/>
  <c r="G10" i="77"/>
  <c r="F10" i="77"/>
  <c r="E10" i="77"/>
  <c r="D10" i="77"/>
  <c r="C10" i="77"/>
  <c r="B10" i="77"/>
  <c r="A10" i="77"/>
  <c r="G9" i="77"/>
  <c r="F9" i="77"/>
  <c r="E9" i="77"/>
  <c r="D9" i="77"/>
  <c r="C9" i="77"/>
  <c r="B9" i="77"/>
  <c r="A9" i="77"/>
  <c r="G8" i="77"/>
  <c r="F8" i="77"/>
  <c r="E8" i="77"/>
  <c r="D8" i="77"/>
  <c r="C8" i="77"/>
  <c r="B8" i="77"/>
  <c r="A8" i="77"/>
  <c r="G7" i="77"/>
  <c r="F7" i="77"/>
  <c r="E7" i="77"/>
  <c r="D7" i="77"/>
  <c r="C7" i="77"/>
  <c r="B7" i="77"/>
  <c r="A7" i="77"/>
  <c r="G6" i="77"/>
  <c r="F6" i="77"/>
  <c r="E6" i="77"/>
  <c r="D6" i="77"/>
  <c r="C6" i="77"/>
  <c r="B6" i="77"/>
  <c r="A6" i="77"/>
  <c r="G5" i="77"/>
  <c r="F5" i="77"/>
  <c r="E5" i="77"/>
  <c r="D5" i="77"/>
  <c r="C5" i="77"/>
  <c r="B5" i="77"/>
  <c r="A5" i="77"/>
  <c r="G4" i="77"/>
  <c r="F4" i="77"/>
  <c r="E4" i="77"/>
  <c r="D4" i="77"/>
  <c r="C4" i="77"/>
  <c r="B4" i="77"/>
  <c r="A4" i="77"/>
  <c r="G3" i="77"/>
  <c r="F3" i="77"/>
  <c r="E3" i="77"/>
  <c r="D3" i="77"/>
  <c r="C3" i="77"/>
  <c r="B3" i="77"/>
  <c r="A3" i="77"/>
  <c r="E2" i="77"/>
  <c r="B2" i="77"/>
  <c r="A1" i="77"/>
  <c r="G12" i="78"/>
  <c r="F12" i="78"/>
  <c r="E12" i="78"/>
  <c r="D12" i="78"/>
  <c r="C12" i="78"/>
  <c r="B12" i="78"/>
  <c r="A12" i="78"/>
  <c r="G11" i="78"/>
  <c r="F11" i="78"/>
  <c r="E11" i="78"/>
  <c r="D11" i="78"/>
  <c r="C11" i="78"/>
  <c r="B11" i="78"/>
  <c r="A11" i="78"/>
  <c r="G10" i="78"/>
  <c r="F10" i="78"/>
  <c r="E10" i="78"/>
  <c r="D10" i="78"/>
  <c r="C10" i="78"/>
  <c r="B10" i="78"/>
  <c r="A10" i="78"/>
  <c r="G9" i="78"/>
  <c r="F9" i="78"/>
  <c r="E9" i="78"/>
  <c r="D9" i="78"/>
  <c r="C9" i="78"/>
  <c r="B9" i="78"/>
  <c r="A9" i="78"/>
  <c r="G8" i="78"/>
  <c r="F8" i="78"/>
  <c r="E8" i="78"/>
  <c r="D8" i="78"/>
  <c r="C8" i="78"/>
  <c r="B8" i="78"/>
  <c r="A8" i="78"/>
  <c r="G7" i="78"/>
  <c r="F7" i="78"/>
  <c r="E7" i="78"/>
  <c r="D7" i="78"/>
  <c r="C7" i="78"/>
  <c r="B7" i="78"/>
  <c r="A7" i="78"/>
  <c r="G6" i="78"/>
  <c r="F6" i="78"/>
  <c r="E6" i="78"/>
  <c r="D6" i="78"/>
  <c r="C6" i="78"/>
  <c r="B6" i="78"/>
  <c r="A6" i="78"/>
  <c r="G5" i="78"/>
  <c r="F5" i="78"/>
  <c r="E5" i="78"/>
  <c r="D5" i="78"/>
  <c r="C5" i="78"/>
  <c r="B5" i="78"/>
  <c r="A5" i="78"/>
  <c r="G4" i="78"/>
  <c r="F4" i="78"/>
  <c r="E4" i="78"/>
  <c r="D4" i="78"/>
  <c r="C4" i="78"/>
  <c r="B4" i="78"/>
  <c r="A4" i="78"/>
  <c r="G3" i="78"/>
  <c r="F3" i="78"/>
  <c r="E3" i="78"/>
  <c r="D3" i="78"/>
  <c r="C3" i="78"/>
  <c r="B3" i="78"/>
  <c r="A3" i="78"/>
  <c r="E2" i="78"/>
  <c r="B2" i="78"/>
  <c r="A1" i="78"/>
  <c r="K11" i="60"/>
  <c r="J11" i="60"/>
  <c r="I11" i="60"/>
  <c r="H11" i="60"/>
  <c r="G11" i="60"/>
  <c r="F11" i="60"/>
  <c r="E11" i="60"/>
  <c r="D11" i="60"/>
  <c r="C11" i="60"/>
  <c r="B11" i="60"/>
  <c r="A11" i="60"/>
  <c r="K10" i="60"/>
  <c r="J10" i="60"/>
  <c r="I10" i="60"/>
  <c r="H10" i="60"/>
  <c r="G10" i="60"/>
  <c r="F10" i="60"/>
  <c r="E10" i="60"/>
  <c r="D10" i="60"/>
  <c r="C10" i="60"/>
  <c r="B10" i="60"/>
  <c r="A10" i="60"/>
  <c r="K9" i="60"/>
  <c r="J9" i="60"/>
  <c r="I9" i="60"/>
  <c r="H9" i="60"/>
  <c r="G9" i="60"/>
  <c r="F9" i="60"/>
  <c r="E9" i="60"/>
  <c r="D9" i="60"/>
  <c r="C9" i="60"/>
  <c r="B9" i="60"/>
  <c r="A9" i="60"/>
  <c r="K8" i="60"/>
  <c r="J8" i="60"/>
  <c r="I8" i="60"/>
  <c r="H8" i="60"/>
  <c r="G8" i="60"/>
  <c r="F8" i="60"/>
  <c r="E8" i="60"/>
  <c r="D8" i="60"/>
  <c r="C8" i="60"/>
  <c r="B8" i="60"/>
  <c r="A8" i="60"/>
  <c r="K7" i="60"/>
  <c r="J7" i="60"/>
  <c r="I7" i="60"/>
  <c r="H7" i="60"/>
  <c r="G7" i="60"/>
  <c r="F7" i="60"/>
  <c r="E7" i="60"/>
  <c r="D7" i="60"/>
  <c r="C7" i="60"/>
  <c r="B7" i="60"/>
  <c r="A7" i="60"/>
  <c r="K6" i="60"/>
  <c r="J6" i="60"/>
  <c r="I6" i="60"/>
  <c r="H6" i="60"/>
  <c r="G6" i="60"/>
  <c r="F6" i="60"/>
  <c r="E6" i="60"/>
  <c r="D6" i="60"/>
  <c r="C6" i="60"/>
  <c r="B6" i="60"/>
  <c r="A6" i="60"/>
  <c r="K5" i="60"/>
  <c r="J5" i="60"/>
  <c r="I5" i="60"/>
  <c r="H5" i="60"/>
  <c r="G5" i="60"/>
  <c r="F5" i="60"/>
  <c r="E5" i="60"/>
  <c r="D5" i="60"/>
  <c r="C5" i="60"/>
  <c r="B5" i="60"/>
  <c r="A5" i="60"/>
  <c r="K4" i="60"/>
  <c r="J4" i="60"/>
  <c r="I4" i="60"/>
  <c r="H4" i="60"/>
  <c r="G4" i="60"/>
  <c r="F4" i="60"/>
  <c r="E4" i="60"/>
  <c r="D4" i="60"/>
  <c r="C4" i="60"/>
  <c r="B4" i="60"/>
  <c r="A4" i="60"/>
  <c r="K3" i="60"/>
  <c r="J3" i="60"/>
  <c r="I3" i="60"/>
  <c r="H3" i="60"/>
  <c r="G3" i="60"/>
  <c r="F3" i="60"/>
  <c r="E3" i="60"/>
  <c r="D3" i="60"/>
  <c r="C3" i="60"/>
  <c r="B3" i="60"/>
  <c r="A3" i="60"/>
  <c r="K2" i="60"/>
  <c r="J2" i="60"/>
  <c r="I2" i="60"/>
  <c r="H2" i="60"/>
  <c r="G2" i="60"/>
  <c r="F2" i="60"/>
  <c r="E2" i="60"/>
  <c r="D2" i="60"/>
  <c r="C2" i="60"/>
  <c r="B2" i="60"/>
  <c r="A2" i="60"/>
  <c r="K1" i="60"/>
  <c r="J1" i="60"/>
  <c r="I1" i="60"/>
  <c r="H1" i="60"/>
  <c r="G1" i="60"/>
  <c r="F1" i="60"/>
  <c r="E1" i="60"/>
  <c r="D1" i="60"/>
  <c r="C1" i="60"/>
  <c r="B1" i="60"/>
  <c r="A1" i="60"/>
  <c r="K11" i="59"/>
  <c r="J11" i="59"/>
  <c r="I11" i="59"/>
  <c r="H11" i="59"/>
  <c r="G11" i="59"/>
  <c r="F11" i="59"/>
  <c r="E11" i="59"/>
  <c r="D11" i="59"/>
  <c r="C11" i="59"/>
  <c r="B11" i="59"/>
  <c r="A11" i="59"/>
  <c r="K10" i="59"/>
  <c r="J10" i="59"/>
  <c r="I10" i="59"/>
  <c r="H10" i="59"/>
  <c r="G10" i="59"/>
  <c r="F10" i="59"/>
  <c r="E10" i="59"/>
  <c r="D10" i="59"/>
  <c r="C10" i="59"/>
  <c r="B10" i="59"/>
  <c r="A10" i="59"/>
  <c r="K9" i="59"/>
  <c r="J9" i="59"/>
  <c r="I9" i="59"/>
  <c r="H9" i="59"/>
  <c r="G9" i="59"/>
  <c r="F9" i="59"/>
  <c r="E9" i="59"/>
  <c r="D9" i="59"/>
  <c r="C9" i="59"/>
  <c r="B9" i="59"/>
  <c r="A9" i="59"/>
  <c r="K8" i="59"/>
  <c r="J8" i="59"/>
  <c r="I8" i="59"/>
  <c r="H8" i="59"/>
  <c r="G8" i="59"/>
  <c r="F8" i="59"/>
  <c r="E8" i="59"/>
  <c r="D8" i="59"/>
  <c r="C8" i="59"/>
  <c r="B8" i="59"/>
  <c r="A8" i="59"/>
  <c r="K7" i="59"/>
  <c r="J7" i="59"/>
  <c r="I7" i="59"/>
  <c r="H7" i="59"/>
  <c r="G7" i="59"/>
  <c r="F7" i="59"/>
  <c r="E7" i="59"/>
  <c r="D7" i="59"/>
  <c r="C7" i="59"/>
  <c r="B7" i="59"/>
  <c r="A7" i="59"/>
  <c r="K6" i="59"/>
  <c r="J6" i="59"/>
  <c r="I6" i="59"/>
  <c r="H6" i="59"/>
  <c r="G6" i="59"/>
  <c r="F6" i="59"/>
  <c r="E6" i="59"/>
  <c r="D6" i="59"/>
  <c r="C6" i="59"/>
  <c r="B6" i="59"/>
  <c r="A6" i="59"/>
  <c r="K5" i="59"/>
  <c r="J5" i="59"/>
  <c r="I5" i="59"/>
  <c r="H5" i="59"/>
  <c r="G5" i="59"/>
  <c r="F5" i="59"/>
  <c r="E5" i="59"/>
  <c r="D5" i="59"/>
  <c r="C5" i="59"/>
  <c r="B5" i="59"/>
  <c r="A5" i="59"/>
  <c r="K4" i="59"/>
  <c r="J4" i="59"/>
  <c r="I4" i="59"/>
  <c r="H4" i="59"/>
  <c r="G4" i="59"/>
  <c r="F4" i="59"/>
  <c r="E4" i="59"/>
  <c r="D4" i="59"/>
  <c r="C4" i="59"/>
  <c r="B4" i="59"/>
  <c r="A4" i="59"/>
  <c r="K3" i="59"/>
  <c r="J3" i="59"/>
  <c r="I3" i="59"/>
  <c r="H3" i="59"/>
  <c r="G3" i="59"/>
  <c r="F3" i="59"/>
  <c r="E3" i="59"/>
  <c r="D3" i="59"/>
  <c r="C3" i="59"/>
  <c r="B3" i="59"/>
  <c r="A3" i="59"/>
  <c r="K2" i="59"/>
  <c r="J2" i="59"/>
  <c r="I2" i="59"/>
  <c r="H2" i="59"/>
  <c r="G2" i="59"/>
  <c r="F2" i="59"/>
  <c r="E2" i="59"/>
  <c r="D2" i="59"/>
  <c r="C2" i="59"/>
  <c r="B2" i="59"/>
  <c r="A2" i="59"/>
  <c r="A1" i="59"/>
  <c r="K11" i="67"/>
  <c r="J11" i="67"/>
  <c r="I11" i="67"/>
  <c r="H11" i="67"/>
  <c r="G11" i="67"/>
  <c r="F11" i="67"/>
  <c r="E11" i="67"/>
  <c r="D11" i="67"/>
  <c r="C11" i="67"/>
  <c r="B11" i="67"/>
  <c r="A11" i="67"/>
  <c r="K10" i="67"/>
  <c r="J10" i="67"/>
  <c r="I10" i="67"/>
  <c r="H10" i="67"/>
  <c r="G10" i="67"/>
  <c r="F10" i="67"/>
  <c r="E10" i="67"/>
  <c r="D10" i="67"/>
  <c r="C10" i="67"/>
  <c r="B10" i="67"/>
  <c r="A10" i="67"/>
  <c r="K9" i="67"/>
  <c r="J9" i="67"/>
  <c r="I9" i="67"/>
  <c r="H9" i="67"/>
  <c r="G9" i="67"/>
  <c r="F9" i="67"/>
  <c r="E9" i="67"/>
  <c r="D9" i="67"/>
  <c r="C9" i="67"/>
  <c r="B9" i="67"/>
  <c r="A9" i="67"/>
  <c r="K8" i="67"/>
  <c r="J8" i="67"/>
  <c r="I8" i="67"/>
  <c r="H8" i="67"/>
  <c r="G8" i="67"/>
  <c r="F8" i="67"/>
  <c r="E8" i="67"/>
  <c r="D8" i="67"/>
  <c r="C8" i="67"/>
  <c r="B8" i="67"/>
  <c r="A8" i="67"/>
  <c r="K7" i="67"/>
  <c r="J7" i="67"/>
  <c r="I7" i="67"/>
  <c r="H7" i="67"/>
  <c r="G7" i="67"/>
  <c r="F7" i="67"/>
  <c r="E7" i="67"/>
  <c r="D7" i="67"/>
  <c r="C7" i="67"/>
  <c r="B7" i="67"/>
  <c r="A7" i="67"/>
  <c r="K6" i="67"/>
  <c r="J6" i="67"/>
  <c r="I6" i="67"/>
  <c r="H6" i="67"/>
  <c r="G6" i="67"/>
  <c r="F6" i="67"/>
  <c r="E6" i="67"/>
  <c r="D6" i="67"/>
  <c r="C6" i="67"/>
  <c r="B6" i="67"/>
  <c r="A6" i="67"/>
  <c r="K5" i="67"/>
  <c r="J5" i="67"/>
  <c r="I5" i="67"/>
  <c r="H5" i="67"/>
  <c r="G5" i="67"/>
  <c r="F5" i="67"/>
  <c r="E5" i="67"/>
  <c r="D5" i="67"/>
  <c r="C5" i="67"/>
  <c r="B5" i="67"/>
  <c r="A5" i="67"/>
  <c r="K4" i="67"/>
  <c r="J4" i="67"/>
  <c r="I4" i="67"/>
  <c r="H4" i="67"/>
  <c r="G4" i="67"/>
  <c r="F4" i="67"/>
  <c r="E4" i="67"/>
  <c r="D4" i="67"/>
  <c r="C4" i="67"/>
  <c r="B4" i="67"/>
  <c r="A4" i="67"/>
  <c r="K3" i="67"/>
  <c r="J3" i="67"/>
  <c r="I3" i="67"/>
  <c r="H3" i="67"/>
  <c r="G3" i="67"/>
  <c r="F3" i="67"/>
  <c r="E3" i="67"/>
  <c r="D3" i="67"/>
  <c r="C3" i="67"/>
  <c r="B3" i="67"/>
  <c r="A3" i="67"/>
  <c r="K2" i="67"/>
  <c r="J2" i="67"/>
  <c r="I2" i="67"/>
  <c r="H2" i="67"/>
  <c r="G2" i="67"/>
  <c r="F2" i="67"/>
  <c r="E2" i="67"/>
  <c r="D2" i="67"/>
  <c r="C2" i="67"/>
  <c r="B2" i="67"/>
  <c r="A2" i="67"/>
  <c r="K1" i="67"/>
  <c r="J1" i="67"/>
  <c r="I1" i="67"/>
  <c r="H1" i="67"/>
  <c r="G1" i="67"/>
  <c r="F1" i="67"/>
  <c r="E1" i="67"/>
  <c r="D1" i="67"/>
  <c r="C1" i="67"/>
  <c r="B1" i="67"/>
  <c r="A1" i="67"/>
  <c r="K11" i="68"/>
  <c r="J11" i="68"/>
  <c r="I11" i="68"/>
  <c r="H11" i="68"/>
  <c r="G11" i="68"/>
  <c r="F11" i="68"/>
  <c r="E11" i="68"/>
  <c r="D11" i="68"/>
  <c r="C11" i="68"/>
  <c r="B11" i="68"/>
  <c r="A11" i="68"/>
  <c r="K10" i="68"/>
  <c r="J10" i="68"/>
  <c r="I10" i="68"/>
  <c r="H10" i="68"/>
  <c r="G10" i="68"/>
  <c r="F10" i="68"/>
  <c r="E10" i="68"/>
  <c r="D10" i="68"/>
  <c r="C10" i="68"/>
  <c r="B10" i="68"/>
  <c r="A10" i="68"/>
  <c r="K9" i="68"/>
  <c r="J9" i="68"/>
  <c r="I9" i="68"/>
  <c r="H9" i="68"/>
  <c r="G9" i="68"/>
  <c r="F9" i="68"/>
  <c r="E9" i="68"/>
  <c r="D9" i="68"/>
  <c r="C9" i="68"/>
  <c r="B9" i="68"/>
  <c r="A9" i="68"/>
  <c r="K8" i="68"/>
  <c r="J8" i="68"/>
  <c r="I8" i="68"/>
  <c r="H8" i="68"/>
  <c r="G8" i="68"/>
  <c r="F8" i="68"/>
  <c r="E8" i="68"/>
  <c r="D8" i="68"/>
  <c r="C8" i="68"/>
  <c r="B8" i="68"/>
  <c r="A8" i="68"/>
  <c r="K7" i="68"/>
  <c r="J7" i="68"/>
  <c r="I7" i="68"/>
  <c r="H7" i="68"/>
  <c r="G7" i="68"/>
  <c r="F7" i="68"/>
  <c r="E7" i="68"/>
  <c r="D7" i="68"/>
  <c r="C7" i="68"/>
  <c r="B7" i="68"/>
  <c r="A7" i="68"/>
  <c r="K6" i="68"/>
  <c r="J6" i="68"/>
  <c r="I6" i="68"/>
  <c r="H6" i="68"/>
  <c r="G6" i="68"/>
  <c r="F6" i="68"/>
  <c r="E6" i="68"/>
  <c r="D6" i="68"/>
  <c r="C6" i="68"/>
  <c r="B6" i="68"/>
  <c r="A6" i="68"/>
  <c r="K5" i="68"/>
  <c r="J5" i="68"/>
  <c r="I5" i="68"/>
  <c r="H5" i="68"/>
  <c r="G5" i="68"/>
  <c r="F5" i="68"/>
  <c r="E5" i="68"/>
  <c r="D5" i="68"/>
  <c r="C5" i="68"/>
  <c r="B5" i="68"/>
  <c r="A5" i="68"/>
  <c r="K4" i="68"/>
  <c r="J4" i="68"/>
  <c r="I4" i="68"/>
  <c r="H4" i="68"/>
  <c r="G4" i="68"/>
  <c r="F4" i="68"/>
  <c r="E4" i="68"/>
  <c r="D4" i="68"/>
  <c r="C4" i="68"/>
  <c r="B4" i="68"/>
  <c r="A4" i="68"/>
  <c r="K3" i="68"/>
  <c r="J3" i="68"/>
  <c r="I3" i="68"/>
  <c r="H3" i="68"/>
  <c r="G3" i="68"/>
  <c r="F3" i="68"/>
  <c r="E3" i="68"/>
  <c r="D3" i="68"/>
  <c r="C3" i="68"/>
  <c r="B3" i="68"/>
  <c r="A3" i="68"/>
  <c r="K2" i="68"/>
  <c r="J2" i="68"/>
  <c r="I2" i="68"/>
  <c r="H2" i="68"/>
  <c r="G2" i="68"/>
  <c r="F2" i="68"/>
  <c r="E2" i="68"/>
  <c r="D2" i="68"/>
  <c r="C2" i="68"/>
  <c r="B2" i="68"/>
  <c r="A2" i="68"/>
  <c r="A1" i="68"/>
  <c r="M12" i="64"/>
  <c r="L12" i="64"/>
  <c r="K12" i="64"/>
  <c r="J12" i="64"/>
  <c r="I12" i="64"/>
  <c r="H12" i="64"/>
  <c r="G12" i="64"/>
  <c r="F12" i="64"/>
  <c r="E12" i="64"/>
  <c r="D12" i="64"/>
  <c r="C12" i="64"/>
  <c r="B12" i="64"/>
  <c r="A12" i="64"/>
  <c r="M11" i="64"/>
  <c r="L11" i="64"/>
  <c r="K11" i="64"/>
  <c r="J11" i="64"/>
  <c r="I11" i="64"/>
  <c r="H11" i="64"/>
  <c r="G11" i="64"/>
  <c r="F11" i="64"/>
  <c r="E11" i="64"/>
  <c r="D11" i="64"/>
  <c r="C11" i="64"/>
  <c r="B11" i="64"/>
  <c r="A11" i="64"/>
  <c r="M10" i="64"/>
  <c r="L10" i="64"/>
  <c r="K10" i="64"/>
  <c r="J10" i="64"/>
  <c r="I10" i="64"/>
  <c r="H10" i="64"/>
  <c r="G10" i="64"/>
  <c r="F10" i="64"/>
  <c r="E10" i="64"/>
  <c r="D10" i="64"/>
  <c r="C10" i="64"/>
  <c r="B10" i="64"/>
  <c r="A10" i="64"/>
  <c r="M9" i="64"/>
  <c r="L9" i="64"/>
  <c r="K9" i="64"/>
  <c r="J9" i="64"/>
  <c r="I9" i="64"/>
  <c r="H9" i="64"/>
  <c r="G9" i="64"/>
  <c r="F9" i="64"/>
  <c r="E9" i="64"/>
  <c r="D9" i="64"/>
  <c r="C9" i="64"/>
  <c r="B9" i="64"/>
  <c r="A9" i="64"/>
  <c r="M8" i="64"/>
  <c r="L8" i="64"/>
  <c r="K8" i="64"/>
  <c r="J8" i="64"/>
  <c r="I8" i="64"/>
  <c r="H8" i="64"/>
  <c r="G8" i="64"/>
  <c r="F8" i="64"/>
  <c r="E8" i="64"/>
  <c r="D8" i="64"/>
  <c r="C8" i="64"/>
  <c r="B8" i="64"/>
  <c r="A8" i="64"/>
  <c r="M7" i="64"/>
  <c r="L7" i="64"/>
  <c r="K7" i="64"/>
  <c r="J7" i="64"/>
  <c r="I7" i="64"/>
  <c r="H7" i="64"/>
  <c r="G7" i="64"/>
  <c r="F7" i="64"/>
  <c r="E7" i="64"/>
  <c r="D7" i="64"/>
  <c r="C7" i="64"/>
  <c r="B7" i="64"/>
  <c r="A7" i="64"/>
  <c r="M6" i="64"/>
  <c r="L6" i="64"/>
  <c r="K6" i="64"/>
  <c r="J6" i="64"/>
  <c r="I6" i="64"/>
  <c r="H6" i="64"/>
  <c r="G6" i="64"/>
  <c r="F6" i="64"/>
  <c r="E6" i="64"/>
  <c r="D6" i="64"/>
  <c r="C6" i="64"/>
  <c r="B6" i="64"/>
  <c r="A6" i="64"/>
  <c r="M5" i="64"/>
  <c r="L5" i="64"/>
  <c r="K5" i="64"/>
  <c r="J5" i="64"/>
  <c r="I5" i="64"/>
  <c r="H5" i="64"/>
  <c r="G5" i="64"/>
  <c r="F5" i="64"/>
  <c r="E5" i="64"/>
  <c r="D5" i="64"/>
  <c r="C5" i="64"/>
  <c r="B5" i="64"/>
  <c r="A5" i="64"/>
  <c r="M4" i="64"/>
  <c r="L4" i="64"/>
  <c r="K4" i="64"/>
  <c r="J4" i="64"/>
  <c r="I4" i="64"/>
  <c r="H4" i="64"/>
  <c r="G4" i="64"/>
  <c r="F4" i="64"/>
  <c r="E4" i="64"/>
  <c r="D4" i="64"/>
  <c r="C4" i="64"/>
  <c r="B4" i="64"/>
  <c r="A4" i="64"/>
  <c r="M3" i="64"/>
  <c r="L3" i="64"/>
  <c r="K3" i="64"/>
  <c r="J3" i="64"/>
  <c r="I3" i="64"/>
  <c r="H3" i="64"/>
  <c r="G3" i="64"/>
  <c r="F3" i="64"/>
  <c r="E3" i="64"/>
  <c r="D3" i="64"/>
  <c r="C3" i="64"/>
  <c r="B3" i="64"/>
  <c r="A3" i="64"/>
  <c r="H2" i="64"/>
  <c r="B2" i="64"/>
  <c r="A1" i="64"/>
  <c r="M12" i="63"/>
  <c r="L12" i="63"/>
  <c r="K12" i="63"/>
  <c r="J12" i="63"/>
  <c r="I12" i="63"/>
  <c r="H12" i="63"/>
  <c r="G12" i="63"/>
  <c r="F12" i="63"/>
  <c r="E12" i="63"/>
  <c r="D12" i="63"/>
  <c r="C12" i="63"/>
  <c r="B12" i="63"/>
  <c r="A12" i="63"/>
  <c r="M11" i="63"/>
  <c r="L11" i="63"/>
  <c r="K11" i="63"/>
  <c r="J11" i="63"/>
  <c r="I11" i="63"/>
  <c r="H11" i="63"/>
  <c r="G11" i="63"/>
  <c r="F11" i="63"/>
  <c r="E11" i="63"/>
  <c r="D11" i="63"/>
  <c r="C11" i="63"/>
  <c r="B11" i="63"/>
  <c r="A11" i="63"/>
  <c r="M10" i="63"/>
  <c r="L10" i="63"/>
  <c r="K10" i="63"/>
  <c r="J10" i="63"/>
  <c r="I10" i="63"/>
  <c r="H10" i="63"/>
  <c r="G10" i="63"/>
  <c r="F10" i="63"/>
  <c r="E10" i="63"/>
  <c r="D10" i="63"/>
  <c r="C10" i="63"/>
  <c r="B10" i="63"/>
  <c r="A10" i="63"/>
  <c r="M9" i="63"/>
  <c r="L9" i="63"/>
  <c r="K9" i="63"/>
  <c r="J9" i="63"/>
  <c r="I9" i="63"/>
  <c r="H9" i="63"/>
  <c r="G9" i="63"/>
  <c r="F9" i="63"/>
  <c r="E9" i="63"/>
  <c r="D9" i="63"/>
  <c r="C9" i="63"/>
  <c r="B9" i="63"/>
  <c r="A9" i="63"/>
  <c r="M8" i="63"/>
  <c r="L8" i="63"/>
  <c r="K8" i="63"/>
  <c r="J8" i="63"/>
  <c r="I8" i="63"/>
  <c r="H8" i="63"/>
  <c r="G8" i="63"/>
  <c r="F8" i="63"/>
  <c r="E8" i="63"/>
  <c r="D8" i="63"/>
  <c r="C8" i="63"/>
  <c r="B8" i="63"/>
  <c r="A8" i="63"/>
  <c r="M7" i="63"/>
  <c r="L7" i="63"/>
  <c r="K7" i="63"/>
  <c r="J7" i="63"/>
  <c r="I7" i="63"/>
  <c r="H7" i="63"/>
  <c r="G7" i="63"/>
  <c r="F7" i="63"/>
  <c r="E7" i="63"/>
  <c r="D7" i="63"/>
  <c r="C7" i="63"/>
  <c r="B7" i="63"/>
  <c r="A7" i="63"/>
  <c r="M6" i="63"/>
  <c r="L6" i="63"/>
  <c r="K6" i="63"/>
  <c r="J6" i="63"/>
  <c r="I6" i="63"/>
  <c r="H6" i="63"/>
  <c r="G6" i="63"/>
  <c r="F6" i="63"/>
  <c r="E6" i="63"/>
  <c r="D6" i="63"/>
  <c r="C6" i="63"/>
  <c r="B6" i="63"/>
  <c r="A6" i="63"/>
  <c r="M5" i="63"/>
  <c r="L5" i="63"/>
  <c r="K5" i="63"/>
  <c r="J5" i="63"/>
  <c r="I5" i="63"/>
  <c r="H5" i="63"/>
  <c r="G5" i="63"/>
  <c r="F5" i="63"/>
  <c r="E5" i="63"/>
  <c r="D5" i="63"/>
  <c r="C5" i="63"/>
  <c r="B5" i="63"/>
  <c r="A5" i="63"/>
  <c r="M4" i="63"/>
  <c r="L4" i="63"/>
  <c r="K4" i="63"/>
  <c r="J4" i="63"/>
  <c r="I4" i="63"/>
  <c r="H4" i="63"/>
  <c r="G4" i="63"/>
  <c r="F4" i="63"/>
  <c r="E4" i="63"/>
  <c r="D4" i="63"/>
  <c r="C4" i="63"/>
  <c r="B4" i="63"/>
  <c r="A4" i="63"/>
  <c r="M3" i="63"/>
  <c r="L3" i="63"/>
  <c r="K3" i="63"/>
  <c r="J3" i="63"/>
  <c r="I3" i="63"/>
  <c r="H3" i="63"/>
  <c r="G3" i="63"/>
  <c r="F3" i="63"/>
  <c r="E3" i="63"/>
  <c r="D3" i="63"/>
  <c r="C3" i="63"/>
  <c r="B3" i="63"/>
  <c r="A3" i="63"/>
  <c r="H2" i="63"/>
  <c r="B2" i="63"/>
  <c r="A1" i="63"/>
  <c r="M12" i="56"/>
  <c r="L12" i="56"/>
  <c r="K12" i="56"/>
  <c r="J12" i="56"/>
  <c r="I12" i="56"/>
  <c r="H12" i="56"/>
  <c r="G12" i="56"/>
  <c r="F12" i="56"/>
  <c r="E12" i="56"/>
  <c r="D12" i="56"/>
  <c r="C12" i="56"/>
  <c r="B12" i="56"/>
  <c r="A12" i="56"/>
  <c r="M11" i="56"/>
  <c r="L11" i="56"/>
  <c r="K11" i="56"/>
  <c r="J11" i="56"/>
  <c r="I11" i="56"/>
  <c r="H11" i="56"/>
  <c r="G11" i="56"/>
  <c r="F11" i="56"/>
  <c r="E11" i="56"/>
  <c r="D11" i="56"/>
  <c r="C11" i="56"/>
  <c r="B11" i="56"/>
  <c r="A11" i="56"/>
  <c r="M10" i="56"/>
  <c r="L10" i="56"/>
  <c r="K10" i="56"/>
  <c r="J10" i="56"/>
  <c r="I10" i="56"/>
  <c r="H10" i="56"/>
  <c r="G10" i="56"/>
  <c r="F10" i="56"/>
  <c r="E10" i="56"/>
  <c r="D10" i="56"/>
  <c r="C10" i="56"/>
  <c r="B10" i="56"/>
  <c r="A10" i="56"/>
  <c r="M9" i="56"/>
  <c r="L9" i="56"/>
  <c r="K9" i="56"/>
  <c r="J9" i="56"/>
  <c r="I9" i="56"/>
  <c r="H9" i="56"/>
  <c r="G9" i="56"/>
  <c r="F9" i="56"/>
  <c r="E9" i="56"/>
  <c r="D9" i="56"/>
  <c r="C9" i="56"/>
  <c r="B9" i="56"/>
  <c r="A9" i="56"/>
  <c r="M8" i="56"/>
  <c r="L8" i="56"/>
  <c r="K8" i="56"/>
  <c r="J8" i="56"/>
  <c r="I8" i="56"/>
  <c r="H8" i="56"/>
  <c r="G8" i="56"/>
  <c r="F8" i="56"/>
  <c r="E8" i="56"/>
  <c r="D8" i="56"/>
  <c r="C8" i="56"/>
  <c r="B8" i="56"/>
  <c r="A8" i="56"/>
  <c r="M7" i="56"/>
  <c r="L7" i="56"/>
  <c r="K7" i="56"/>
  <c r="J7" i="56"/>
  <c r="I7" i="56"/>
  <c r="H7" i="56"/>
  <c r="G7" i="56"/>
  <c r="F7" i="56"/>
  <c r="E7" i="56"/>
  <c r="D7" i="56"/>
  <c r="C7" i="56"/>
  <c r="B7" i="56"/>
  <c r="A7" i="56"/>
  <c r="M6" i="56"/>
  <c r="L6" i="56"/>
  <c r="K6" i="56"/>
  <c r="J6" i="56"/>
  <c r="I6" i="56"/>
  <c r="H6" i="56"/>
  <c r="G6" i="56"/>
  <c r="F6" i="56"/>
  <c r="E6" i="56"/>
  <c r="D6" i="56"/>
  <c r="C6" i="56"/>
  <c r="B6" i="56"/>
  <c r="A6" i="56"/>
  <c r="M5" i="56"/>
  <c r="L5" i="56"/>
  <c r="K5" i="56"/>
  <c r="J5" i="56"/>
  <c r="I5" i="56"/>
  <c r="H5" i="56"/>
  <c r="G5" i="56"/>
  <c r="F5" i="56"/>
  <c r="E5" i="56"/>
  <c r="D5" i="56"/>
  <c r="C5" i="56"/>
  <c r="B5" i="56"/>
  <c r="A5" i="56"/>
  <c r="M4" i="56"/>
  <c r="L4" i="56"/>
  <c r="K4" i="56"/>
  <c r="J4" i="56"/>
  <c r="I4" i="56"/>
  <c r="H4" i="56"/>
  <c r="G4" i="56"/>
  <c r="F4" i="56"/>
  <c r="E4" i="56"/>
  <c r="D4" i="56"/>
  <c r="C4" i="56"/>
  <c r="B4" i="56"/>
  <c r="A4" i="56"/>
  <c r="M3" i="56"/>
  <c r="L3" i="56"/>
  <c r="K3" i="56"/>
  <c r="J3" i="56"/>
  <c r="I3" i="56"/>
  <c r="H3" i="56"/>
  <c r="G3" i="56"/>
  <c r="F3" i="56"/>
  <c r="E3" i="56"/>
  <c r="D3" i="56"/>
  <c r="C3" i="56"/>
  <c r="B3" i="56"/>
  <c r="A3" i="56"/>
  <c r="H2" i="56"/>
  <c r="B2" i="56"/>
  <c r="A1" i="56"/>
  <c r="M12" i="55"/>
  <c r="L12" i="55"/>
  <c r="K12" i="55"/>
  <c r="J12" i="55"/>
  <c r="I12" i="55"/>
  <c r="H12" i="55"/>
  <c r="G12" i="55"/>
  <c r="F12" i="55"/>
  <c r="E12" i="55"/>
  <c r="D12" i="55"/>
  <c r="C12" i="55"/>
  <c r="B12" i="55"/>
  <c r="A12" i="55"/>
  <c r="M11" i="55"/>
  <c r="L11" i="55"/>
  <c r="K11" i="55"/>
  <c r="J11" i="55"/>
  <c r="I11" i="55"/>
  <c r="H11" i="55"/>
  <c r="G11" i="55"/>
  <c r="F11" i="55"/>
  <c r="E11" i="55"/>
  <c r="D11" i="55"/>
  <c r="C11" i="55"/>
  <c r="B11" i="55"/>
  <c r="A11" i="55"/>
  <c r="M10" i="55"/>
  <c r="L10" i="55"/>
  <c r="K10" i="55"/>
  <c r="J10" i="55"/>
  <c r="I10" i="55"/>
  <c r="H10" i="55"/>
  <c r="G10" i="55"/>
  <c r="F10" i="55"/>
  <c r="E10" i="55"/>
  <c r="D10" i="55"/>
  <c r="C10" i="55"/>
  <c r="B10" i="55"/>
  <c r="A10" i="55"/>
  <c r="M9" i="55"/>
  <c r="L9" i="55"/>
  <c r="K9" i="55"/>
  <c r="J9" i="55"/>
  <c r="I9" i="55"/>
  <c r="H9" i="55"/>
  <c r="G9" i="55"/>
  <c r="F9" i="55"/>
  <c r="E9" i="55"/>
  <c r="D9" i="55"/>
  <c r="C9" i="55"/>
  <c r="B9" i="55"/>
  <c r="A9" i="55"/>
  <c r="M8" i="55"/>
  <c r="L8" i="55"/>
  <c r="K8" i="55"/>
  <c r="J8" i="55"/>
  <c r="I8" i="55"/>
  <c r="H8" i="55"/>
  <c r="G8" i="55"/>
  <c r="F8" i="55"/>
  <c r="E8" i="55"/>
  <c r="D8" i="55"/>
  <c r="C8" i="55"/>
  <c r="B8" i="55"/>
  <c r="A8" i="55"/>
  <c r="M7" i="55"/>
  <c r="L7" i="55"/>
  <c r="K7" i="55"/>
  <c r="J7" i="55"/>
  <c r="I7" i="55"/>
  <c r="H7" i="55"/>
  <c r="G7" i="55"/>
  <c r="F7" i="55"/>
  <c r="E7" i="55"/>
  <c r="D7" i="55"/>
  <c r="C7" i="55"/>
  <c r="B7" i="55"/>
  <c r="A7" i="55"/>
  <c r="M6" i="55"/>
  <c r="L6" i="55"/>
  <c r="K6" i="55"/>
  <c r="J6" i="55"/>
  <c r="I6" i="55"/>
  <c r="H6" i="55"/>
  <c r="G6" i="55"/>
  <c r="F6" i="55"/>
  <c r="E6" i="55"/>
  <c r="D6" i="55"/>
  <c r="C6" i="55"/>
  <c r="B6" i="55"/>
  <c r="A6" i="55"/>
  <c r="M5" i="55"/>
  <c r="L5" i="55"/>
  <c r="K5" i="55"/>
  <c r="J5" i="55"/>
  <c r="I5" i="55"/>
  <c r="H5" i="55"/>
  <c r="G5" i="55"/>
  <c r="F5" i="55"/>
  <c r="E5" i="55"/>
  <c r="D5" i="55"/>
  <c r="C5" i="55"/>
  <c r="B5" i="55"/>
  <c r="A5" i="55"/>
  <c r="M4" i="55"/>
  <c r="L4" i="55"/>
  <c r="K4" i="55"/>
  <c r="J4" i="55"/>
  <c r="I4" i="55"/>
  <c r="H4" i="55"/>
  <c r="G4" i="55"/>
  <c r="F4" i="55"/>
  <c r="E4" i="55"/>
  <c r="D4" i="55"/>
  <c r="C4" i="55"/>
  <c r="B4" i="55"/>
  <c r="A4" i="55"/>
  <c r="M3" i="55"/>
  <c r="L3" i="55"/>
  <c r="K3" i="55"/>
  <c r="J3" i="55"/>
  <c r="I3" i="55"/>
  <c r="H3" i="55"/>
  <c r="G3" i="55"/>
  <c r="F3" i="55"/>
  <c r="E3" i="55"/>
  <c r="D3" i="55"/>
  <c r="C3" i="55"/>
  <c r="B3" i="55"/>
  <c r="A3" i="55"/>
  <c r="H2" i="55"/>
  <c r="B2" i="55"/>
  <c r="A1" i="55"/>
  <c r="B28" i="26" s="1"/>
  <c r="L12" i="27"/>
  <c r="K12" i="27"/>
  <c r="J12" i="27"/>
  <c r="I12" i="27"/>
  <c r="H12" i="27"/>
  <c r="G12" i="27"/>
  <c r="F12" i="27"/>
  <c r="E12" i="27"/>
  <c r="D12" i="27"/>
  <c r="C12" i="27"/>
  <c r="B12" i="27"/>
  <c r="L11" i="27"/>
  <c r="K11" i="27"/>
  <c r="J11" i="27"/>
  <c r="I11" i="27"/>
  <c r="H11" i="27"/>
  <c r="G11" i="27"/>
  <c r="F11" i="27"/>
  <c r="E11" i="27"/>
  <c r="D11" i="27"/>
  <c r="C11" i="27"/>
  <c r="B11" i="27"/>
  <c r="L10" i="27"/>
  <c r="K10" i="27"/>
  <c r="J10" i="27"/>
  <c r="I10" i="27"/>
  <c r="H10" i="27"/>
  <c r="G10" i="27"/>
  <c r="F10" i="27"/>
  <c r="E10" i="27"/>
  <c r="D10" i="27"/>
  <c r="C10" i="27"/>
  <c r="B10" i="27"/>
  <c r="L9" i="27"/>
  <c r="K9" i="27"/>
  <c r="J9" i="27"/>
  <c r="I9" i="27"/>
  <c r="H9" i="27"/>
  <c r="G9" i="27"/>
  <c r="F9" i="27"/>
  <c r="E9" i="27"/>
  <c r="D9" i="27"/>
  <c r="C9" i="27"/>
  <c r="B9" i="27"/>
  <c r="L8" i="27"/>
  <c r="K8" i="27"/>
  <c r="J8" i="27"/>
  <c r="I8" i="27"/>
  <c r="H8" i="27"/>
  <c r="G8" i="27"/>
  <c r="F8" i="27"/>
  <c r="E8" i="27"/>
  <c r="D8" i="27"/>
  <c r="C8" i="27"/>
  <c r="B8" i="27"/>
  <c r="L7" i="27"/>
  <c r="K7" i="27"/>
  <c r="J7" i="27"/>
  <c r="I7" i="27"/>
  <c r="H7" i="27"/>
  <c r="G7" i="27"/>
  <c r="F7" i="27"/>
  <c r="E7" i="27"/>
  <c r="D7" i="27"/>
  <c r="C7" i="27"/>
  <c r="B7" i="27"/>
  <c r="L6" i="27"/>
  <c r="K6" i="27"/>
  <c r="J6" i="27"/>
  <c r="I6" i="27"/>
  <c r="H6" i="27"/>
  <c r="G6" i="27"/>
  <c r="F6" i="27"/>
  <c r="E6" i="27"/>
  <c r="D6" i="27"/>
  <c r="C6" i="27"/>
  <c r="B6" i="27"/>
  <c r="L5" i="27"/>
  <c r="K5" i="27"/>
  <c r="J5" i="27"/>
  <c r="I5" i="27"/>
  <c r="H5" i="27"/>
  <c r="G5" i="27"/>
  <c r="F5" i="27"/>
  <c r="E5" i="27"/>
  <c r="D5" i="27"/>
  <c r="C5" i="27"/>
  <c r="B5" i="27"/>
  <c r="L4" i="27"/>
  <c r="K4" i="27"/>
  <c r="J4" i="27"/>
  <c r="I4" i="27"/>
  <c r="H4" i="27"/>
  <c r="G4" i="27"/>
  <c r="F4" i="27"/>
  <c r="E4" i="27"/>
  <c r="D4" i="27"/>
  <c r="C4" i="27"/>
  <c r="B4" i="27"/>
  <c r="L3" i="27"/>
  <c r="K3" i="27"/>
  <c r="J3" i="27"/>
  <c r="I3" i="27"/>
  <c r="H3" i="27"/>
  <c r="G3" i="27"/>
  <c r="F3" i="27"/>
  <c r="E3" i="27"/>
  <c r="D3" i="27"/>
  <c r="C3" i="27"/>
  <c r="B3" i="27"/>
  <c r="L2" i="27"/>
  <c r="K2" i="27"/>
  <c r="J2" i="27"/>
  <c r="I2" i="27"/>
  <c r="H2" i="27"/>
  <c r="G2" i="27"/>
  <c r="F2" i="27"/>
  <c r="E2" i="27"/>
  <c r="D2" i="27"/>
  <c r="C2" i="27"/>
  <c r="B2" i="27"/>
  <c r="A1" i="27"/>
  <c r="B27" i="26" s="1"/>
  <c r="G22" i="28"/>
  <c r="F22" i="28"/>
  <c r="E22" i="28"/>
  <c r="D22" i="28"/>
  <c r="C22" i="28"/>
  <c r="B22" i="28"/>
  <c r="G21" i="28"/>
  <c r="F21" i="28"/>
  <c r="E21" i="28"/>
  <c r="D21" i="28"/>
  <c r="C21" i="28"/>
  <c r="B21" i="28"/>
  <c r="G20" i="28"/>
  <c r="F20" i="28"/>
  <c r="E20" i="28"/>
  <c r="D20" i="28"/>
  <c r="C20" i="28"/>
  <c r="B20" i="28"/>
  <c r="G19" i="28"/>
  <c r="F19" i="28"/>
  <c r="E19" i="28"/>
  <c r="D19" i="28"/>
  <c r="C19" i="28"/>
  <c r="B19" i="28"/>
  <c r="G18" i="28"/>
  <c r="F18" i="28"/>
  <c r="E18" i="28"/>
  <c r="D18" i="28"/>
  <c r="C18" i="28"/>
  <c r="B18" i="28"/>
  <c r="G17" i="28"/>
  <c r="F17" i="28"/>
  <c r="E17" i="28"/>
  <c r="D17" i="28"/>
  <c r="C17" i="28"/>
  <c r="B17" i="28"/>
  <c r="G16" i="28"/>
  <c r="F16" i="28"/>
  <c r="E16" i="28"/>
  <c r="D16" i="28"/>
  <c r="C16" i="28"/>
  <c r="B16" i="28"/>
  <c r="G15" i="28"/>
  <c r="F15" i="28"/>
  <c r="E15" i="28"/>
  <c r="D15" i="28"/>
  <c r="C15" i="28"/>
  <c r="B15" i="28"/>
  <c r="G14" i="28"/>
  <c r="F14" i="28"/>
  <c r="E14" i="28"/>
  <c r="D14" i="28"/>
  <c r="C14" i="28"/>
  <c r="B14" i="28"/>
  <c r="G13" i="28"/>
  <c r="F13" i="28"/>
  <c r="E13" i="28"/>
  <c r="D13" i="28"/>
  <c r="C13" i="28"/>
  <c r="B13" i="28"/>
  <c r="G12" i="28"/>
  <c r="F12" i="28"/>
  <c r="E12" i="28"/>
  <c r="D12" i="28"/>
  <c r="C12" i="28"/>
  <c r="B12" i="28"/>
  <c r="G11" i="28"/>
  <c r="F11" i="28"/>
  <c r="E11" i="28"/>
  <c r="D11" i="28"/>
  <c r="C11" i="28"/>
  <c r="B11" i="28"/>
  <c r="G10" i="28"/>
  <c r="F10" i="28"/>
  <c r="E10" i="28"/>
  <c r="D10" i="28"/>
  <c r="C10" i="28"/>
  <c r="B10" i="28"/>
  <c r="G9" i="28"/>
  <c r="F9" i="28"/>
  <c r="E9" i="28"/>
  <c r="D9" i="28"/>
  <c r="C9" i="28"/>
  <c r="B9" i="28"/>
  <c r="G8" i="28"/>
  <c r="F8" i="28"/>
  <c r="E8" i="28"/>
  <c r="D8" i="28"/>
  <c r="C8" i="28"/>
  <c r="B8" i="28"/>
  <c r="G7" i="28"/>
  <c r="F7" i="28"/>
  <c r="E7" i="28"/>
  <c r="D7" i="28"/>
  <c r="C7" i="28"/>
  <c r="B7" i="28"/>
  <c r="G6" i="28"/>
  <c r="F6" i="28"/>
  <c r="E6" i="28"/>
  <c r="D6" i="28"/>
  <c r="C6" i="28"/>
  <c r="B6" i="28"/>
  <c r="G5" i="28"/>
  <c r="F5" i="28"/>
  <c r="E5" i="28"/>
  <c r="D5" i="28"/>
  <c r="C5" i="28"/>
  <c r="B5" i="28"/>
  <c r="G4" i="28"/>
  <c r="F4" i="28"/>
  <c r="E4" i="28"/>
  <c r="D4" i="28"/>
  <c r="C4" i="28"/>
  <c r="B4" i="28"/>
  <c r="G3" i="28"/>
  <c r="F3" i="28"/>
  <c r="E3" i="28"/>
  <c r="D3" i="28"/>
  <c r="C3" i="28"/>
  <c r="B3" i="28"/>
  <c r="G2" i="28"/>
  <c r="F2" i="28"/>
  <c r="E2" i="28"/>
  <c r="D2" i="28"/>
  <c r="C2" i="28"/>
  <c r="B2" i="28"/>
  <c r="A1" i="28"/>
  <c r="G22" i="30"/>
  <c r="F22" i="30"/>
  <c r="E22" i="30"/>
  <c r="D22" i="30"/>
  <c r="C22" i="30"/>
  <c r="B22" i="30"/>
  <c r="A22" i="30"/>
  <c r="G21" i="30"/>
  <c r="F21" i="30"/>
  <c r="E21" i="30"/>
  <c r="D21" i="30"/>
  <c r="C21" i="30"/>
  <c r="B21" i="30"/>
  <c r="A21" i="30"/>
  <c r="G20" i="30"/>
  <c r="F20" i="30"/>
  <c r="E20" i="30"/>
  <c r="D20" i="30"/>
  <c r="C20" i="30"/>
  <c r="B20" i="30"/>
  <c r="A20" i="30"/>
  <c r="G19" i="30"/>
  <c r="F19" i="30"/>
  <c r="E19" i="30"/>
  <c r="D19" i="30"/>
  <c r="C19" i="30"/>
  <c r="B19" i="30"/>
  <c r="A19" i="30"/>
  <c r="G18" i="30"/>
  <c r="F18" i="30"/>
  <c r="E18" i="30"/>
  <c r="D18" i="30"/>
  <c r="C18" i="30"/>
  <c r="B18" i="30"/>
  <c r="A18" i="30"/>
  <c r="G17" i="30"/>
  <c r="F17" i="30"/>
  <c r="E17" i="30"/>
  <c r="D17" i="30"/>
  <c r="C17" i="30"/>
  <c r="B17" i="30"/>
  <c r="A17" i="30"/>
  <c r="G16" i="30"/>
  <c r="F16" i="30"/>
  <c r="E16" i="30"/>
  <c r="D16" i="30"/>
  <c r="C16" i="30"/>
  <c r="B16" i="30"/>
  <c r="A16" i="30"/>
  <c r="G15" i="30"/>
  <c r="F15" i="30"/>
  <c r="E15" i="30"/>
  <c r="D15" i="30"/>
  <c r="C15" i="30"/>
  <c r="B15" i="30"/>
  <c r="A15" i="30"/>
  <c r="G14" i="30"/>
  <c r="F14" i="30"/>
  <c r="E14" i="30"/>
  <c r="D14" i="30"/>
  <c r="C14" i="30"/>
  <c r="B14" i="30"/>
  <c r="A14" i="30"/>
  <c r="G13" i="30"/>
  <c r="F13" i="30"/>
  <c r="E13" i="30"/>
  <c r="D13" i="30"/>
  <c r="C13" i="30"/>
  <c r="B13" i="30"/>
  <c r="A13" i="30"/>
  <c r="G12" i="30"/>
  <c r="F12" i="30"/>
  <c r="E12" i="30"/>
  <c r="D12" i="30"/>
  <c r="C12" i="30"/>
  <c r="B12" i="30"/>
  <c r="A12" i="30"/>
  <c r="G11" i="30"/>
  <c r="F11" i="30"/>
  <c r="E11" i="30"/>
  <c r="D11" i="30"/>
  <c r="C11" i="30"/>
  <c r="B11" i="30"/>
  <c r="A11" i="30"/>
  <c r="G10" i="30"/>
  <c r="F10" i="30"/>
  <c r="E10" i="30"/>
  <c r="D10" i="30"/>
  <c r="C10" i="30"/>
  <c r="B10" i="30"/>
  <c r="A10" i="30"/>
  <c r="G9" i="30"/>
  <c r="F9" i="30"/>
  <c r="E9" i="30"/>
  <c r="D9" i="30"/>
  <c r="C9" i="30"/>
  <c r="B9" i="30"/>
  <c r="A9" i="30"/>
  <c r="G8" i="30"/>
  <c r="F8" i="30"/>
  <c r="E8" i="30"/>
  <c r="D8" i="30"/>
  <c r="C8" i="30"/>
  <c r="B8" i="30"/>
  <c r="A8" i="30"/>
  <c r="G7" i="30"/>
  <c r="F7" i="30"/>
  <c r="E7" i="30"/>
  <c r="D7" i="30"/>
  <c r="C7" i="30"/>
  <c r="B7" i="30"/>
  <c r="A7" i="30"/>
  <c r="G6" i="30"/>
  <c r="F6" i="30"/>
  <c r="E6" i="30"/>
  <c r="D6" i="30"/>
  <c r="C6" i="30"/>
  <c r="B6" i="30"/>
  <c r="A6" i="30"/>
  <c r="G5" i="30"/>
  <c r="F5" i="30"/>
  <c r="E5" i="30"/>
  <c r="D5" i="30"/>
  <c r="C5" i="30"/>
  <c r="B5" i="30"/>
  <c r="A5" i="30"/>
  <c r="G4" i="30"/>
  <c r="F4" i="30"/>
  <c r="E4" i="30"/>
  <c r="D4" i="30"/>
  <c r="C4" i="30"/>
  <c r="B4" i="30"/>
  <c r="A4" i="30"/>
  <c r="G3" i="30"/>
  <c r="F3" i="30"/>
  <c r="E3" i="30"/>
  <c r="D3" i="30"/>
  <c r="C3" i="30"/>
  <c r="B3" i="30"/>
  <c r="A3" i="30"/>
  <c r="G2" i="30"/>
  <c r="F2" i="30"/>
  <c r="E2" i="30"/>
  <c r="D2" i="30"/>
  <c r="C2" i="30"/>
  <c r="B2" i="30"/>
  <c r="G22" i="29"/>
  <c r="F22" i="29"/>
  <c r="E22" i="29"/>
  <c r="D22" i="29"/>
  <c r="C22" i="29"/>
  <c r="B22" i="29"/>
  <c r="A22" i="29"/>
  <c r="G21" i="29"/>
  <c r="F21" i="29"/>
  <c r="E21" i="29"/>
  <c r="D21" i="29"/>
  <c r="C21" i="29"/>
  <c r="B21" i="29"/>
  <c r="A21" i="29"/>
  <c r="G20" i="29"/>
  <c r="F20" i="29"/>
  <c r="E20" i="29"/>
  <c r="D20" i="29"/>
  <c r="C20" i="29"/>
  <c r="B20" i="29"/>
  <c r="A20" i="29"/>
  <c r="G19" i="29"/>
  <c r="F19" i="29"/>
  <c r="E19" i="29"/>
  <c r="D19" i="29"/>
  <c r="C19" i="29"/>
  <c r="B19" i="29"/>
  <c r="A19" i="29"/>
  <c r="G18" i="29"/>
  <c r="F18" i="29"/>
  <c r="E18" i="29"/>
  <c r="D18" i="29"/>
  <c r="C18" i="29"/>
  <c r="B18" i="29"/>
  <c r="A18" i="29"/>
  <c r="G17" i="29"/>
  <c r="F17" i="29"/>
  <c r="E17" i="29"/>
  <c r="D17" i="29"/>
  <c r="C17" i="29"/>
  <c r="B17" i="29"/>
  <c r="A17" i="29"/>
  <c r="G16" i="29"/>
  <c r="F16" i="29"/>
  <c r="E16" i="29"/>
  <c r="D16" i="29"/>
  <c r="C16" i="29"/>
  <c r="B16" i="29"/>
  <c r="A16" i="29"/>
  <c r="G15" i="29"/>
  <c r="F15" i="29"/>
  <c r="E15" i="29"/>
  <c r="D15" i="29"/>
  <c r="C15" i="29"/>
  <c r="B15" i="29"/>
  <c r="A15" i="29"/>
  <c r="G14" i="29"/>
  <c r="F14" i="29"/>
  <c r="E14" i="29"/>
  <c r="D14" i="29"/>
  <c r="C14" i="29"/>
  <c r="B14" i="29"/>
  <c r="A14" i="29"/>
  <c r="G13" i="29"/>
  <c r="F13" i="29"/>
  <c r="E13" i="29"/>
  <c r="D13" i="29"/>
  <c r="C13" i="29"/>
  <c r="B13" i="29"/>
  <c r="A13" i="29"/>
  <c r="G12" i="29"/>
  <c r="F12" i="29"/>
  <c r="E12" i="29"/>
  <c r="D12" i="29"/>
  <c r="C12" i="29"/>
  <c r="B12" i="29"/>
  <c r="A12" i="29"/>
  <c r="G11" i="29"/>
  <c r="F11" i="29"/>
  <c r="E11" i="29"/>
  <c r="D11" i="29"/>
  <c r="C11" i="29"/>
  <c r="B11" i="29"/>
  <c r="A11" i="29"/>
  <c r="G10" i="29"/>
  <c r="F10" i="29"/>
  <c r="E10" i="29"/>
  <c r="D10" i="29"/>
  <c r="C10" i="29"/>
  <c r="B10" i="29"/>
  <c r="A10" i="29"/>
  <c r="G9" i="29"/>
  <c r="F9" i="29"/>
  <c r="E9" i="29"/>
  <c r="D9" i="29"/>
  <c r="C9" i="29"/>
  <c r="B9" i="29"/>
  <c r="A9" i="29"/>
  <c r="G8" i="29"/>
  <c r="F8" i="29"/>
  <c r="E8" i="29"/>
  <c r="D8" i="29"/>
  <c r="C8" i="29"/>
  <c r="B8" i="29"/>
  <c r="A8" i="29"/>
  <c r="G7" i="29"/>
  <c r="F7" i="29"/>
  <c r="E7" i="29"/>
  <c r="D7" i="29"/>
  <c r="C7" i="29"/>
  <c r="B7" i="29"/>
  <c r="A7" i="29"/>
  <c r="G6" i="29"/>
  <c r="F6" i="29"/>
  <c r="E6" i="29"/>
  <c r="D6" i="29"/>
  <c r="C6" i="29"/>
  <c r="B6" i="29"/>
  <c r="A6" i="29"/>
  <c r="G5" i="29"/>
  <c r="F5" i="29"/>
  <c r="E5" i="29"/>
  <c r="D5" i="29"/>
  <c r="C5" i="29"/>
  <c r="B5" i="29"/>
  <c r="A5" i="29"/>
  <c r="G4" i="29"/>
  <c r="F4" i="29"/>
  <c r="E4" i="29"/>
  <c r="D4" i="29"/>
  <c r="C4" i="29"/>
  <c r="B4" i="29"/>
  <c r="A4" i="29"/>
  <c r="G3" i="29"/>
  <c r="F3" i="29"/>
  <c r="E3" i="29"/>
  <c r="D3" i="29"/>
  <c r="C3" i="29"/>
  <c r="B3" i="29"/>
  <c r="A3" i="29"/>
  <c r="G2" i="29"/>
  <c r="F2" i="29"/>
  <c r="E2" i="29"/>
  <c r="D2" i="29"/>
  <c r="C2" i="29"/>
  <c r="B2" i="29"/>
  <c r="L60" i="34"/>
  <c r="K60" i="34"/>
  <c r="J60" i="34"/>
  <c r="I60" i="34"/>
  <c r="H60" i="34"/>
  <c r="G60" i="34"/>
  <c r="F60" i="34"/>
  <c r="E60" i="34"/>
  <c r="D60" i="34"/>
  <c r="C60" i="34"/>
  <c r="B60" i="34"/>
  <c r="A60" i="34"/>
  <c r="L59" i="34"/>
  <c r="K59" i="34"/>
  <c r="J59" i="34"/>
  <c r="I59" i="34"/>
  <c r="H59" i="34"/>
  <c r="G59" i="34"/>
  <c r="F59" i="34"/>
  <c r="E59" i="34"/>
  <c r="D59" i="34"/>
  <c r="C59" i="34"/>
  <c r="B59" i="34"/>
  <c r="L58" i="34"/>
  <c r="K58" i="34"/>
  <c r="J58" i="34"/>
  <c r="I58" i="34"/>
  <c r="H58" i="34"/>
  <c r="G58" i="34"/>
  <c r="F58" i="34"/>
  <c r="E58" i="34"/>
  <c r="D58" i="34"/>
  <c r="C58" i="34"/>
  <c r="B58" i="34"/>
  <c r="L57" i="34"/>
  <c r="K57" i="34"/>
  <c r="J57" i="34"/>
  <c r="I57" i="34"/>
  <c r="H57" i="34"/>
  <c r="G57" i="34"/>
  <c r="F57" i="34"/>
  <c r="E57" i="34"/>
  <c r="D57" i="34"/>
  <c r="C57" i="34"/>
  <c r="B57" i="34"/>
  <c r="L56" i="34"/>
  <c r="K56" i="34"/>
  <c r="J56" i="34"/>
  <c r="I56" i="34"/>
  <c r="H56" i="34"/>
  <c r="G56" i="34"/>
  <c r="F56" i="34"/>
  <c r="E56" i="34"/>
  <c r="D56" i="34"/>
  <c r="C56" i="34"/>
  <c r="B56" i="34"/>
  <c r="L55" i="34"/>
  <c r="K55" i="34"/>
  <c r="J55" i="34"/>
  <c r="I55" i="34"/>
  <c r="H55" i="34"/>
  <c r="G55" i="34"/>
  <c r="F55" i="34"/>
  <c r="E55" i="34"/>
  <c r="D55" i="34"/>
  <c r="C55" i="34"/>
  <c r="B55" i="34"/>
  <c r="L54" i="34"/>
  <c r="K54" i="34"/>
  <c r="J54" i="34"/>
  <c r="I54" i="34"/>
  <c r="H54" i="34"/>
  <c r="G54" i="34"/>
  <c r="F54" i="34"/>
  <c r="E54" i="34"/>
  <c r="D54" i="34"/>
  <c r="C54" i="34"/>
  <c r="B54" i="34"/>
  <c r="L53" i="34"/>
  <c r="K53" i="34"/>
  <c r="J53" i="34"/>
  <c r="I53" i="34"/>
  <c r="H53" i="34"/>
  <c r="G53" i="34"/>
  <c r="F53" i="34"/>
  <c r="E53" i="34"/>
  <c r="D53" i="34"/>
  <c r="C53" i="34"/>
  <c r="B53" i="34"/>
  <c r="L52" i="34"/>
  <c r="K52" i="34"/>
  <c r="J52" i="34"/>
  <c r="I52" i="34"/>
  <c r="H52" i="34"/>
  <c r="G52" i="34"/>
  <c r="F52" i="34"/>
  <c r="E52" i="34"/>
  <c r="D52" i="34"/>
  <c r="C52" i="34"/>
  <c r="B52" i="34"/>
  <c r="L51" i="34"/>
  <c r="K51" i="34"/>
  <c r="J51" i="34"/>
  <c r="I51" i="34"/>
  <c r="H51" i="34"/>
  <c r="G51" i="34"/>
  <c r="F51" i="34"/>
  <c r="E51" i="34"/>
  <c r="D51" i="34"/>
  <c r="C51" i="34"/>
  <c r="B51" i="34"/>
  <c r="L50" i="34"/>
  <c r="K50" i="34"/>
  <c r="J50" i="34"/>
  <c r="I50" i="34"/>
  <c r="H50" i="34"/>
  <c r="G50" i="34"/>
  <c r="F50" i="34"/>
  <c r="E50" i="34"/>
  <c r="D50" i="34"/>
  <c r="C50" i="34"/>
  <c r="B50" i="34"/>
  <c r="L49" i="34"/>
  <c r="K49" i="34"/>
  <c r="J49" i="34"/>
  <c r="I49" i="34"/>
  <c r="H49" i="34"/>
  <c r="G49" i="34"/>
  <c r="F49" i="34"/>
  <c r="E49" i="34"/>
  <c r="D49" i="34"/>
  <c r="C49" i="34"/>
  <c r="B49" i="34"/>
  <c r="A49" i="34"/>
  <c r="L48" i="34"/>
  <c r="K48" i="34"/>
  <c r="J48" i="34"/>
  <c r="I48" i="34"/>
  <c r="H48" i="34"/>
  <c r="G48" i="34"/>
  <c r="F48" i="34"/>
  <c r="E48" i="34"/>
  <c r="D48" i="34"/>
  <c r="C48" i="34"/>
  <c r="B48" i="34"/>
  <c r="L47" i="34"/>
  <c r="K47" i="34"/>
  <c r="J47" i="34"/>
  <c r="I47" i="34"/>
  <c r="H47" i="34"/>
  <c r="G47" i="34"/>
  <c r="F47" i="34"/>
  <c r="E47" i="34"/>
  <c r="D47" i="34"/>
  <c r="C47" i="34"/>
  <c r="B47" i="34"/>
  <c r="L46" i="34"/>
  <c r="K46" i="34"/>
  <c r="J46" i="34"/>
  <c r="I46" i="34"/>
  <c r="H46" i="34"/>
  <c r="G46" i="34"/>
  <c r="F46" i="34"/>
  <c r="E46" i="34"/>
  <c r="D46" i="34"/>
  <c r="C46" i="34"/>
  <c r="B46" i="34"/>
  <c r="L45" i="34"/>
  <c r="K45" i="34"/>
  <c r="J45" i="34"/>
  <c r="I45" i="34"/>
  <c r="H45" i="34"/>
  <c r="G45" i="34"/>
  <c r="F45" i="34"/>
  <c r="E45" i="34"/>
  <c r="D45" i="34"/>
  <c r="C45" i="34"/>
  <c r="B45" i="34"/>
  <c r="L44" i="34"/>
  <c r="K44" i="34"/>
  <c r="J44" i="34"/>
  <c r="I44" i="34"/>
  <c r="H44" i="34"/>
  <c r="G44" i="34"/>
  <c r="F44" i="34"/>
  <c r="E44" i="34"/>
  <c r="D44" i="34"/>
  <c r="C44" i="34"/>
  <c r="B44" i="34"/>
  <c r="L43" i="34"/>
  <c r="K43" i="34"/>
  <c r="J43" i="34"/>
  <c r="I43" i="34"/>
  <c r="H43" i="34"/>
  <c r="G43" i="34"/>
  <c r="F43" i="34"/>
  <c r="E43" i="34"/>
  <c r="D43" i="34"/>
  <c r="C43" i="34"/>
  <c r="B43" i="34"/>
  <c r="L42" i="34"/>
  <c r="K42" i="34"/>
  <c r="J42" i="34"/>
  <c r="I42" i="34"/>
  <c r="H42" i="34"/>
  <c r="G42" i="34"/>
  <c r="F42" i="34"/>
  <c r="E42" i="34"/>
  <c r="D42" i="34"/>
  <c r="C42" i="34"/>
  <c r="B42" i="34"/>
  <c r="L41" i="34"/>
  <c r="K41" i="34"/>
  <c r="J41" i="34"/>
  <c r="I41" i="34"/>
  <c r="H41" i="34"/>
  <c r="G41" i="34"/>
  <c r="F41" i="34"/>
  <c r="E41" i="34"/>
  <c r="D41" i="34"/>
  <c r="C41" i="34"/>
  <c r="B41" i="34"/>
  <c r="L40" i="34"/>
  <c r="K40" i="34"/>
  <c r="J40" i="34"/>
  <c r="I40" i="34"/>
  <c r="H40" i="34"/>
  <c r="G40" i="34"/>
  <c r="F40" i="34"/>
  <c r="E40" i="34"/>
  <c r="D40" i="34"/>
  <c r="C40" i="34"/>
  <c r="B40" i="34"/>
  <c r="A40" i="34"/>
  <c r="L39" i="34"/>
  <c r="K39" i="34"/>
  <c r="J39" i="34"/>
  <c r="I39" i="34"/>
  <c r="H39" i="34"/>
  <c r="G39" i="34"/>
  <c r="F39" i="34"/>
  <c r="E39" i="34"/>
  <c r="D39" i="34"/>
  <c r="C39" i="34"/>
  <c r="B39" i="34"/>
  <c r="L38" i="34"/>
  <c r="K38" i="34"/>
  <c r="J38" i="34"/>
  <c r="I38" i="34"/>
  <c r="H38" i="34"/>
  <c r="G38" i="34"/>
  <c r="F38" i="34"/>
  <c r="E38" i="34"/>
  <c r="D38" i="34"/>
  <c r="C38" i="34"/>
  <c r="B38" i="34"/>
  <c r="A38" i="34"/>
  <c r="L37" i="34"/>
  <c r="K37" i="34"/>
  <c r="J37" i="34"/>
  <c r="I37" i="34"/>
  <c r="H37" i="34"/>
  <c r="G37" i="34"/>
  <c r="F37" i="34"/>
  <c r="E37" i="34"/>
  <c r="D37" i="34"/>
  <c r="C37" i="34"/>
  <c r="B37" i="34"/>
  <c r="L36" i="34"/>
  <c r="K36" i="34"/>
  <c r="J36" i="34"/>
  <c r="I36" i="34"/>
  <c r="H36" i="34"/>
  <c r="G36" i="34"/>
  <c r="F36" i="34"/>
  <c r="E36" i="34"/>
  <c r="D36" i="34"/>
  <c r="C36" i="34"/>
  <c r="B36" i="34"/>
  <c r="L35" i="34"/>
  <c r="K35" i="34"/>
  <c r="J35" i="34"/>
  <c r="I35" i="34"/>
  <c r="H35" i="34"/>
  <c r="G35" i="34"/>
  <c r="F35" i="34"/>
  <c r="E35" i="34"/>
  <c r="D35" i="34"/>
  <c r="C35" i="34"/>
  <c r="B35" i="34"/>
  <c r="L34" i="34"/>
  <c r="K34" i="34"/>
  <c r="J34" i="34"/>
  <c r="I34" i="34"/>
  <c r="H34" i="34"/>
  <c r="G34" i="34"/>
  <c r="F34" i="34"/>
  <c r="E34" i="34"/>
  <c r="D34" i="34"/>
  <c r="C34" i="34"/>
  <c r="B34" i="34"/>
  <c r="L33" i="34"/>
  <c r="K33" i="34"/>
  <c r="J33" i="34"/>
  <c r="I33" i="34"/>
  <c r="H33" i="34"/>
  <c r="G33" i="34"/>
  <c r="F33" i="34"/>
  <c r="E33" i="34"/>
  <c r="D33" i="34"/>
  <c r="C33" i="34"/>
  <c r="B33" i="34"/>
  <c r="A33" i="34"/>
  <c r="L32" i="34"/>
  <c r="K32" i="34"/>
  <c r="J32" i="34"/>
  <c r="I32" i="34"/>
  <c r="H32" i="34"/>
  <c r="G32" i="34"/>
  <c r="F32" i="34"/>
  <c r="E32" i="34"/>
  <c r="D32" i="34"/>
  <c r="C32" i="34"/>
  <c r="B32" i="34"/>
  <c r="L31" i="34"/>
  <c r="K31" i="34"/>
  <c r="J31" i="34"/>
  <c r="I31" i="34"/>
  <c r="H31" i="34"/>
  <c r="G31" i="34"/>
  <c r="F31" i="34"/>
  <c r="E31" i="34"/>
  <c r="D31" i="34"/>
  <c r="C31" i="34"/>
  <c r="B31" i="34"/>
  <c r="L30" i="34"/>
  <c r="K30" i="34"/>
  <c r="J30" i="34"/>
  <c r="I30" i="34"/>
  <c r="H30" i="34"/>
  <c r="G30" i="34"/>
  <c r="F30" i="34"/>
  <c r="E30" i="34"/>
  <c r="D30" i="34"/>
  <c r="C30" i="34"/>
  <c r="B30" i="34"/>
  <c r="L29" i="34"/>
  <c r="K29" i="34"/>
  <c r="J29" i="34"/>
  <c r="I29" i="34"/>
  <c r="H29" i="34"/>
  <c r="G29" i="34"/>
  <c r="F29" i="34"/>
  <c r="E29" i="34"/>
  <c r="D29" i="34"/>
  <c r="C29" i="34"/>
  <c r="B29" i="34"/>
  <c r="L28" i="34"/>
  <c r="K28" i="34"/>
  <c r="J28" i="34"/>
  <c r="I28" i="34"/>
  <c r="H28" i="34"/>
  <c r="G28" i="34"/>
  <c r="F28" i="34"/>
  <c r="E28" i="34"/>
  <c r="D28" i="34"/>
  <c r="C28" i="34"/>
  <c r="B28" i="34"/>
  <c r="L27" i="34"/>
  <c r="K27" i="34"/>
  <c r="J27" i="34"/>
  <c r="I27" i="34"/>
  <c r="H27" i="34"/>
  <c r="G27" i="34"/>
  <c r="F27" i="34"/>
  <c r="E27" i="34"/>
  <c r="D27" i="34"/>
  <c r="C27" i="34"/>
  <c r="B27" i="34"/>
  <c r="L26" i="34"/>
  <c r="K26" i="34"/>
  <c r="J26" i="34"/>
  <c r="I26" i="34"/>
  <c r="H26" i="34"/>
  <c r="G26" i="34"/>
  <c r="F26" i="34"/>
  <c r="E26" i="34"/>
  <c r="D26" i="34"/>
  <c r="C26" i="34"/>
  <c r="B26" i="34"/>
  <c r="L25" i="34"/>
  <c r="K25" i="34"/>
  <c r="J25" i="34"/>
  <c r="I25" i="34"/>
  <c r="H25" i="34"/>
  <c r="G25" i="34"/>
  <c r="F25" i="34"/>
  <c r="E25" i="34"/>
  <c r="D25" i="34"/>
  <c r="C25" i="34"/>
  <c r="B25" i="34"/>
  <c r="A25" i="34"/>
  <c r="L24" i="34"/>
  <c r="K24" i="34"/>
  <c r="J24" i="34"/>
  <c r="I24" i="34"/>
  <c r="H24" i="34"/>
  <c r="G24" i="34"/>
  <c r="F24" i="34"/>
  <c r="E24" i="34"/>
  <c r="D24" i="34"/>
  <c r="C24" i="34"/>
  <c r="B24" i="34"/>
  <c r="L23" i="34"/>
  <c r="K23" i="34"/>
  <c r="J23" i="34"/>
  <c r="I23" i="34"/>
  <c r="H23" i="34"/>
  <c r="G23" i="34"/>
  <c r="F23" i="34"/>
  <c r="E23" i="34"/>
  <c r="D23" i="34"/>
  <c r="C23" i="34"/>
  <c r="B23" i="34"/>
  <c r="L22" i="34"/>
  <c r="K22" i="34"/>
  <c r="J22" i="34"/>
  <c r="I22" i="34"/>
  <c r="H22" i="34"/>
  <c r="G22" i="34"/>
  <c r="F22" i="34"/>
  <c r="E22" i="34"/>
  <c r="D22" i="34"/>
  <c r="C22" i="34"/>
  <c r="B22" i="34"/>
  <c r="L21" i="34"/>
  <c r="K21" i="34"/>
  <c r="J21" i="34"/>
  <c r="I21" i="34"/>
  <c r="H21" i="34"/>
  <c r="G21" i="34"/>
  <c r="F21" i="34"/>
  <c r="E21" i="34"/>
  <c r="D21" i="34"/>
  <c r="C21" i="34"/>
  <c r="B21" i="34"/>
  <c r="L20" i="34"/>
  <c r="K20" i="34"/>
  <c r="J20" i="34"/>
  <c r="I20" i="34"/>
  <c r="H20" i="34"/>
  <c r="G20" i="34"/>
  <c r="F20" i="34"/>
  <c r="E20" i="34"/>
  <c r="D20" i="34"/>
  <c r="C20" i="34"/>
  <c r="B20" i="34"/>
  <c r="L19" i="34"/>
  <c r="K19" i="34"/>
  <c r="J19" i="34"/>
  <c r="I19" i="34"/>
  <c r="H19" i="34"/>
  <c r="G19" i="34"/>
  <c r="F19" i="34"/>
  <c r="E19" i="34"/>
  <c r="D19" i="34"/>
  <c r="C19" i="34"/>
  <c r="B19" i="34"/>
  <c r="A19" i="34"/>
  <c r="L18" i="34"/>
  <c r="K18" i="34"/>
  <c r="J18" i="34"/>
  <c r="I18" i="34"/>
  <c r="H18" i="34"/>
  <c r="G18" i="34"/>
  <c r="F18" i="34"/>
  <c r="E18" i="34"/>
  <c r="D18" i="34"/>
  <c r="C18" i="34"/>
  <c r="B18" i="34"/>
  <c r="L17" i="34"/>
  <c r="K17" i="34"/>
  <c r="J17" i="34"/>
  <c r="I17" i="34"/>
  <c r="H17" i="34"/>
  <c r="G17" i="34"/>
  <c r="F17" i="34"/>
  <c r="E17" i="34"/>
  <c r="D17" i="34"/>
  <c r="C17" i="34"/>
  <c r="B17" i="34"/>
  <c r="L16" i="34"/>
  <c r="K16" i="34"/>
  <c r="J16" i="34"/>
  <c r="I16" i="34"/>
  <c r="H16" i="34"/>
  <c r="G16" i="34"/>
  <c r="F16" i="34"/>
  <c r="E16" i="34"/>
  <c r="D16" i="34"/>
  <c r="C16" i="34"/>
  <c r="B16" i="34"/>
  <c r="L15" i="34"/>
  <c r="K15" i="34"/>
  <c r="J15" i="34"/>
  <c r="I15" i="34"/>
  <c r="H15" i="34"/>
  <c r="G15" i="34"/>
  <c r="F15" i="34"/>
  <c r="E15" i="34"/>
  <c r="D15" i="34"/>
  <c r="C15" i="34"/>
  <c r="B15" i="34"/>
  <c r="L14" i="34"/>
  <c r="K14" i="34"/>
  <c r="J14" i="34"/>
  <c r="I14" i="34"/>
  <c r="H14" i="34"/>
  <c r="G14" i="34"/>
  <c r="F14" i="34"/>
  <c r="E14" i="34"/>
  <c r="D14" i="34"/>
  <c r="C14" i="34"/>
  <c r="B14" i="34"/>
  <c r="L13" i="34"/>
  <c r="K13" i="34"/>
  <c r="J13" i="34"/>
  <c r="I13" i="34"/>
  <c r="H13" i="34"/>
  <c r="G13" i="34"/>
  <c r="F13" i="34"/>
  <c r="E13" i="34"/>
  <c r="D13" i="34"/>
  <c r="C13" i="34"/>
  <c r="B13" i="34"/>
  <c r="L12" i="34"/>
  <c r="K12" i="34"/>
  <c r="J12" i="34"/>
  <c r="I12" i="34"/>
  <c r="H12" i="34"/>
  <c r="G12" i="34"/>
  <c r="F12" i="34"/>
  <c r="E12" i="34"/>
  <c r="D12" i="34"/>
  <c r="C12" i="34"/>
  <c r="B12" i="34"/>
  <c r="L11" i="34"/>
  <c r="K11" i="34"/>
  <c r="J11" i="34"/>
  <c r="I11" i="34"/>
  <c r="H11" i="34"/>
  <c r="G11" i="34"/>
  <c r="F11" i="34"/>
  <c r="E11" i="34"/>
  <c r="D11" i="34"/>
  <c r="C11" i="34"/>
  <c r="B11" i="34"/>
  <c r="L10" i="34"/>
  <c r="K10" i="34"/>
  <c r="J10" i="34"/>
  <c r="I10" i="34"/>
  <c r="H10" i="34"/>
  <c r="G10" i="34"/>
  <c r="F10" i="34"/>
  <c r="E10" i="34"/>
  <c r="D10" i="34"/>
  <c r="C10" i="34"/>
  <c r="B10" i="34"/>
  <c r="L9" i="34"/>
  <c r="K9" i="34"/>
  <c r="J9" i="34"/>
  <c r="I9" i="34"/>
  <c r="H9" i="34"/>
  <c r="G9" i="34"/>
  <c r="F9" i="34"/>
  <c r="E9" i="34"/>
  <c r="D9" i="34"/>
  <c r="C9" i="34"/>
  <c r="B9" i="34"/>
  <c r="L8" i="34"/>
  <c r="K8" i="34"/>
  <c r="J8" i="34"/>
  <c r="I8" i="34"/>
  <c r="H8" i="34"/>
  <c r="G8" i="34"/>
  <c r="F8" i="34"/>
  <c r="E8" i="34"/>
  <c r="D8" i="34"/>
  <c r="C8" i="34"/>
  <c r="B8" i="34"/>
  <c r="A8" i="34"/>
  <c r="L7" i="34"/>
  <c r="K7" i="34"/>
  <c r="J7" i="34"/>
  <c r="I7" i="34"/>
  <c r="H7" i="34"/>
  <c r="G7" i="34"/>
  <c r="F7" i="34"/>
  <c r="E7" i="34"/>
  <c r="D7" i="34"/>
  <c r="C7" i="34"/>
  <c r="B7" i="34"/>
  <c r="L6" i="34"/>
  <c r="K6" i="34"/>
  <c r="J6" i="34"/>
  <c r="I6" i="34"/>
  <c r="H6" i="34"/>
  <c r="G6" i="34"/>
  <c r="F6" i="34"/>
  <c r="E6" i="34"/>
  <c r="D6" i="34"/>
  <c r="C6" i="34"/>
  <c r="B6" i="34"/>
  <c r="L5" i="34"/>
  <c r="K5" i="34"/>
  <c r="J5" i="34"/>
  <c r="I5" i="34"/>
  <c r="H5" i="34"/>
  <c r="G5" i="34"/>
  <c r="F5" i="34"/>
  <c r="E5" i="34"/>
  <c r="D5" i="34"/>
  <c r="C5" i="34"/>
  <c r="B5" i="34"/>
  <c r="L4" i="34"/>
  <c r="K4" i="34"/>
  <c r="J4" i="34"/>
  <c r="I4" i="34"/>
  <c r="H4" i="34"/>
  <c r="G4" i="34"/>
  <c r="F4" i="34"/>
  <c r="E4" i="34"/>
  <c r="D4" i="34"/>
  <c r="C4" i="34"/>
  <c r="B4" i="34"/>
  <c r="L3" i="34"/>
  <c r="K3" i="34"/>
  <c r="J3" i="34"/>
  <c r="I3" i="34"/>
  <c r="H3" i="34"/>
  <c r="G3" i="34"/>
  <c r="F3" i="34"/>
  <c r="E3" i="34"/>
  <c r="D3" i="34"/>
  <c r="C3" i="34"/>
  <c r="B3" i="34"/>
  <c r="A3" i="34"/>
  <c r="L2" i="34"/>
  <c r="K2" i="34"/>
  <c r="J2" i="34"/>
  <c r="I2" i="34"/>
  <c r="H2" i="34"/>
  <c r="G2" i="34"/>
  <c r="F2" i="34"/>
  <c r="E2" i="34"/>
  <c r="D2" i="34"/>
  <c r="C2" i="34"/>
  <c r="B2" i="34"/>
  <c r="A2" i="34"/>
  <c r="A1" i="34"/>
  <c r="K11" i="33"/>
  <c r="J11" i="33"/>
  <c r="I11" i="33"/>
  <c r="H11" i="33"/>
  <c r="G11" i="33"/>
  <c r="F11" i="33"/>
  <c r="E11" i="33"/>
  <c r="D11" i="33"/>
  <c r="C11" i="33"/>
  <c r="B11" i="33"/>
  <c r="A11" i="33"/>
  <c r="K10" i="33"/>
  <c r="J10" i="33"/>
  <c r="I10" i="33"/>
  <c r="H10" i="33"/>
  <c r="G10" i="33"/>
  <c r="F10" i="33"/>
  <c r="E10" i="33"/>
  <c r="D10" i="33"/>
  <c r="C10" i="33"/>
  <c r="B10" i="33"/>
  <c r="A10" i="33"/>
  <c r="K9" i="33"/>
  <c r="J9" i="33"/>
  <c r="I9" i="33"/>
  <c r="H9" i="33"/>
  <c r="G9" i="33"/>
  <c r="F9" i="33"/>
  <c r="E9" i="33"/>
  <c r="D9" i="33"/>
  <c r="C9" i="33"/>
  <c r="B9" i="33"/>
  <c r="A9" i="33"/>
  <c r="K8" i="33"/>
  <c r="J8" i="33"/>
  <c r="I8" i="33"/>
  <c r="H8" i="33"/>
  <c r="G8" i="33"/>
  <c r="F8" i="33"/>
  <c r="E8" i="33"/>
  <c r="D8" i="33"/>
  <c r="C8" i="33"/>
  <c r="B8" i="33"/>
  <c r="A8" i="33"/>
  <c r="K7" i="33"/>
  <c r="J7" i="33"/>
  <c r="I7" i="33"/>
  <c r="H7" i="33"/>
  <c r="G7" i="33"/>
  <c r="F7" i="33"/>
  <c r="E7" i="33"/>
  <c r="D7" i="33"/>
  <c r="C7" i="33"/>
  <c r="B7" i="33"/>
  <c r="A7" i="33"/>
  <c r="K6" i="33"/>
  <c r="J6" i="33"/>
  <c r="I6" i="33"/>
  <c r="H6" i="33"/>
  <c r="G6" i="33"/>
  <c r="F6" i="33"/>
  <c r="E6" i="33"/>
  <c r="D6" i="33"/>
  <c r="C6" i="33"/>
  <c r="B6" i="33"/>
  <c r="A6" i="33"/>
  <c r="K5" i="33"/>
  <c r="J5" i="33"/>
  <c r="I5" i="33"/>
  <c r="H5" i="33"/>
  <c r="G5" i="33"/>
  <c r="F5" i="33"/>
  <c r="E5" i="33"/>
  <c r="D5" i="33"/>
  <c r="C5" i="33"/>
  <c r="B5" i="33"/>
  <c r="A5" i="33"/>
  <c r="K4" i="33"/>
  <c r="J4" i="33"/>
  <c r="I4" i="33"/>
  <c r="H4" i="33"/>
  <c r="G4" i="33"/>
  <c r="F4" i="33"/>
  <c r="E4" i="33"/>
  <c r="D4" i="33"/>
  <c r="C4" i="33"/>
  <c r="B4" i="33"/>
  <c r="A4" i="33"/>
  <c r="K3" i="33"/>
  <c r="J3" i="33"/>
  <c r="I3" i="33"/>
  <c r="H3" i="33"/>
  <c r="G3" i="33"/>
  <c r="F3" i="33"/>
  <c r="E3" i="33"/>
  <c r="D3" i="33"/>
  <c r="C3" i="33"/>
  <c r="B3" i="33"/>
  <c r="A3" i="33"/>
  <c r="K2" i="33"/>
  <c r="J2" i="33"/>
  <c r="I2" i="33"/>
  <c r="H2" i="33"/>
  <c r="G2" i="33"/>
  <c r="F2" i="33"/>
  <c r="E2" i="33"/>
  <c r="D2" i="33"/>
  <c r="C2" i="33"/>
  <c r="B2" i="33"/>
  <c r="A1" i="33"/>
  <c r="B22" i="26" s="1"/>
  <c r="K11" i="32"/>
  <c r="J11" i="32"/>
  <c r="I11" i="32"/>
  <c r="H11" i="32"/>
  <c r="G11" i="32"/>
  <c r="F11" i="32"/>
  <c r="E11" i="32"/>
  <c r="D11" i="32"/>
  <c r="C11" i="32"/>
  <c r="B11" i="32"/>
  <c r="A11" i="32"/>
  <c r="K10" i="32"/>
  <c r="J10" i="32"/>
  <c r="I10" i="32"/>
  <c r="H10" i="32"/>
  <c r="G10" i="32"/>
  <c r="F10" i="32"/>
  <c r="E10" i="32"/>
  <c r="D10" i="32"/>
  <c r="C10" i="32"/>
  <c r="B10" i="32"/>
  <c r="A10" i="32"/>
  <c r="K9" i="32"/>
  <c r="J9" i="32"/>
  <c r="I9" i="32"/>
  <c r="H9" i="32"/>
  <c r="G9" i="32"/>
  <c r="F9" i="32"/>
  <c r="E9" i="32"/>
  <c r="D9" i="32"/>
  <c r="C9" i="32"/>
  <c r="B9" i="32"/>
  <c r="A9" i="32"/>
  <c r="K8" i="32"/>
  <c r="J8" i="32"/>
  <c r="I8" i="32"/>
  <c r="H8" i="32"/>
  <c r="G8" i="32"/>
  <c r="F8" i="32"/>
  <c r="E8" i="32"/>
  <c r="D8" i="32"/>
  <c r="C8" i="32"/>
  <c r="B8" i="32"/>
  <c r="A8" i="32"/>
  <c r="K7" i="32"/>
  <c r="J7" i="32"/>
  <c r="I7" i="32"/>
  <c r="H7" i="32"/>
  <c r="G7" i="32"/>
  <c r="F7" i="32"/>
  <c r="E7" i="32"/>
  <c r="D7" i="32"/>
  <c r="C7" i="32"/>
  <c r="B7" i="32"/>
  <c r="A7" i="32"/>
  <c r="K6" i="32"/>
  <c r="J6" i="32"/>
  <c r="I6" i="32"/>
  <c r="H6" i="32"/>
  <c r="G6" i="32"/>
  <c r="F6" i="32"/>
  <c r="E6" i="32"/>
  <c r="D6" i="32"/>
  <c r="C6" i="32"/>
  <c r="B6" i="32"/>
  <c r="A6" i="32"/>
  <c r="K5" i="32"/>
  <c r="J5" i="32"/>
  <c r="I5" i="32"/>
  <c r="H5" i="32"/>
  <c r="G5" i="32"/>
  <c r="F5" i="32"/>
  <c r="E5" i="32"/>
  <c r="D5" i="32"/>
  <c r="C5" i="32"/>
  <c r="B5" i="32"/>
  <c r="A5" i="32"/>
  <c r="K4" i="32"/>
  <c r="J4" i="32"/>
  <c r="I4" i="32"/>
  <c r="H4" i="32"/>
  <c r="G4" i="32"/>
  <c r="F4" i="32"/>
  <c r="E4" i="32"/>
  <c r="D4" i="32"/>
  <c r="C4" i="32"/>
  <c r="B4" i="32"/>
  <c r="A4" i="32"/>
  <c r="K3" i="32"/>
  <c r="J3" i="32"/>
  <c r="I3" i="32"/>
  <c r="H3" i="32"/>
  <c r="G3" i="32"/>
  <c r="F3" i="32"/>
  <c r="E3" i="32"/>
  <c r="D3" i="32"/>
  <c r="C3" i="32"/>
  <c r="B3" i="32"/>
  <c r="A3" i="32"/>
  <c r="K2" i="32"/>
  <c r="J2" i="32"/>
  <c r="I2" i="32"/>
  <c r="H2" i="32"/>
  <c r="G2" i="32"/>
  <c r="F2" i="32"/>
  <c r="E2" i="32"/>
  <c r="D2" i="32"/>
  <c r="C2" i="32"/>
  <c r="B2" i="32"/>
  <c r="A1" i="32"/>
  <c r="B21" i="26" s="1"/>
  <c r="K11" i="31"/>
  <c r="J11" i="31"/>
  <c r="I11" i="31"/>
  <c r="H11" i="31"/>
  <c r="G11" i="31"/>
  <c r="F11" i="31"/>
  <c r="E11" i="31"/>
  <c r="D11" i="31"/>
  <c r="C11" i="31"/>
  <c r="B11" i="31"/>
  <c r="A11" i="31"/>
  <c r="K10" i="31"/>
  <c r="J10" i="31"/>
  <c r="I10" i="31"/>
  <c r="H10" i="31"/>
  <c r="G10" i="31"/>
  <c r="F10" i="31"/>
  <c r="E10" i="31"/>
  <c r="D10" i="31"/>
  <c r="C10" i="31"/>
  <c r="B10" i="31"/>
  <c r="A10" i="31"/>
  <c r="K9" i="31"/>
  <c r="J9" i="31"/>
  <c r="I9" i="31"/>
  <c r="H9" i="31"/>
  <c r="G9" i="31"/>
  <c r="F9" i="31"/>
  <c r="E9" i="31"/>
  <c r="D9" i="31"/>
  <c r="C9" i="31"/>
  <c r="B9" i="31"/>
  <c r="A9" i="31"/>
  <c r="K8" i="31"/>
  <c r="J8" i="31"/>
  <c r="I8" i="31"/>
  <c r="H8" i="31"/>
  <c r="G8" i="31"/>
  <c r="F8" i="31"/>
  <c r="E8" i="31"/>
  <c r="D8" i="31"/>
  <c r="C8" i="31"/>
  <c r="B8" i="31"/>
  <c r="A8" i="31"/>
  <c r="K7" i="31"/>
  <c r="J7" i="31"/>
  <c r="I7" i="31"/>
  <c r="H7" i="31"/>
  <c r="G7" i="31"/>
  <c r="F7" i="31"/>
  <c r="E7" i="31"/>
  <c r="D7" i="31"/>
  <c r="C7" i="31"/>
  <c r="B7" i="31"/>
  <c r="A7" i="31"/>
  <c r="K6" i="31"/>
  <c r="J6" i="31"/>
  <c r="I6" i="31"/>
  <c r="H6" i="31"/>
  <c r="G6" i="31"/>
  <c r="F6" i="31"/>
  <c r="E6" i="31"/>
  <c r="D6" i="31"/>
  <c r="C6" i="31"/>
  <c r="B6" i="31"/>
  <c r="A6" i="31"/>
  <c r="K5" i="31"/>
  <c r="J5" i="31"/>
  <c r="I5" i="31"/>
  <c r="H5" i="31"/>
  <c r="G5" i="31"/>
  <c r="F5" i="31"/>
  <c r="E5" i="31"/>
  <c r="D5" i="31"/>
  <c r="C5" i="31"/>
  <c r="B5" i="31"/>
  <c r="A5" i="31"/>
  <c r="K4" i="31"/>
  <c r="J4" i="31"/>
  <c r="I4" i="31"/>
  <c r="H4" i="31"/>
  <c r="G4" i="31"/>
  <c r="F4" i="31"/>
  <c r="E4" i="31"/>
  <c r="D4" i="31"/>
  <c r="C4" i="31"/>
  <c r="B4" i="31"/>
  <c r="A4" i="31"/>
  <c r="K3" i="31"/>
  <c r="J3" i="31"/>
  <c r="I3" i="31"/>
  <c r="H3" i="31"/>
  <c r="G3" i="31"/>
  <c r="F3" i="31"/>
  <c r="E3" i="31"/>
  <c r="D3" i="31"/>
  <c r="C3" i="31"/>
  <c r="B3" i="31"/>
  <c r="A3" i="31"/>
  <c r="K2" i="31"/>
  <c r="J2" i="31"/>
  <c r="I2" i="31"/>
  <c r="H2" i="31"/>
  <c r="G2" i="31"/>
  <c r="F2" i="31"/>
  <c r="E2" i="31"/>
  <c r="D2" i="31"/>
  <c r="C2" i="31"/>
  <c r="B2" i="31"/>
  <c r="A1" i="31"/>
  <c r="J11" i="35"/>
  <c r="I11" i="35"/>
  <c r="H11" i="35"/>
  <c r="G11" i="35"/>
  <c r="F11" i="35"/>
  <c r="E11" i="35"/>
  <c r="D11" i="35"/>
  <c r="C11" i="35"/>
  <c r="B11" i="35"/>
  <c r="A11" i="35"/>
  <c r="J10" i="35"/>
  <c r="I10" i="35"/>
  <c r="H10" i="35"/>
  <c r="G10" i="35"/>
  <c r="F10" i="35"/>
  <c r="E10" i="35"/>
  <c r="D10" i="35"/>
  <c r="C10" i="35"/>
  <c r="B10" i="35"/>
  <c r="A10" i="35"/>
  <c r="J9" i="35"/>
  <c r="I9" i="35"/>
  <c r="H9" i="35"/>
  <c r="G9" i="35"/>
  <c r="F9" i="35"/>
  <c r="E9" i="35"/>
  <c r="D9" i="35"/>
  <c r="C9" i="35"/>
  <c r="B9" i="35"/>
  <c r="A9" i="35"/>
  <c r="J8" i="35"/>
  <c r="I8" i="35"/>
  <c r="H8" i="35"/>
  <c r="G8" i="35"/>
  <c r="F8" i="35"/>
  <c r="E8" i="35"/>
  <c r="D8" i="35"/>
  <c r="C8" i="35"/>
  <c r="B8" i="35"/>
  <c r="A8" i="35"/>
  <c r="J7" i="35"/>
  <c r="I7" i="35"/>
  <c r="H7" i="35"/>
  <c r="G7" i="35"/>
  <c r="F7" i="35"/>
  <c r="E7" i="35"/>
  <c r="D7" i="35"/>
  <c r="C7" i="35"/>
  <c r="B7" i="35"/>
  <c r="A7" i="35"/>
  <c r="J6" i="35"/>
  <c r="I6" i="35"/>
  <c r="H6" i="35"/>
  <c r="G6" i="35"/>
  <c r="F6" i="35"/>
  <c r="E6" i="35"/>
  <c r="D6" i="35"/>
  <c r="C6" i="35"/>
  <c r="B6" i="35"/>
  <c r="A6" i="35"/>
  <c r="J5" i="35"/>
  <c r="I5" i="35"/>
  <c r="H5" i="35"/>
  <c r="G5" i="35"/>
  <c r="F5" i="35"/>
  <c r="E5" i="35"/>
  <c r="D5" i="35"/>
  <c r="C5" i="35"/>
  <c r="B5" i="35"/>
  <c r="A5" i="35"/>
  <c r="J4" i="35"/>
  <c r="I4" i="35"/>
  <c r="H4" i="35"/>
  <c r="G4" i="35"/>
  <c r="F4" i="35"/>
  <c r="E4" i="35"/>
  <c r="D4" i="35"/>
  <c r="C4" i="35"/>
  <c r="B4" i="35"/>
  <c r="A4" i="35"/>
  <c r="J3" i="35"/>
  <c r="I3" i="35"/>
  <c r="H3" i="35"/>
  <c r="G3" i="35"/>
  <c r="F3" i="35"/>
  <c r="E3" i="35"/>
  <c r="D3" i="35"/>
  <c r="C3" i="35"/>
  <c r="B3" i="35"/>
  <c r="A3" i="35"/>
  <c r="J2" i="35"/>
  <c r="I2" i="35"/>
  <c r="H2" i="35"/>
  <c r="G2" i="35"/>
  <c r="F2" i="35"/>
  <c r="E2" i="35"/>
  <c r="D2" i="35"/>
  <c r="C2" i="35"/>
  <c r="B2" i="35"/>
  <c r="A1" i="35"/>
  <c r="L11" i="39"/>
  <c r="K11" i="39"/>
  <c r="J11" i="39"/>
  <c r="I11" i="39"/>
  <c r="H11" i="39"/>
  <c r="G11" i="39"/>
  <c r="F11" i="39"/>
  <c r="E11" i="39"/>
  <c r="D11" i="39"/>
  <c r="C11" i="39"/>
  <c r="B11" i="39"/>
  <c r="A11" i="39"/>
  <c r="L10" i="39"/>
  <c r="K10" i="39"/>
  <c r="J10" i="39"/>
  <c r="I10" i="39"/>
  <c r="H10" i="39"/>
  <c r="G10" i="39"/>
  <c r="F10" i="39"/>
  <c r="E10" i="39"/>
  <c r="D10" i="39"/>
  <c r="C10" i="39"/>
  <c r="B10" i="39"/>
  <c r="A10" i="39"/>
  <c r="L9" i="39"/>
  <c r="K9" i="39"/>
  <c r="J9" i="39"/>
  <c r="I9" i="39"/>
  <c r="H9" i="39"/>
  <c r="G9" i="39"/>
  <c r="F9" i="39"/>
  <c r="E9" i="39"/>
  <c r="D9" i="39"/>
  <c r="C9" i="39"/>
  <c r="B9" i="39"/>
  <c r="A9" i="39"/>
  <c r="L8" i="39"/>
  <c r="K8" i="39"/>
  <c r="J8" i="39"/>
  <c r="I8" i="39"/>
  <c r="H8" i="39"/>
  <c r="G8" i="39"/>
  <c r="F8" i="39"/>
  <c r="E8" i="39"/>
  <c r="D8" i="39"/>
  <c r="C8" i="39"/>
  <c r="B8" i="39"/>
  <c r="A8" i="39"/>
  <c r="L7" i="39"/>
  <c r="K7" i="39"/>
  <c r="J7" i="39"/>
  <c r="I7" i="39"/>
  <c r="H7" i="39"/>
  <c r="G7" i="39"/>
  <c r="F7" i="39"/>
  <c r="E7" i="39"/>
  <c r="D7" i="39"/>
  <c r="C7" i="39"/>
  <c r="B7" i="39"/>
  <c r="A7" i="39"/>
  <c r="L6" i="39"/>
  <c r="K6" i="39"/>
  <c r="J6" i="39"/>
  <c r="I6" i="39"/>
  <c r="H6" i="39"/>
  <c r="G6" i="39"/>
  <c r="F6" i="39"/>
  <c r="E6" i="39"/>
  <c r="D6" i="39"/>
  <c r="C6" i="39"/>
  <c r="B6" i="39"/>
  <c r="A6" i="39"/>
  <c r="L5" i="39"/>
  <c r="K5" i="39"/>
  <c r="J5" i="39"/>
  <c r="I5" i="39"/>
  <c r="H5" i="39"/>
  <c r="G5" i="39"/>
  <c r="F5" i="39"/>
  <c r="E5" i="39"/>
  <c r="D5" i="39"/>
  <c r="C5" i="39"/>
  <c r="B5" i="39"/>
  <c r="A5" i="39"/>
  <c r="L4" i="39"/>
  <c r="K4" i="39"/>
  <c r="J4" i="39"/>
  <c r="I4" i="39"/>
  <c r="H4" i="39"/>
  <c r="G4" i="39"/>
  <c r="F4" i="39"/>
  <c r="E4" i="39"/>
  <c r="D4" i="39"/>
  <c r="C4" i="39"/>
  <c r="B4" i="39"/>
  <c r="A4" i="39"/>
  <c r="L3" i="39"/>
  <c r="K3" i="39"/>
  <c r="J3" i="39"/>
  <c r="I3" i="39"/>
  <c r="H3" i="39"/>
  <c r="G3" i="39"/>
  <c r="F3" i="39"/>
  <c r="E3" i="39"/>
  <c r="D3" i="39"/>
  <c r="C3" i="39"/>
  <c r="B3" i="39"/>
  <c r="A3" i="39"/>
  <c r="L2" i="39"/>
  <c r="K2" i="39"/>
  <c r="J2" i="39"/>
  <c r="I2" i="39"/>
  <c r="H2" i="39"/>
  <c r="G2" i="39"/>
  <c r="F2" i="39"/>
  <c r="E2" i="39"/>
  <c r="D2" i="39"/>
  <c r="C2" i="39"/>
  <c r="B2" i="39"/>
  <c r="A1" i="39"/>
  <c r="L60" i="37"/>
  <c r="K60" i="37"/>
  <c r="J60" i="37"/>
  <c r="I60" i="37"/>
  <c r="H60" i="37"/>
  <c r="G60" i="37"/>
  <c r="F60" i="37"/>
  <c r="E60" i="37"/>
  <c r="D60" i="37"/>
  <c r="C60" i="37"/>
  <c r="B60" i="37"/>
  <c r="A60" i="37"/>
  <c r="L59" i="37"/>
  <c r="K59" i="37"/>
  <c r="J59" i="37"/>
  <c r="I59" i="37"/>
  <c r="H59" i="37"/>
  <c r="G59" i="37"/>
  <c r="F59" i="37"/>
  <c r="E59" i="37"/>
  <c r="D59" i="37"/>
  <c r="C59" i="37"/>
  <c r="B59" i="37"/>
  <c r="L58" i="37"/>
  <c r="K58" i="37"/>
  <c r="J58" i="37"/>
  <c r="I58" i="37"/>
  <c r="H58" i="37"/>
  <c r="G58" i="37"/>
  <c r="F58" i="37"/>
  <c r="E58" i="37"/>
  <c r="D58" i="37"/>
  <c r="C58" i="37"/>
  <c r="B58" i="37"/>
  <c r="L57" i="37"/>
  <c r="K57" i="37"/>
  <c r="J57" i="37"/>
  <c r="I57" i="37"/>
  <c r="H57" i="37"/>
  <c r="G57" i="37"/>
  <c r="F57" i="37"/>
  <c r="E57" i="37"/>
  <c r="D57" i="37"/>
  <c r="C57" i="37"/>
  <c r="B57" i="37"/>
  <c r="L56" i="37"/>
  <c r="K56" i="37"/>
  <c r="J56" i="37"/>
  <c r="I56" i="37"/>
  <c r="H56" i="37"/>
  <c r="G56" i="37"/>
  <c r="F56" i="37"/>
  <c r="E56" i="37"/>
  <c r="D56" i="37"/>
  <c r="C56" i="37"/>
  <c r="B56" i="37"/>
  <c r="L55" i="37"/>
  <c r="K55" i="37"/>
  <c r="J55" i="37"/>
  <c r="I55" i="37"/>
  <c r="H55" i="37"/>
  <c r="G55" i="37"/>
  <c r="F55" i="37"/>
  <c r="E55" i="37"/>
  <c r="D55" i="37"/>
  <c r="C55" i="37"/>
  <c r="B55" i="37"/>
  <c r="L54" i="37"/>
  <c r="K54" i="37"/>
  <c r="J54" i="37"/>
  <c r="I54" i="37"/>
  <c r="H54" i="37"/>
  <c r="G54" i="37"/>
  <c r="F54" i="37"/>
  <c r="E54" i="37"/>
  <c r="D54" i="37"/>
  <c r="C54" i="37"/>
  <c r="B54" i="37"/>
  <c r="L53" i="37"/>
  <c r="K53" i="37"/>
  <c r="J53" i="37"/>
  <c r="I53" i="37"/>
  <c r="H53" i="37"/>
  <c r="G53" i="37"/>
  <c r="F53" i="37"/>
  <c r="E53" i="37"/>
  <c r="D53" i="37"/>
  <c r="C53" i="37"/>
  <c r="B53" i="37"/>
  <c r="L52" i="37"/>
  <c r="K52" i="37"/>
  <c r="J52" i="37"/>
  <c r="I52" i="37"/>
  <c r="H52" i="37"/>
  <c r="G52" i="37"/>
  <c r="F52" i="37"/>
  <c r="E52" i="37"/>
  <c r="D52" i="37"/>
  <c r="C52" i="37"/>
  <c r="B52" i="37"/>
  <c r="L51" i="37"/>
  <c r="K51" i="37"/>
  <c r="J51" i="37"/>
  <c r="I51" i="37"/>
  <c r="H51" i="37"/>
  <c r="G51" i="37"/>
  <c r="F51" i="37"/>
  <c r="E51" i="37"/>
  <c r="D51" i="37"/>
  <c r="C51" i="37"/>
  <c r="B51" i="37"/>
  <c r="L50" i="37"/>
  <c r="K50" i="37"/>
  <c r="J50" i="37"/>
  <c r="I50" i="37"/>
  <c r="H50" i="37"/>
  <c r="G50" i="37"/>
  <c r="F50" i="37"/>
  <c r="E50" i="37"/>
  <c r="D50" i="37"/>
  <c r="C50" i="37"/>
  <c r="B50" i="37"/>
  <c r="L49" i="37"/>
  <c r="K49" i="37"/>
  <c r="J49" i="37"/>
  <c r="I49" i="37"/>
  <c r="H49" i="37"/>
  <c r="G49" i="37"/>
  <c r="F49" i="37"/>
  <c r="E49" i="37"/>
  <c r="D49" i="37"/>
  <c r="C49" i="37"/>
  <c r="B49" i="37"/>
  <c r="A49" i="37"/>
  <c r="L48" i="37"/>
  <c r="K48" i="37"/>
  <c r="J48" i="37"/>
  <c r="I48" i="37"/>
  <c r="H48" i="37"/>
  <c r="G48" i="37"/>
  <c r="F48" i="37"/>
  <c r="E48" i="37"/>
  <c r="D48" i="37"/>
  <c r="C48" i="37"/>
  <c r="B48" i="37"/>
  <c r="L47" i="37"/>
  <c r="K47" i="37"/>
  <c r="J47" i="37"/>
  <c r="I47" i="37"/>
  <c r="H47" i="37"/>
  <c r="G47" i="37"/>
  <c r="F47" i="37"/>
  <c r="E47" i="37"/>
  <c r="D47" i="37"/>
  <c r="C47" i="37"/>
  <c r="B47" i="37"/>
  <c r="L46" i="37"/>
  <c r="K46" i="37"/>
  <c r="J46" i="37"/>
  <c r="I46" i="37"/>
  <c r="H46" i="37"/>
  <c r="G46" i="37"/>
  <c r="F46" i="37"/>
  <c r="E46" i="37"/>
  <c r="D46" i="37"/>
  <c r="C46" i="37"/>
  <c r="B46" i="37"/>
  <c r="L45" i="37"/>
  <c r="K45" i="37"/>
  <c r="J45" i="37"/>
  <c r="I45" i="37"/>
  <c r="H45" i="37"/>
  <c r="G45" i="37"/>
  <c r="F45" i="37"/>
  <c r="E45" i="37"/>
  <c r="D45" i="37"/>
  <c r="C45" i="37"/>
  <c r="B45" i="37"/>
  <c r="L44" i="37"/>
  <c r="K44" i="37"/>
  <c r="J44" i="37"/>
  <c r="I44" i="37"/>
  <c r="H44" i="37"/>
  <c r="G44" i="37"/>
  <c r="F44" i="37"/>
  <c r="E44" i="37"/>
  <c r="D44" i="37"/>
  <c r="C44" i="37"/>
  <c r="B44" i="37"/>
  <c r="L43" i="37"/>
  <c r="K43" i="37"/>
  <c r="J43" i="37"/>
  <c r="I43" i="37"/>
  <c r="H43" i="37"/>
  <c r="G43" i="37"/>
  <c r="F43" i="37"/>
  <c r="E43" i="37"/>
  <c r="D43" i="37"/>
  <c r="C43" i="37"/>
  <c r="B43" i="37"/>
  <c r="L42" i="37"/>
  <c r="K42" i="37"/>
  <c r="J42" i="37"/>
  <c r="I42" i="37"/>
  <c r="H42" i="37"/>
  <c r="G42" i="37"/>
  <c r="F42" i="37"/>
  <c r="E42" i="37"/>
  <c r="D42" i="37"/>
  <c r="C42" i="37"/>
  <c r="B42" i="37"/>
  <c r="L41" i="37"/>
  <c r="K41" i="37"/>
  <c r="J41" i="37"/>
  <c r="I41" i="37"/>
  <c r="H41" i="37"/>
  <c r="G41" i="37"/>
  <c r="F41" i="37"/>
  <c r="E41" i="37"/>
  <c r="D41" i="37"/>
  <c r="C41" i="37"/>
  <c r="B41" i="37"/>
  <c r="L40" i="37"/>
  <c r="K40" i="37"/>
  <c r="J40" i="37"/>
  <c r="I40" i="37"/>
  <c r="H40" i="37"/>
  <c r="G40" i="37"/>
  <c r="F40" i="37"/>
  <c r="E40" i="37"/>
  <c r="D40" i="37"/>
  <c r="C40" i="37"/>
  <c r="B40" i="37"/>
  <c r="A40" i="37"/>
  <c r="L39" i="37"/>
  <c r="K39" i="37"/>
  <c r="J39" i="37"/>
  <c r="I39" i="37"/>
  <c r="H39" i="37"/>
  <c r="G39" i="37"/>
  <c r="F39" i="37"/>
  <c r="E39" i="37"/>
  <c r="D39" i="37"/>
  <c r="C39" i="37"/>
  <c r="B39" i="37"/>
  <c r="L38" i="37"/>
  <c r="K38" i="37"/>
  <c r="J38" i="37"/>
  <c r="I38" i="37"/>
  <c r="H38" i="37"/>
  <c r="G38" i="37"/>
  <c r="F38" i="37"/>
  <c r="E38" i="37"/>
  <c r="D38" i="37"/>
  <c r="C38" i="37"/>
  <c r="B38" i="37"/>
  <c r="A38" i="37"/>
  <c r="L37" i="37"/>
  <c r="K37" i="37"/>
  <c r="J37" i="37"/>
  <c r="I37" i="37"/>
  <c r="H37" i="37"/>
  <c r="G37" i="37"/>
  <c r="F37" i="37"/>
  <c r="E37" i="37"/>
  <c r="D37" i="37"/>
  <c r="C37" i="37"/>
  <c r="B37" i="37"/>
  <c r="L36" i="37"/>
  <c r="K36" i="37"/>
  <c r="J36" i="37"/>
  <c r="I36" i="37"/>
  <c r="H36" i="37"/>
  <c r="G36" i="37"/>
  <c r="F36" i="37"/>
  <c r="E36" i="37"/>
  <c r="D36" i="37"/>
  <c r="C36" i="37"/>
  <c r="B36" i="37"/>
  <c r="L35" i="37"/>
  <c r="K35" i="37"/>
  <c r="J35" i="37"/>
  <c r="I35" i="37"/>
  <c r="H35" i="37"/>
  <c r="G35" i="37"/>
  <c r="F35" i="37"/>
  <c r="E35" i="37"/>
  <c r="D35" i="37"/>
  <c r="C35" i="37"/>
  <c r="B35" i="37"/>
  <c r="L34" i="37"/>
  <c r="K34" i="37"/>
  <c r="J34" i="37"/>
  <c r="I34" i="37"/>
  <c r="H34" i="37"/>
  <c r="G34" i="37"/>
  <c r="F34" i="37"/>
  <c r="E34" i="37"/>
  <c r="D34" i="37"/>
  <c r="C34" i="37"/>
  <c r="B34" i="37"/>
  <c r="L33" i="37"/>
  <c r="K33" i="37"/>
  <c r="J33" i="37"/>
  <c r="I33" i="37"/>
  <c r="H33" i="37"/>
  <c r="G33" i="37"/>
  <c r="F33" i="37"/>
  <c r="E33" i="37"/>
  <c r="D33" i="37"/>
  <c r="C33" i="37"/>
  <c r="B33" i="37"/>
  <c r="A33" i="37"/>
  <c r="L32" i="37"/>
  <c r="K32" i="37"/>
  <c r="J32" i="37"/>
  <c r="I32" i="37"/>
  <c r="H32" i="37"/>
  <c r="G32" i="37"/>
  <c r="F32" i="37"/>
  <c r="E32" i="37"/>
  <c r="D32" i="37"/>
  <c r="C32" i="37"/>
  <c r="B32" i="37"/>
  <c r="L31" i="37"/>
  <c r="K31" i="37"/>
  <c r="J31" i="37"/>
  <c r="I31" i="37"/>
  <c r="H31" i="37"/>
  <c r="G31" i="37"/>
  <c r="F31" i="37"/>
  <c r="E31" i="37"/>
  <c r="D31" i="37"/>
  <c r="C31" i="37"/>
  <c r="B31" i="37"/>
  <c r="L30" i="37"/>
  <c r="K30" i="37"/>
  <c r="J30" i="37"/>
  <c r="I30" i="37"/>
  <c r="H30" i="37"/>
  <c r="G30" i="37"/>
  <c r="F30" i="37"/>
  <c r="E30" i="37"/>
  <c r="D30" i="37"/>
  <c r="C30" i="37"/>
  <c r="B30" i="37"/>
  <c r="L29" i="37"/>
  <c r="K29" i="37"/>
  <c r="J29" i="37"/>
  <c r="I29" i="37"/>
  <c r="H29" i="37"/>
  <c r="G29" i="37"/>
  <c r="F29" i="37"/>
  <c r="E29" i="37"/>
  <c r="D29" i="37"/>
  <c r="C29" i="37"/>
  <c r="B29" i="37"/>
  <c r="L28" i="37"/>
  <c r="K28" i="37"/>
  <c r="J28" i="37"/>
  <c r="I28" i="37"/>
  <c r="H28" i="37"/>
  <c r="G28" i="37"/>
  <c r="F28" i="37"/>
  <c r="E28" i="37"/>
  <c r="D28" i="37"/>
  <c r="C28" i="37"/>
  <c r="B28" i="37"/>
  <c r="L27" i="37"/>
  <c r="K27" i="37"/>
  <c r="J27" i="37"/>
  <c r="I27" i="37"/>
  <c r="H27" i="37"/>
  <c r="G27" i="37"/>
  <c r="F27" i="37"/>
  <c r="E27" i="37"/>
  <c r="D27" i="37"/>
  <c r="C27" i="37"/>
  <c r="B27" i="37"/>
  <c r="L26" i="37"/>
  <c r="K26" i="37"/>
  <c r="J26" i="37"/>
  <c r="I26" i="37"/>
  <c r="H26" i="37"/>
  <c r="G26" i="37"/>
  <c r="F26" i="37"/>
  <c r="E26" i="37"/>
  <c r="D26" i="37"/>
  <c r="C26" i="37"/>
  <c r="B26" i="37"/>
  <c r="L25" i="37"/>
  <c r="K25" i="37"/>
  <c r="J25" i="37"/>
  <c r="I25" i="37"/>
  <c r="H25" i="37"/>
  <c r="G25" i="37"/>
  <c r="F25" i="37"/>
  <c r="E25" i="37"/>
  <c r="D25" i="37"/>
  <c r="C25" i="37"/>
  <c r="B25" i="37"/>
  <c r="A25" i="37"/>
  <c r="L24" i="37"/>
  <c r="K24" i="37"/>
  <c r="J24" i="37"/>
  <c r="I24" i="37"/>
  <c r="H24" i="37"/>
  <c r="G24" i="37"/>
  <c r="F24" i="37"/>
  <c r="E24" i="37"/>
  <c r="D24" i="37"/>
  <c r="C24" i="37"/>
  <c r="B24" i="37"/>
  <c r="L23" i="37"/>
  <c r="K23" i="37"/>
  <c r="J23" i="37"/>
  <c r="I23" i="37"/>
  <c r="H23" i="37"/>
  <c r="G23" i="37"/>
  <c r="F23" i="37"/>
  <c r="E23" i="37"/>
  <c r="D23" i="37"/>
  <c r="C23" i="37"/>
  <c r="B23" i="37"/>
  <c r="L22" i="37"/>
  <c r="K22" i="37"/>
  <c r="J22" i="37"/>
  <c r="I22" i="37"/>
  <c r="H22" i="37"/>
  <c r="G22" i="37"/>
  <c r="F22" i="37"/>
  <c r="E22" i="37"/>
  <c r="D22" i="37"/>
  <c r="C22" i="37"/>
  <c r="B22" i="37"/>
  <c r="L21" i="37"/>
  <c r="K21" i="37"/>
  <c r="J21" i="37"/>
  <c r="I21" i="37"/>
  <c r="H21" i="37"/>
  <c r="G21" i="37"/>
  <c r="F21" i="37"/>
  <c r="E21" i="37"/>
  <c r="D21" i="37"/>
  <c r="C21" i="37"/>
  <c r="B21" i="37"/>
  <c r="L20" i="37"/>
  <c r="K20" i="37"/>
  <c r="J20" i="37"/>
  <c r="I20" i="37"/>
  <c r="H20" i="37"/>
  <c r="G20" i="37"/>
  <c r="F20" i="37"/>
  <c r="E20" i="37"/>
  <c r="D20" i="37"/>
  <c r="C20" i="37"/>
  <c r="B20" i="37"/>
  <c r="L19" i="37"/>
  <c r="K19" i="37"/>
  <c r="J19" i="37"/>
  <c r="I19" i="37"/>
  <c r="H19" i="37"/>
  <c r="G19" i="37"/>
  <c r="F19" i="37"/>
  <c r="E19" i="37"/>
  <c r="D19" i="37"/>
  <c r="C19" i="37"/>
  <c r="B19" i="37"/>
  <c r="A19" i="37"/>
  <c r="L18" i="37"/>
  <c r="K18" i="37"/>
  <c r="J18" i="37"/>
  <c r="I18" i="37"/>
  <c r="H18" i="37"/>
  <c r="G18" i="37"/>
  <c r="F18" i="37"/>
  <c r="E18" i="37"/>
  <c r="D18" i="37"/>
  <c r="C18" i="37"/>
  <c r="B18" i="37"/>
  <c r="L17" i="37"/>
  <c r="K17" i="37"/>
  <c r="J17" i="37"/>
  <c r="I17" i="37"/>
  <c r="H17" i="37"/>
  <c r="G17" i="37"/>
  <c r="F17" i="37"/>
  <c r="E17" i="37"/>
  <c r="D17" i="37"/>
  <c r="C17" i="37"/>
  <c r="B17" i="37"/>
  <c r="L16" i="37"/>
  <c r="K16" i="37"/>
  <c r="J16" i="37"/>
  <c r="I16" i="37"/>
  <c r="H16" i="37"/>
  <c r="G16" i="37"/>
  <c r="F16" i="37"/>
  <c r="E16" i="37"/>
  <c r="D16" i="37"/>
  <c r="C16" i="37"/>
  <c r="B16" i="37"/>
  <c r="L15" i="37"/>
  <c r="K15" i="37"/>
  <c r="J15" i="37"/>
  <c r="I15" i="37"/>
  <c r="H15" i="37"/>
  <c r="G15" i="37"/>
  <c r="F15" i="37"/>
  <c r="E15" i="37"/>
  <c r="D15" i="37"/>
  <c r="C15" i="37"/>
  <c r="B15" i="37"/>
  <c r="L14" i="37"/>
  <c r="K14" i="37"/>
  <c r="J14" i="37"/>
  <c r="I14" i="37"/>
  <c r="H14" i="37"/>
  <c r="G14" i="37"/>
  <c r="F14" i="37"/>
  <c r="E14" i="37"/>
  <c r="D14" i="37"/>
  <c r="C14" i="37"/>
  <c r="B14" i="37"/>
  <c r="L13" i="37"/>
  <c r="K13" i="37"/>
  <c r="J13" i="37"/>
  <c r="I13" i="37"/>
  <c r="H13" i="37"/>
  <c r="G13" i="37"/>
  <c r="F13" i="37"/>
  <c r="E13" i="37"/>
  <c r="D13" i="37"/>
  <c r="C13" i="37"/>
  <c r="B13" i="37"/>
  <c r="L12" i="37"/>
  <c r="K12" i="37"/>
  <c r="J12" i="37"/>
  <c r="I12" i="37"/>
  <c r="H12" i="37"/>
  <c r="G12" i="37"/>
  <c r="F12" i="37"/>
  <c r="E12" i="37"/>
  <c r="D12" i="37"/>
  <c r="C12" i="37"/>
  <c r="B12" i="37"/>
  <c r="L11" i="37"/>
  <c r="K11" i="37"/>
  <c r="J11" i="37"/>
  <c r="I11" i="37"/>
  <c r="H11" i="37"/>
  <c r="G11" i="37"/>
  <c r="F11" i="37"/>
  <c r="E11" i="37"/>
  <c r="D11" i="37"/>
  <c r="C11" i="37"/>
  <c r="B11" i="37"/>
  <c r="L10" i="37"/>
  <c r="K10" i="37"/>
  <c r="J10" i="37"/>
  <c r="I10" i="37"/>
  <c r="H10" i="37"/>
  <c r="G10" i="37"/>
  <c r="F10" i="37"/>
  <c r="E10" i="37"/>
  <c r="D10" i="37"/>
  <c r="C10" i="37"/>
  <c r="B10" i="37"/>
  <c r="L9" i="37"/>
  <c r="K9" i="37"/>
  <c r="J9" i="37"/>
  <c r="I9" i="37"/>
  <c r="H9" i="37"/>
  <c r="G9" i="37"/>
  <c r="F9" i="37"/>
  <c r="E9" i="37"/>
  <c r="D9" i="37"/>
  <c r="C9" i="37"/>
  <c r="B9" i="37"/>
  <c r="L8" i="37"/>
  <c r="K8" i="37"/>
  <c r="J8" i="37"/>
  <c r="I8" i="37"/>
  <c r="H8" i="37"/>
  <c r="G8" i="37"/>
  <c r="F8" i="37"/>
  <c r="E8" i="37"/>
  <c r="D8" i="37"/>
  <c r="C8" i="37"/>
  <c r="B8" i="37"/>
  <c r="A8" i="37"/>
  <c r="L7" i="37"/>
  <c r="K7" i="37"/>
  <c r="J7" i="37"/>
  <c r="I7" i="37"/>
  <c r="H7" i="37"/>
  <c r="G7" i="37"/>
  <c r="F7" i="37"/>
  <c r="E7" i="37"/>
  <c r="D7" i="37"/>
  <c r="C7" i="37"/>
  <c r="B7" i="37"/>
  <c r="L6" i="37"/>
  <c r="K6" i="37"/>
  <c r="J6" i="37"/>
  <c r="I6" i="37"/>
  <c r="H6" i="37"/>
  <c r="G6" i="37"/>
  <c r="F6" i="37"/>
  <c r="E6" i="37"/>
  <c r="D6" i="37"/>
  <c r="C6" i="37"/>
  <c r="B6" i="37"/>
  <c r="L5" i="37"/>
  <c r="K5" i="37"/>
  <c r="J5" i="37"/>
  <c r="I5" i="37"/>
  <c r="H5" i="37"/>
  <c r="G5" i="37"/>
  <c r="F5" i="37"/>
  <c r="E5" i="37"/>
  <c r="D5" i="37"/>
  <c r="C5" i="37"/>
  <c r="B5" i="37"/>
  <c r="L4" i="37"/>
  <c r="K4" i="37"/>
  <c r="J4" i="37"/>
  <c r="I4" i="37"/>
  <c r="H4" i="37"/>
  <c r="G4" i="37"/>
  <c r="F4" i="37"/>
  <c r="E4" i="37"/>
  <c r="D4" i="37"/>
  <c r="C4" i="37"/>
  <c r="B4" i="37"/>
  <c r="L3" i="37"/>
  <c r="K3" i="37"/>
  <c r="J3" i="37"/>
  <c r="I3" i="37"/>
  <c r="H3" i="37"/>
  <c r="G3" i="37"/>
  <c r="F3" i="37"/>
  <c r="E3" i="37"/>
  <c r="D3" i="37"/>
  <c r="C3" i="37"/>
  <c r="B3" i="37"/>
  <c r="A3" i="37"/>
  <c r="L2" i="37"/>
  <c r="K2" i="37"/>
  <c r="J2" i="37"/>
  <c r="I2" i="37"/>
  <c r="H2" i="37"/>
  <c r="G2" i="37"/>
  <c r="F2" i="37"/>
  <c r="E2" i="37"/>
  <c r="D2" i="37"/>
  <c r="C2" i="37"/>
  <c r="B2" i="37"/>
  <c r="A2" i="37"/>
  <c r="A1" i="37"/>
  <c r="K11" i="42"/>
  <c r="J11" i="42"/>
  <c r="I11" i="42"/>
  <c r="H11" i="42"/>
  <c r="G11" i="42"/>
  <c r="F11" i="42"/>
  <c r="E11" i="42"/>
  <c r="D11" i="42"/>
  <c r="C11" i="42"/>
  <c r="B11" i="42"/>
  <c r="A11" i="42"/>
  <c r="K10" i="42"/>
  <c r="J10" i="42"/>
  <c r="I10" i="42"/>
  <c r="H10" i="42"/>
  <c r="G10" i="42"/>
  <c r="F10" i="42"/>
  <c r="E10" i="42"/>
  <c r="D10" i="42"/>
  <c r="C10" i="42"/>
  <c r="B10" i="42"/>
  <c r="A10" i="42"/>
  <c r="K9" i="42"/>
  <c r="J9" i="42"/>
  <c r="I9" i="42"/>
  <c r="H9" i="42"/>
  <c r="G9" i="42"/>
  <c r="F9" i="42"/>
  <c r="E9" i="42"/>
  <c r="D9" i="42"/>
  <c r="C9" i="42"/>
  <c r="B9" i="42"/>
  <c r="A9" i="42"/>
  <c r="K8" i="42"/>
  <c r="J8" i="42"/>
  <c r="I8" i="42"/>
  <c r="H8" i="42"/>
  <c r="G8" i="42"/>
  <c r="F8" i="42"/>
  <c r="E8" i="42"/>
  <c r="D8" i="42"/>
  <c r="C8" i="42"/>
  <c r="B8" i="42"/>
  <c r="A8" i="42"/>
  <c r="K7" i="42"/>
  <c r="J7" i="42"/>
  <c r="I7" i="42"/>
  <c r="H7" i="42"/>
  <c r="G7" i="42"/>
  <c r="F7" i="42"/>
  <c r="E7" i="42"/>
  <c r="D7" i="42"/>
  <c r="C7" i="42"/>
  <c r="B7" i="42"/>
  <c r="A7" i="42"/>
  <c r="K6" i="42"/>
  <c r="J6" i="42"/>
  <c r="I6" i="42"/>
  <c r="H6" i="42"/>
  <c r="G6" i="42"/>
  <c r="F6" i="42"/>
  <c r="E6" i="42"/>
  <c r="D6" i="42"/>
  <c r="C6" i="42"/>
  <c r="B6" i="42"/>
  <c r="A6" i="42"/>
  <c r="K5" i="42"/>
  <c r="J5" i="42"/>
  <c r="I5" i="42"/>
  <c r="H5" i="42"/>
  <c r="G5" i="42"/>
  <c r="F5" i="42"/>
  <c r="E5" i="42"/>
  <c r="D5" i="42"/>
  <c r="C5" i="42"/>
  <c r="B5" i="42"/>
  <c r="A5" i="42"/>
  <c r="K4" i="42"/>
  <c r="J4" i="42"/>
  <c r="I4" i="42"/>
  <c r="H4" i="42"/>
  <c r="G4" i="42"/>
  <c r="F4" i="42"/>
  <c r="E4" i="42"/>
  <c r="D4" i="42"/>
  <c r="C4" i="42"/>
  <c r="B4" i="42"/>
  <c r="A4" i="42"/>
  <c r="K3" i="42"/>
  <c r="J3" i="42"/>
  <c r="I3" i="42"/>
  <c r="H3" i="42"/>
  <c r="G3" i="42"/>
  <c r="F3" i="42"/>
  <c r="E3" i="42"/>
  <c r="D3" i="42"/>
  <c r="C3" i="42"/>
  <c r="B3" i="42"/>
  <c r="A3" i="42"/>
  <c r="K2" i="42"/>
  <c r="J2" i="42"/>
  <c r="I2" i="42"/>
  <c r="H2" i="42"/>
  <c r="G2" i="42"/>
  <c r="F2" i="42"/>
  <c r="E2" i="42"/>
  <c r="D2" i="42"/>
  <c r="C2" i="42"/>
  <c r="B2" i="42"/>
  <c r="A1" i="42"/>
  <c r="K11" i="41"/>
  <c r="J11" i="41"/>
  <c r="I11" i="41"/>
  <c r="H11" i="41"/>
  <c r="G11" i="41"/>
  <c r="F11" i="41"/>
  <c r="E11" i="41"/>
  <c r="D11" i="41"/>
  <c r="C11" i="41"/>
  <c r="B11" i="41"/>
  <c r="A11" i="41"/>
  <c r="K10" i="41"/>
  <c r="J10" i="41"/>
  <c r="I10" i="41"/>
  <c r="H10" i="41"/>
  <c r="G10" i="41"/>
  <c r="F10" i="41"/>
  <c r="E10" i="41"/>
  <c r="D10" i="41"/>
  <c r="C10" i="41"/>
  <c r="B10" i="41"/>
  <c r="A10" i="41"/>
  <c r="K9" i="41"/>
  <c r="J9" i="41"/>
  <c r="I9" i="41"/>
  <c r="H9" i="41"/>
  <c r="G9" i="41"/>
  <c r="F9" i="41"/>
  <c r="E9" i="41"/>
  <c r="D9" i="41"/>
  <c r="C9" i="41"/>
  <c r="B9" i="41"/>
  <c r="A9" i="41"/>
  <c r="K8" i="41"/>
  <c r="J8" i="41"/>
  <c r="I8" i="41"/>
  <c r="H8" i="41"/>
  <c r="G8" i="41"/>
  <c r="F8" i="41"/>
  <c r="E8" i="41"/>
  <c r="D8" i="41"/>
  <c r="C8" i="41"/>
  <c r="B8" i="41"/>
  <c r="A8" i="41"/>
  <c r="K7" i="41"/>
  <c r="J7" i="41"/>
  <c r="I7" i="41"/>
  <c r="H7" i="41"/>
  <c r="G7" i="41"/>
  <c r="F7" i="41"/>
  <c r="E7" i="41"/>
  <c r="D7" i="41"/>
  <c r="C7" i="41"/>
  <c r="B7" i="41"/>
  <c r="A7" i="41"/>
  <c r="K6" i="41"/>
  <c r="J6" i="41"/>
  <c r="I6" i="41"/>
  <c r="H6" i="41"/>
  <c r="G6" i="41"/>
  <c r="F6" i="41"/>
  <c r="E6" i="41"/>
  <c r="D6" i="41"/>
  <c r="C6" i="41"/>
  <c r="B6" i="41"/>
  <c r="A6" i="41"/>
  <c r="K5" i="41"/>
  <c r="J5" i="41"/>
  <c r="I5" i="41"/>
  <c r="H5" i="41"/>
  <c r="G5" i="41"/>
  <c r="F5" i="41"/>
  <c r="E5" i="41"/>
  <c r="D5" i="41"/>
  <c r="C5" i="41"/>
  <c r="B5" i="41"/>
  <c r="A5" i="41"/>
  <c r="K4" i="41"/>
  <c r="J4" i="41"/>
  <c r="I4" i="41"/>
  <c r="H4" i="41"/>
  <c r="G4" i="41"/>
  <c r="F4" i="41"/>
  <c r="E4" i="41"/>
  <c r="D4" i="41"/>
  <c r="C4" i="41"/>
  <c r="B4" i="41"/>
  <c r="A4" i="41"/>
  <c r="K3" i="41"/>
  <c r="J3" i="41"/>
  <c r="I3" i="41"/>
  <c r="H3" i="41"/>
  <c r="G3" i="41"/>
  <c r="F3" i="41"/>
  <c r="E3" i="41"/>
  <c r="D3" i="41"/>
  <c r="C3" i="41"/>
  <c r="B3" i="41"/>
  <c r="A3" i="41"/>
  <c r="K2" i="41"/>
  <c r="J2" i="41"/>
  <c r="I2" i="41"/>
  <c r="H2" i="41"/>
  <c r="G2" i="41"/>
  <c r="F2" i="41"/>
  <c r="E2" i="41"/>
  <c r="D2" i="41"/>
  <c r="C2" i="41"/>
  <c r="B2" i="41"/>
  <c r="A1" i="41"/>
  <c r="K11" i="40"/>
  <c r="J11" i="40"/>
  <c r="I11" i="40"/>
  <c r="H11" i="40"/>
  <c r="G11" i="40"/>
  <c r="F11" i="40"/>
  <c r="E11" i="40"/>
  <c r="D11" i="40"/>
  <c r="C11" i="40"/>
  <c r="B11" i="40"/>
  <c r="A11" i="40"/>
  <c r="K10" i="40"/>
  <c r="J10" i="40"/>
  <c r="I10" i="40"/>
  <c r="H10" i="40"/>
  <c r="G10" i="40"/>
  <c r="F10" i="40"/>
  <c r="E10" i="40"/>
  <c r="D10" i="40"/>
  <c r="C10" i="40"/>
  <c r="B10" i="40"/>
  <c r="A10" i="40"/>
  <c r="K9" i="40"/>
  <c r="J9" i="40"/>
  <c r="I9" i="40"/>
  <c r="H9" i="40"/>
  <c r="G9" i="40"/>
  <c r="F9" i="40"/>
  <c r="E9" i="40"/>
  <c r="D9" i="40"/>
  <c r="C9" i="40"/>
  <c r="B9" i="40"/>
  <c r="A9" i="40"/>
  <c r="K8" i="40"/>
  <c r="J8" i="40"/>
  <c r="I8" i="40"/>
  <c r="H8" i="40"/>
  <c r="G8" i="40"/>
  <c r="F8" i="40"/>
  <c r="E8" i="40"/>
  <c r="D8" i="40"/>
  <c r="C8" i="40"/>
  <c r="B8" i="40"/>
  <c r="A8" i="40"/>
  <c r="K7" i="40"/>
  <c r="J7" i="40"/>
  <c r="I7" i="40"/>
  <c r="H7" i="40"/>
  <c r="G7" i="40"/>
  <c r="F7" i="40"/>
  <c r="E7" i="40"/>
  <c r="D7" i="40"/>
  <c r="C7" i="40"/>
  <c r="B7" i="40"/>
  <c r="A7" i="40"/>
  <c r="K6" i="40"/>
  <c r="J6" i="40"/>
  <c r="I6" i="40"/>
  <c r="H6" i="40"/>
  <c r="G6" i="40"/>
  <c r="F6" i="40"/>
  <c r="E6" i="40"/>
  <c r="D6" i="40"/>
  <c r="C6" i="40"/>
  <c r="B6" i="40"/>
  <c r="A6" i="40"/>
  <c r="K5" i="40"/>
  <c r="J5" i="40"/>
  <c r="I5" i="40"/>
  <c r="H5" i="40"/>
  <c r="G5" i="40"/>
  <c r="F5" i="40"/>
  <c r="E5" i="40"/>
  <c r="D5" i="40"/>
  <c r="C5" i="40"/>
  <c r="B5" i="40"/>
  <c r="A5" i="40"/>
  <c r="K4" i="40"/>
  <c r="J4" i="40"/>
  <c r="I4" i="40"/>
  <c r="H4" i="40"/>
  <c r="G4" i="40"/>
  <c r="F4" i="40"/>
  <c r="E4" i="40"/>
  <c r="D4" i="40"/>
  <c r="C4" i="40"/>
  <c r="B4" i="40"/>
  <c r="A4" i="40"/>
  <c r="K3" i="40"/>
  <c r="J3" i="40"/>
  <c r="I3" i="40"/>
  <c r="H3" i="40"/>
  <c r="G3" i="40"/>
  <c r="F3" i="40"/>
  <c r="E3" i="40"/>
  <c r="D3" i="40"/>
  <c r="C3" i="40"/>
  <c r="B3" i="40"/>
  <c r="A3" i="40"/>
  <c r="K2" i="40"/>
  <c r="J2" i="40"/>
  <c r="I2" i="40"/>
  <c r="H2" i="40"/>
  <c r="G2" i="40"/>
  <c r="F2" i="40"/>
  <c r="E2" i="40"/>
  <c r="D2" i="40"/>
  <c r="C2" i="40"/>
  <c r="B2" i="40"/>
  <c r="A1" i="40"/>
  <c r="K11" i="36"/>
  <c r="J11" i="36"/>
  <c r="I11" i="36"/>
  <c r="H11" i="36"/>
  <c r="G11" i="36"/>
  <c r="F11" i="36"/>
  <c r="E11" i="36"/>
  <c r="D11" i="36"/>
  <c r="C11" i="36"/>
  <c r="B11" i="36"/>
  <c r="A11" i="36"/>
  <c r="K10" i="36"/>
  <c r="J10" i="36"/>
  <c r="I10" i="36"/>
  <c r="H10" i="36"/>
  <c r="G10" i="36"/>
  <c r="F10" i="36"/>
  <c r="E10" i="36"/>
  <c r="D10" i="36"/>
  <c r="C10" i="36"/>
  <c r="B10" i="36"/>
  <c r="A10" i="36"/>
  <c r="K9" i="36"/>
  <c r="J9" i="36"/>
  <c r="I9" i="36"/>
  <c r="H9" i="36"/>
  <c r="G9" i="36"/>
  <c r="F9" i="36"/>
  <c r="E9" i="36"/>
  <c r="D9" i="36"/>
  <c r="C9" i="36"/>
  <c r="B9" i="36"/>
  <c r="A9" i="36"/>
  <c r="K8" i="36"/>
  <c r="J8" i="36"/>
  <c r="I8" i="36"/>
  <c r="H8" i="36"/>
  <c r="G8" i="36"/>
  <c r="F8" i="36"/>
  <c r="E8" i="36"/>
  <c r="D8" i="36"/>
  <c r="C8" i="36"/>
  <c r="B8" i="36"/>
  <c r="A8" i="36"/>
  <c r="K7" i="36"/>
  <c r="J7" i="36"/>
  <c r="I7" i="36"/>
  <c r="H7" i="36"/>
  <c r="G7" i="36"/>
  <c r="F7" i="36"/>
  <c r="E7" i="36"/>
  <c r="D7" i="36"/>
  <c r="C7" i="36"/>
  <c r="B7" i="36"/>
  <c r="A7" i="36"/>
  <c r="K6" i="36"/>
  <c r="J6" i="36"/>
  <c r="I6" i="36"/>
  <c r="H6" i="36"/>
  <c r="G6" i="36"/>
  <c r="F6" i="36"/>
  <c r="E6" i="36"/>
  <c r="D6" i="36"/>
  <c r="C6" i="36"/>
  <c r="B6" i="36"/>
  <c r="A6" i="36"/>
  <c r="K5" i="36"/>
  <c r="J5" i="36"/>
  <c r="I5" i="36"/>
  <c r="H5" i="36"/>
  <c r="G5" i="36"/>
  <c r="F5" i="36"/>
  <c r="E5" i="36"/>
  <c r="D5" i="36"/>
  <c r="C5" i="36"/>
  <c r="B5" i="36"/>
  <c r="A5" i="36"/>
  <c r="K4" i="36"/>
  <c r="J4" i="36"/>
  <c r="I4" i="36"/>
  <c r="H4" i="36"/>
  <c r="G4" i="36"/>
  <c r="F4" i="36"/>
  <c r="E4" i="36"/>
  <c r="D4" i="36"/>
  <c r="C4" i="36"/>
  <c r="B4" i="36"/>
  <c r="A4" i="36"/>
  <c r="K3" i="36"/>
  <c r="J3" i="36"/>
  <c r="I3" i="36"/>
  <c r="H3" i="36"/>
  <c r="G3" i="36"/>
  <c r="F3" i="36"/>
  <c r="E3" i="36"/>
  <c r="D3" i="36"/>
  <c r="C3" i="36"/>
  <c r="B3" i="36"/>
  <c r="A3" i="36"/>
  <c r="K2" i="36"/>
  <c r="J2" i="36"/>
  <c r="I2" i="36"/>
  <c r="H2" i="36"/>
  <c r="G2" i="36"/>
  <c r="F2" i="36"/>
  <c r="E2" i="36"/>
  <c r="D2" i="36"/>
  <c r="C2" i="36"/>
  <c r="B2" i="36"/>
  <c r="A1" i="36"/>
  <c r="M12" i="70"/>
  <c r="L12" i="70"/>
  <c r="K12" i="70"/>
  <c r="J12" i="70"/>
  <c r="I12" i="70"/>
  <c r="H12" i="70"/>
  <c r="G12" i="70"/>
  <c r="F12" i="70"/>
  <c r="E12" i="70"/>
  <c r="D12" i="70"/>
  <c r="C12" i="70"/>
  <c r="B12" i="70"/>
  <c r="A12" i="70"/>
  <c r="M11" i="70"/>
  <c r="L11" i="70"/>
  <c r="K11" i="70"/>
  <c r="J11" i="70"/>
  <c r="I11" i="70"/>
  <c r="H11" i="70"/>
  <c r="G11" i="70"/>
  <c r="F11" i="70"/>
  <c r="E11" i="70"/>
  <c r="D11" i="70"/>
  <c r="C11" i="70"/>
  <c r="B11" i="70"/>
  <c r="A11" i="70"/>
  <c r="M10" i="70"/>
  <c r="L10" i="70"/>
  <c r="K10" i="70"/>
  <c r="J10" i="70"/>
  <c r="I10" i="70"/>
  <c r="H10" i="70"/>
  <c r="G10" i="70"/>
  <c r="F10" i="70"/>
  <c r="E10" i="70"/>
  <c r="D10" i="70"/>
  <c r="C10" i="70"/>
  <c r="B10" i="70"/>
  <c r="A10" i="70"/>
  <c r="M9" i="70"/>
  <c r="L9" i="70"/>
  <c r="K9" i="70"/>
  <c r="J9" i="70"/>
  <c r="I9" i="70"/>
  <c r="H9" i="70"/>
  <c r="G9" i="70"/>
  <c r="F9" i="70"/>
  <c r="E9" i="70"/>
  <c r="D9" i="70"/>
  <c r="C9" i="70"/>
  <c r="B9" i="70"/>
  <c r="A9" i="70"/>
  <c r="M8" i="70"/>
  <c r="L8" i="70"/>
  <c r="K8" i="70"/>
  <c r="J8" i="70"/>
  <c r="I8" i="70"/>
  <c r="H8" i="70"/>
  <c r="G8" i="70"/>
  <c r="F8" i="70"/>
  <c r="E8" i="70"/>
  <c r="D8" i="70"/>
  <c r="C8" i="70"/>
  <c r="B8" i="70"/>
  <c r="A8" i="70"/>
  <c r="M7" i="70"/>
  <c r="L7" i="70"/>
  <c r="K7" i="70"/>
  <c r="J7" i="70"/>
  <c r="I7" i="70"/>
  <c r="H7" i="70"/>
  <c r="G7" i="70"/>
  <c r="F7" i="70"/>
  <c r="E7" i="70"/>
  <c r="D7" i="70"/>
  <c r="C7" i="70"/>
  <c r="B7" i="70"/>
  <c r="A7" i="70"/>
  <c r="M6" i="70"/>
  <c r="L6" i="70"/>
  <c r="K6" i="70"/>
  <c r="J6" i="70"/>
  <c r="I6" i="70"/>
  <c r="H6" i="70"/>
  <c r="G6" i="70"/>
  <c r="F6" i="70"/>
  <c r="E6" i="70"/>
  <c r="D6" i="70"/>
  <c r="C6" i="70"/>
  <c r="B6" i="70"/>
  <c r="A6" i="70"/>
  <c r="M5" i="70"/>
  <c r="L5" i="70"/>
  <c r="K5" i="70"/>
  <c r="J5" i="70"/>
  <c r="I5" i="70"/>
  <c r="H5" i="70"/>
  <c r="G5" i="70"/>
  <c r="F5" i="70"/>
  <c r="E5" i="70"/>
  <c r="D5" i="70"/>
  <c r="C5" i="70"/>
  <c r="B5" i="70"/>
  <c r="A5" i="70"/>
  <c r="M4" i="70"/>
  <c r="L4" i="70"/>
  <c r="K4" i="70"/>
  <c r="J4" i="70"/>
  <c r="I4" i="70"/>
  <c r="H4" i="70"/>
  <c r="G4" i="70"/>
  <c r="F4" i="70"/>
  <c r="E4" i="70"/>
  <c r="D4" i="70"/>
  <c r="C4" i="70"/>
  <c r="B4" i="70"/>
  <c r="A4" i="70"/>
  <c r="M3" i="70"/>
  <c r="L3" i="70"/>
  <c r="K3" i="70"/>
  <c r="J3" i="70"/>
  <c r="I3" i="70"/>
  <c r="H3" i="70"/>
  <c r="G3" i="70"/>
  <c r="F3" i="70"/>
  <c r="E3" i="70"/>
  <c r="D3" i="70"/>
  <c r="C3" i="70"/>
  <c r="B3" i="70"/>
  <c r="K2" i="70"/>
  <c r="H2" i="70"/>
  <c r="E2" i="70"/>
  <c r="B2" i="70"/>
  <c r="A1" i="70"/>
  <c r="I12" i="44"/>
  <c r="H12" i="44"/>
  <c r="G12" i="44"/>
  <c r="F12" i="44"/>
  <c r="E12" i="44"/>
  <c r="D12" i="44"/>
  <c r="C12" i="44"/>
  <c r="B12" i="44"/>
  <c r="A12" i="44"/>
  <c r="I11" i="44"/>
  <c r="H11" i="44"/>
  <c r="G11" i="44"/>
  <c r="F11" i="44"/>
  <c r="E11" i="44"/>
  <c r="D11" i="44"/>
  <c r="C11" i="44"/>
  <c r="B11" i="44"/>
  <c r="A11" i="44"/>
  <c r="I10" i="44"/>
  <c r="H10" i="44"/>
  <c r="G10" i="44"/>
  <c r="F10" i="44"/>
  <c r="E10" i="44"/>
  <c r="D10" i="44"/>
  <c r="C10" i="44"/>
  <c r="B10" i="44"/>
  <c r="A10" i="44"/>
  <c r="I9" i="44"/>
  <c r="H9" i="44"/>
  <c r="G9" i="44"/>
  <c r="F9" i="44"/>
  <c r="E9" i="44"/>
  <c r="D9" i="44"/>
  <c r="C9" i="44"/>
  <c r="B9" i="44"/>
  <c r="A9" i="44"/>
  <c r="I8" i="44"/>
  <c r="H8" i="44"/>
  <c r="G8" i="44"/>
  <c r="F8" i="44"/>
  <c r="E8" i="44"/>
  <c r="D8" i="44"/>
  <c r="C8" i="44"/>
  <c r="B8" i="44"/>
  <c r="A8" i="44"/>
  <c r="I7" i="44"/>
  <c r="H7" i="44"/>
  <c r="G7" i="44"/>
  <c r="F7" i="44"/>
  <c r="E7" i="44"/>
  <c r="D7" i="44"/>
  <c r="C7" i="44"/>
  <c r="B7" i="44"/>
  <c r="A7" i="44"/>
  <c r="I6" i="44"/>
  <c r="H6" i="44"/>
  <c r="G6" i="44"/>
  <c r="F6" i="44"/>
  <c r="E6" i="44"/>
  <c r="D6" i="44"/>
  <c r="C6" i="44"/>
  <c r="B6" i="44"/>
  <c r="A6" i="44"/>
  <c r="I5" i="44"/>
  <c r="H5" i="44"/>
  <c r="G5" i="44"/>
  <c r="F5" i="44"/>
  <c r="E5" i="44"/>
  <c r="D5" i="44"/>
  <c r="C5" i="44"/>
  <c r="B5" i="44"/>
  <c r="A5" i="44"/>
  <c r="I4" i="44"/>
  <c r="H4" i="44"/>
  <c r="G4" i="44"/>
  <c r="F4" i="44"/>
  <c r="E4" i="44"/>
  <c r="D4" i="44"/>
  <c r="C4" i="44"/>
  <c r="B4" i="44"/>
  <c r="A4" i="44"/>
  <c r="I3" i="44"/>
  <c r="H3" i="44"/>
  <c r="G3" i="44"/>
  <c r="F3" i="44"/>
  <c r="E3" i="44"/>
  <c r="D3" i="44"/>
  <c r="C3" i="44"/>
  <c r="B3" i="44"/>
  <c r="H2" i="44"/>
  <c r="F2" i="44"/>
  <c r="D2" i="44"/>
  <c r="B2" i="44"/>
  <c r="A1" i="44"/>
  <c r="B7" i="26" s="1"/>
  <c r="I12" i="45"/>
  <c r="H12" i="45"/>
  <c r="G12" i="45"/>
  <c r="F12" i="45"/>
  <c r="E12" i="45"/>
  <c r="D12" i="45"/>
  <c r="C12" i="45"/>
  <c r="B12" i="45"/>
  <c r="A12" i="45"/>
  <c r="I11" i="45"/>
  <c r="H11" i="45"/>
  <c r="G11" i="45"/>
  <c r="F11" i="45"/>
  <c r="E11" i="45"/>
  <c r="D11" i="45"/>
  <c r="C11" i="45"/>
  <c r="B11" i="45"/>
  <c r="A11" i="45"/>
  <c r="I10" i="45"/>
  <c r="H10" i="45"/>
  <c r="G10" i="45"/>
  <c r="F10" i="45"/>
  <c r="E10" i="45"/>
  <c r="D10" i="45"/>
  <c r="C10" i="45"/>
  <c r="B10" i="45"/>
  <c r="A10" i="45"/>
  <c r="I9" i="45"/>
  <c r="H9" i="45"/>
  <c r="G9" i="45"/>
  <c r="F9" i="45"/>
  <c r="E9" i="45"/>
  <c r="D9" i="45"/>
  <c r="C9" i="45"/>
  <c r="B9" i="45"/>
  <c r="A9" i="45"/>
  <c r="I8" i="45"/>
  <c r="H8" i="45"/>
  <c r="G8" i="45"/>
  <c r="F8" i="45"/>
  <c r="E8" i="45"/>
  <c r="D8" i="45"/>
  <c r="C8" i="45"/>
  <c r="B8" i="45"/>
  <c r="A8" i="45"/>
  <c r="I7" i="45"/>
  <c r="H7" i="45"/>
  <c r="G7" i="45"/>
  <c r="F7" i="45"/>
  <c r="E7" i="45"/>
  <c r="D7" i="45"/>
  <c r="C7" i="45"/>
  <c r="B7" i="45"/>
  <c r="A7" i="45"/>
  <c r="I6" i="45"/>
  <c r="H6" i="45"/>
  <c r="G6" i="45"/>
  <c r="F6" i="45"/>
  <c r="E6" i="45"/>
  <c r="D6" i="45"/>
  <c r="C6" i="45"/>
  <c r="B6" i="45"/>
  <c r="A6" i="45"/>
  <c r="I5" i="45"/>
  <c r="H5" i="45"/>
  <c r="G5" i="45"/>
  <c r="F5" i="45"/>
  <c r="E5" i="45"/>
  <c r="D5" i="45"/>
  <c r="C5" i="45"/>
  <c r="B5" i="45"/>
  <c r="A5" i="45"/>
  <c r="I4" i="45"/>
  <c r="H4" i="45"/>
  <c r="G4" i="45"/>
  <c r="F4" i="45"/>
  <c r="E4" i="45"/>
  <c r="D4" i="45"/>
  <c r="C4" i="45"/>
  <c r="B4" i="45"/>
  <c r="A4" i="45"/>
  <c r="I3" i="45"/>
  <c r="H3" i="45"/>
  <c r="G3" i="45"/>
  <c r="F3" i="45"/>
  <c r="E3" i="45"/>
  <c r="D3" i="45"/>
  <c r="C3" i="45"/>
  <c r="B3" i="45"/>
  <c r="H2" i="45"/>
  <c r="F2" i="45"/>
  <c r="D2" i="45"/>
  <c r="B2" i="45"/>
  <c r="A1" i="45"/>
  <c r="B6" i="26" s="1"/>
  <c r="I12" i="47"/>
  <c r="H12" i="47"/>
  <c r="G12" i="47"/>
  <c r="F12" i="47"/>
  <c r="E12" i="47"/>
  <c r="D12" i="47"/>
  <c r="C12" i="47"/>
  <c r="B12" i="47"/>
  <c r="A12" i="47"/>
  <c r="I11" i="47"/>
  <c r="H11" i="47"/>
  <c r="G11" i="47"/>
  <c r="F11" i="47"/>
  <c r="E11" i="47"/>
  <c r="D11" i="47"/>
  <c r="C11" i="47"/>
  <c r="B11" i="47"/>
  <c r="A11" i="47"/>
  <c r="I10" i="47"/>
  <c r="H10" i="47"/>
  <c r="G10" i="47"/>
  <c r="F10" i="47"/>
  <c r="E10" i="47"/>
  <c r="D10" i="47"/>
  <c r="C10" i="47"/>
  <c r="B10" i="47"/>
  <c r="A10" i="47"/>
  <c r="I9" i="47"/>
  <c r="H9" i="47"/>
  <c r="G9" i="47"/>
  <c r="F9" i="47"/>
  <c r="E9" i="47"/>
  <c r="D9" i="47"/>
  <c r="C9" i="47"/>
  <c r="B9" i="47"/>
  <c r="A9" i="47"/>
  <c r="I8" i="47"/>
  <c r="H8" i="47"/>
  <c r="G8" i="47"/>
  <c r="F8" i="47"/>
  <c r="E8" i="47"/>
  <c r="D8" i="47"/>
  <c r="C8" i="47"/>
  <c r="B8" i="47"/>
  <c r="A8" i="47"/>
  <c r="I7" i="47"/>
  <c r="H7" i="47"/>
  <c r="G7" i="47"/>
  <c r="F7" i="47"/>
  <c r="E7" i="47"/>
  <c r="D7" i="47"/>
  <c r="C7" i="47"/>
  <c r="B7" i="47"/>
  <c r="A7" i="47"/>
  <c r="I6" i="47"/>
  <c r="H6" i="47"/>
  <c r="G6" i="47"/>
  <c r="F6" i="47"/>
  <c r="E6" i="47"/>
  <c r="D6" i="47"/>
  <c r="C6" i="47"/>
  <c r="B6" i="47"/>
  <c r="A6" i="47"/>
  <c r="I5" i="47"/>
  <c r="H5" i="47"/>
  <c r="G5" i="47"/>
  <c r="F5" i="47"/>
  <c r="E5" i="47"/>
  <c r="D5" i="47"/>
  <c r="C5" i="47"/>
  <c r="B5" i="47"/>
  <c r="A5" i="47"/>
  <c r="I4" i="47"/>
  <c r="H4" i="47"/>
  <c r="G4" i="47"/>
  <c r="F4" i="47"/>
  <c r="E4" i="47"/>
  <c r="D4" i="47"/>
  <c r="C4" i="47"/>
  <c r="B4" i="47"/>
  <c r="A4" i="47"/>
  <c r="I3" i="47"/>
  <c r="H3" i="47"/>
  <c r="G3" i="47"/>
  <c r="F3" i="47"/>
  <c r="E3" i="47"/>
  <c r="D3" i="47"/>
  <c r="C3" i="47"/>
  <c r="B3" i="47"/>
  <c r="H2" i="47"/>
  <c r="F2" i="47"/>
  <c r="D2" i="47"/>
  <c r="B2" i="47"/>
  <c r="A1" i="47"/>
  <c r="B11" i="26" s="1"/>
  <c r="I12" i="46"/>
  <c r="H12" i="46"/>
  <c r="G12" i="46"/>
  <c r="F12" i="46"/>
  <c r="E12" i="46"/>
  <c r="D12" i="46"/>
  <c r="C12" i="46"/>
  <c r="B12" i="46"/>
  <c r="A12" i="46"/>
  <c r="I11" i="46"/>
  <c r="H11" i="46"/>
  <c r="G11" i="46"/>
  <c r="F11" i="46"/>
  <c r="E11" i="46"/>
  <c r="D11" i="46"/>
  <c r="C11" i="46"/>
  <c r="B11" i="46"/>
  <c r="A11" i="46"/>
  <c r="I10" i="46"/>
  <c r="H10" i="46"/>
  <c r="G10" i="46"/>
  <c r="F10" i="46"/>
  <c r="E10" i="46"/>
  <c r="D10" i="46"/>
  <c r="C10" i="46"/>
  <c r="B10" i="46"/>
  <c r="A10" i="46"/>
  <c r="I9" i="46"/>
  <c r="H9" i="46"/>
  <c r="G9" i="46"/>
  <c r="F9" i="46"/>
  <c r="E9" i="46"/>
  <c r="D9" i="46"/>
  <c r="C9" i="46"/>
  <c r="B9" i="46"/>
  <c r="A9" i="46"/>
  <c r="I8" i="46"/>
  <c r="H8" i="46"/>
  <c r="G8" i="46"/>
  <c r="F8" i="46"/>
  <c r="E8" i="46"/>
  <c r="D8" i="46"/>
  <c r="C8" i="46"/>
  <c r="B8" i="46"/>
  <c r="A8" i="46"/>
  <c r="I7" i="46"/>
  <c r="H7" i="46"/>
  <c r="G7" i="46"/>
  <c r="F7" i="46"/>
  <c r="E7" i="46"/>
  <c r="D7" i="46"/>
  <c r="C7" i="46"/>
  <c r="B7" i="46"/>
  <c r="A7" i="46"/>
  <c r="I6" i="46"/>
  <c r="H6" i="46"/>
  <c r="G6" i="46"/>
  <c r="F6" i="46"/>
  <c r="E6" i="46"/>
  <c r="D6" i="46"/>
  <c r="C6" i="46"/>
  <c r="B6" i="46"/>
  <c r="A6" i="46"/>
  <c r="I5" i="46"/>
  <c r="H5" i="46"/>
  <c r="G5" i="46"/>
  <c r="F5" i="46"/>
  <c r="E5" i="46"/>
  <c r="D5" i="46"/>
  <c r="C5" i="46"/>
  <c r="B5" i="46"/>
  <c r="A5" i="46"/>
  <c r="I4" i="46"/>
  <c r="H4" i="46"/>
  <c r="G4" i="46"/>
  <c r="F4" i="46"/>
  <c r="E4" i="46"/>
  <c r="D4" i="46"/>
  <c r="C4" i="46"/>
  <c r="B4" i="46"/>
  <c r="A4" i="46"/>
  <c r="I3" i="46"/>
  <c r="H3" i="46"/>
  <c r="G3" i="46"/>
  <c r="F3" i="46"/>
  <c r="E3" i="46"/>
  <c r="D3" i="46"/>
  <c r="C3" i="46"/>
  <c r="B3" i="46"/>
  <c r="H2" i="46"/>
  <c r="F2" i="46"/>
  <c r="D2" i="46"/>
  <c r="B2" i="46"/>
  <c r="A1" i="46"/>
  <c r="B9" i="26" s="1"/>
  <c r="G11" i="48"/>
  <c r="F11" i="48"/>
  <c r="E11" i="48"/>
  <c r="D11" i="48"/>
  <c r="C11" i="48"/>
  <c r="B11" i="48"/>
  <c r="A11" i="48"/>
  <c r="G10" i="48"/>
  <c r="F10" i="48"/>
  <c r="E10" i="48"/>
  <c r="D10" i="48"/>
  <c r="C10" i="48"/>
  <c r="B10" i="48"/>
  <c r="A10" i="48"/>
  <c r="G9" i="48"/>
  <c r="F9" i="48"/>
  <c r="E9" i="48"/>
  <c r="D9" i="48"/>
  <c r="C9" i="48"/>
  <c r="B9" i="48"/>
  <c r="A9" i="48"/>
  <c r="G8" i="48"/>
  <c r="F8" i="48"/>
  <c r="E8" i="48"/>
  <c r="D8" i="48"/>
  <c r="C8" i="48"/>
  <c r="B8" i="48"/>
  <c r="A8" i="48"/>
  <c r="G7" i="48"/>
  <c r="F7" i="48"/>
  <c r="E7" i="48"/>
  <c r="D7" i="48"/>
  <c r="C7" i="48"/>
  <c r="B7" i="48"/>
  <c r="A7" i="48"/>
  <c r="G6" i="48"/>
  <c r="F6" i="48"/>
  <c r="E6" i="48"/>
  <c r="D6" i="48"/>
  <c r="C6" i="48"/>
  <c r="B6" i="48"/>
  <c r="A6" i="48"/>
  <c r="G5" i="48"/>
  <c r="F5" i="48"/>
  <c r="E5" i="48"/>
  <c r="D5" i="48"/>
  <c r="C5" i="48"/>
  <c r="B5" i="48"/>
  <c r="A5" i="48"/>
  <c r="G4" i="48"/>
  <c r="F4" i="48"/>
  <c r="E4" i="48"/>
  <c r="D4" i="48"/>
  <c r="C4" i="48"/>
  <c r="B4" i="48"/>
  <c r="A4" i="48"/>
  <c r="G3" i="48"/>
  <c r="F3" i="48"/>
  <c r="E3" i="48"/>
  <c r="D3" i="48"/>
  <c r="C3" i="48"/>
  <c r="B3" i="48"/>
  <c r="A3" i="48"/>
  <c r="G2" i="48"/>
  <c r="F2" i="48"/>
  <c r="E2" i="48"/>
  <c r="D2" i="48"/>
  <c r="C2" i="48"/>
  <c r="B2" i="48"/>
  <c r="B10" i="26"/>
  <c r="B39" i="26"/>
  <c r="B38" i="26"/>
  <c r="B37" i="26"/>
  <c r="B36" i="26"/>
  <c r="B35" i="26"/>
  <c r="B34" i="26"/>
  <c r="B33" i="26"/>
  <c r="B32" i="26"/>
  <c r="B31" i="26"/>
  <c r="B30" i="26"/>
  <c r="B29" i="26"/>
  <c r="B26" i="26"/>
  <c r="B25" i="26"/>
  <c r="B24" i="26"/>
  <c r="B23" i="26"/>
  <c r="B20" i="26"/>
  <c r="B19" i="26"/>
  <c r="B18" i="26"/>
  <c r="B17" i="26"/>
  <c r="B16" i="26"/>
  <c r="B15" i="26"/>
  <c r="B14" i="26"/>
  <c r="B13" i="26"/>
  <c r="B8" i="26"/>
  <c r="B12" i="26"/>
</calcChain>
</file>

<file path=xl/sharedStrings.xml><?xml version="1.0" encoding="utf-8"?>
<sst xmlns="http://schemas.openxmlformats.org/spreadsheetml/2006/main" count="2103" uniqueCount="760">
  <si>
    <t>Monaco</t>
  </si>
  <si>
    <t>Liechtenstein</t>
  </si>
  <si>
    <t>Luxembourg</t>
  </si>
  <si>
    <t>Guernsey</t>
  </si>
  <si>
    <t>Bermuda</t>
  </si>
  <si>
    <t>Jersey</t>
  </si>
  <si>
    <t>Singapore</t>
  </si>
  <si>
    <t>Cayman Islands</t>
  </si>
  <si>
    <t>Macao</t>
  </si>
  <si>
    <t>Anguilla</t>
  </si>
  <si>
    <t>Gibraltar</t>
  </si>
  <si>
    <t>Isle of Man</t>
  </si>
  <si>
    <t>Norway</t>
  </si>
  <si>
    <t>Qatar</t>
  </si>
  <si>
    <t>Montserrat</t>
  </si>
  <si>
    <t>Brunei Darussalam</t>
  </si>
  <si>
    <t>Hong Kong</t>
  </si>
  <si>
    <t>Denmark</t>
  </si>
  <si>
    <t>Taiwan</t>
  </si>
  <si>
    <t>Ireland</t>
  </si>
  <si>
    <t>Switzerland</t>
  </si>
  <si>
    <t>United Arab Emirates</t>
  </si>
  <si>
    <t>USA</t>
  </si>
  <si>
    <t>Greenland</t>
  </si>
  <si>
    <t>Andorra</t>
  </si>
  <si>
    <t>Netherlands</t>
  </si>
  <si>
    <t>Sweden</t>
  </si>
  <si>
    <t>Guyana</t>
  </si>
  <si>
    <t>Iceland</t>
  </si>
  <si>
    <t>Belgium</t>
  </si>
  <si>
    <t>Germany</t>
  </si>
  <si>
    <t>San Marino</t>
  </si>
  <si>
    <t>Australia</t>
  </si>
  <si>
    <t>Austria</t>
  </si>
  <si>
    <t>Virgin Islands, British</t>
  </si>
  <si>
    <t>Canada</t>
  </si>
  <si>
    <t>Saudi Arabia</t>
  </si>
  <si>
    <t>Malta</t>
  </si>
  <si>
    <t>Kuwait</t>
  </si>
  <si>
    <t>France</t>
  </si>
  <si>
    <t>Bahrain</t>
  </si>
  <si>
    <t>Finland</t>
  </si>
  <si>
    <t>United Kingdom</t>
  </si>
  <si>
    <t>Israel</t>
  </si>
  <si>
    <t>Italy</t>
  </si>
  <si>
    <t>South Korea</t>
  </si>
  <si>
    <t>Puerto Rico</t>
  </si>
  <si>
    <t>Mauritius</t>
  </si>
  <si>
    <t>Lithuania</t>
  </si>
  <si>
    <t>Spain</t>
  </si>
  <si>
    <t>Japan</t>
  </si>
  <si>
    <t>New Zealand</t>
  </si>
  <si>
    <t>Sint Maarten (Dutch part)</t>
  </si>
  <si>
    <t>Slovenia</t>
  </si>
  <si>
    <t>Aruba</t>
  </si>
  <si>
    <t>Poland</t>
  </si>
  <si>
    <t>Russia</t>
  </si>
  <si>
    <t>Czechia</t>
  </si>
  <si>
    <t>Portugal</t>
  </si>
  <si>
    <t>Estonia</t>
  </si>
  <si>
    <t>Croatia</t>
  </si>
  <si>
    <t>Greece</t>
  </si>
  <si>
    <t>Romania</t>
  </si>
  <si>
    <t>Slovakia</t>
  </si>
  <si>
    <t>Hungary</t>
  </si>
  <si>
    <t>Panama</t>
  </si>
  <si>
    <t>Cyprus</t>
  </si>
  <si>
    <t>New Caledonia</t>
  </si>
  <si>
    <t>Kazakhstan</t>
  </si>
  <si>
    <t>Turkiye</t>
  </si>
  <si>
    <t>Latvia</t>
  </si>
  <si>
    <t>Bahamas</t>
  </si>
  <si>
    <t>Malaysia</t>
  </si>
  <si>
    <t>Oman</t>
  </si>
  <si>
    <t>Saint Kitts and Nevis</t>
  </si>
  <si>
    <t>Uruguay</t>
  </si>
  <si>
    <t>Barbados</t>
  </si>
  <si>
    <t>Bulgaria</t>
  </si>
  <si>
    <t>Trinidad and Tobago</t>
  </si>
  <si>
    <t>Antigua and Barbuda</t>
  </si>
  <si>
    <t>Chile</t>
  </si>
  <si>
    <t>Seychelles</t>
  </si>
  <si>
    <t>Montenegro</t>
  </si>
  <si>
    <t>Costa Rica</t>
  </si>
  <si>
    <t>Argentina</t>
  </si>
  <si>
    <t>French Polynesia</t>
  </si>
  <si>
    <t>Belarus</t>
  </si>
  <si>
    <t>Dominican Republic</t>
  </si>
  <si>
    <t>Cuba</t>
  </si>
  <si>
    <t>Curacao</t>
  </si>
  <si>
    <t>Turks and Caicos Islands</t>
  </si>
  <si>
    <t>Serbia</t>
  </si>
  <si>
    <t>Georgia</t>
  </si>
  <si>
    <t>Azerbaijan</t>
  </si>
  <si>
    <t>China</t>
  </si>
  <si>
    <t>Saint Lucia</t>
  </si>
  <si>
    <t>North Macedonia</t>
  </si>
  <si>
    <t>Maldives</t>
  </si>
  <si>
    <t>Bosnia and Herzegovina</t>
  </si>
  <si>
    <t>Turkmenistan</t>
  </si>
  <si>
    <t>Mexico</t>
  </si>
  <si>
    <t>Dominica</t>
  </si>
  <si>
    <t>Armenia</t>
  </si>
  <si>
    <t>Thailand</t>
  </si>
  <si>
    <t>Saint Vincent and the Grenadines</t>
  </si>
  <si>
    <t>Egypt</t>
  </si>
  <si>
    <t>Brazil</t>
  </si>
  <si>
    <t>Colombia</t>
  </si>
  <si>
    <t>Nauru</t>
  </si>
  <si>
    <t>Palau</t>
  </si>
  <si>
    <t>Albania</t>
  </si>
  <si>
    <t>Mongolia</t>
  </si>
  <si>
    <t>Suriname</t>
  </si>
  <si>
    <t>Ukraine</t>
  </si>
  <si>
    <t>Botswana</t>
  </si>
  <si>
    <t>Paraguay</t>
  </si>
  <si>
    <t>Grenada</t>
  </si>
  <si>
    <t>Kosovo</t>
  </si>
  <si>
    <t>Bonaire</t>
  </si>
  <si>
    <t>Peru</t>
  </si>
  <si>
    <t>Gabon</t>
  </si>
  <si>
    <t>Bhutan</t>
  </si>
  <si>
    <t>Equatorial Guinea</t>
  </si>
  <si>
    <t>Sri Lanka</t>
  </si>
  <si>
    <t>Viet Nam</t>
  </si>
  <si>
    <t>Algeria</t>
  </si>
  <si>
    <t>Ecuador</t>
  </si>
  <si>
    <t>Moldova</t>
  </si>
  <si>
    <t>Fiji</t>
  </si>
  <si>
    <t>South Africa</t>
  </si>
  <si>
    <t>Libya</t>
  </si>
  <si>
    <t>Iran</t>
  </si>
  <si>
    <t>Guatemala</t>
  </si>
  <si>
    <t>Indonesia</t>
  </si>
  <si>
    <t>Iraq</t>
  </si>
  <si>
    <t>Tunisia</t>
  </si>
  <si>
    <t>Belize</t>
  </si>
  <si>
    <t>El Salvador</t>
  </si>
  <si>
    <t>Philippines</t>
  </si>
  <si>
    <t>Lebanon</t>
  </si>
  <si>
    <t>Jamaica</t>
  </si>
  <si>
    <t>Namibia</t>
  </si>
  <si>
    <t>Morocco</t>
  </si>
  <si>
    <t>Bolivia</t>
  </si>
  <si>
    <t>Tuvalu</t>
  </si>
  <si>
    <t>Cabo Verde</t>
  </si>
  <si>
    <t>Jordan</t>
  </si>
  <si>
    <t>Eswatini</t>
  </si>
  <si>
    <t>India</t>
  </si>
  <si>
    <t>Bangladesh</t>
  </si>
  <si>
    <t>Marshall Islands</t>
  </si>
  <si>
    <t>Tonga</t>
  </si>
  <si>
    <t>Lao PDR</t>
  </si>
  <si>
    <t>Uzbekistan</t>
  </si>
  <si>
    <t>Nicaragua</t>
  </si>
  <si>
    <t>Kyrgyzstan</t>
  </si>
  <si>
    <t>Samoa</t>
  </si>
  <si>
    <t>Ghana</t>
  </si>
  <si>
    <t>Djibouti</t>
  </si>
  <si>
    <t>Cote d’Ivoire</t>
  </si>
  <si>
    <t>Cambodia</t>
  </si>
  <si>
    <t>Angola</t>
  </si>
  <si>
    <t>Honduras</t>
  </si>
  <si>
    <t>Mauritania</t>
  </si>
  <si>
    <t>Tajikistan</t>
  </si>
  <si>
    <t>Pakistan</t>
  </si>
  <si>
    <t>Nigeria</t>
  </si>
  <si>
    <t>Sao Tome and Principe</t>
  </si>
  <si>
    <t>Kenya</t>
  </si>
  <si>
    <t>Nepal</t>
  </si>
  <si>
    <t>Myanmar</t>
  </si>
  <si>
    <t>Palestine</t>
  </si>
  <si>
    <t>Kiribati</t>
  </si>
  <si>
    <t>Cameroon</t>
  </si>
  <si>
    <t>Congo</t>
  </si>
  <si>
    <t>Timor-Leste</t>
  </si>
  <si>
    <t>Micronesia</t>
  </si>
  <si>
    <t>Papua New Guinea</t>
  </si>
  <si>
    <t>Senegal</t>
  </si>
  <si>
    <t>Syria</t>
  </si>
  <si>
    <t>Comoros</t>
  </si>
  <si>
    <t>Zambia</t>
  </si>
  <si>
    <t>Benin</t>
  </si>
  <si>
    <t>Vanuatu</t>
  </si>
  <si>
    <t>Ethiopia</t>
  </si>
  <si>
    <t>Rwanda</t>
  </si>
  <si>
    <t>Lesotho</t>
  </si>
  <si>
    <t>Tanzania</t>
  </si>
  <si>
    <t>Guinea</t>
  </si>
  <si>
    <t>Sierra Leone</t>
  </si>
  <si>
    <t>Gambia</t>
  </si>
  <si>
    <t>Uganda</t>
  </si>
  <si>
    <t>Togo</t>
  </si>
  <si>
    <t>Haiti</t>
  </si>
  <si>
    <t>Venezuela</t>
  </si>
  <si>
    <t>Burkina Faso</t>
  </si>
  <si>
    <t>Solomon Islands</t>
  </si>
  <si>
    <t>North Korea</t>
  </si>
  <si>
    <t>Mali</t>
  </si>
  <si>
    <t>Guinea-Bissau</t>
  </si>
  <si>
    <t>Afghanistan</t>
  </si>
  <si>
    <t>Chad</t>
  </si>
  <si>
    <t>Eritrea</t>
  </si>
  <si>
    <t>Niger</t>
  </si>
  <si>
    <t>Liberia</t>
  </si>
  <si>
    <t>South Sudan</t>
  </si>
  <si>
    <t>Madagascar</t>
  </si>
  <si>
    <t>Malawi</t>
  </si>
  <si>
    <t>DR Congo</t>
  </si>
  <si>
    <t>Somalia</t>
  </si>
  <si>
    <t>Mozambique</t>
  </si>
  <si>
    <t>Central African Republic</t>
  </si>
  <si>
    <t>Yemen</t>
  </si>
  <si>
    <t>Burundi</t>
  </si>
  <si>
    <t>Sudan</t>
  </si>
  <si>
    <t>Zimbabwe</t>
  </si>
  <si>
    <t>90%-100%</t>
  </si>
  <si>
    <t>80%-90%</t>
  </si>
  <si>
    <t>70%-80%</t>
  </si>
  <si>
    <t>60%-70%</t>
  </si>
  <si>
    <t>50%-60%</t>
  </si>
  <si>
    <t>40%-50%</t>
  </si>
  <si>
    <t>30%-40%</t>
  </si>
  <si>
    <t>20%-30%</t>
  </si>
  <si>
    <t>10%-20%</t>
  </si>
  <si>
    <t>0%-10%</t>
  </si>
  <si>
    <t>Europe</t>
  </si>
  <si>
    <t>North America &amp; Oceania</t>
  </si>
  <si>
    <t>South &amp; South-East Asia</t>
  </si>
  <si>
    <t>Latin America</t>
  </si>
  <si>
    <t>East Asia</t>
  </si>
  <si>
    <t>MENA</t>
  </si>
  <si>
    <t>Sub-Saharan Africa</t>
  </si>
  <si>
    <t>Russia &amp; Central Asia</t>
  </si>
  <si>
    <t>MC</t>
  </si>
  <si>
    <t>LI</t>
  </si>
  <si>
    <t>LU</t>
  </si>
  <si>
    <t>GG</t>
  </si>
  <si>
    <t>BM</t>
  </si>
  <si>
    <t>JE</t>
  </si>
  <si>
    <t>SG</t>
  </si>
  <si>
    <t>KY</t>
  </si>
  <si>
    <t>MO</t>
  </si>
  <si>
    <t>AI</t>
  </si>
  <si>
    <t>GI</t>
  </si>
  <si>
    <t>IM</t>
  </si>
  <si>
    <t>NO</t>
  </si>
  <si>
    <t>QA</t>
  </si>
  <si>
    <t>MS</t>
  </si>
  <si>
    <t>BN</t>
  </si>
  <si>
    <t>HK</t>
  </si>
  <si>
    <t>DK</t>
  </si>
  <si>
    <t>TW</t>
  </si>
  <si>
    <t>IE</t>
  </si>
  <si>
    <t>CH</t>
  </si>
  <si>
    <t>AE</t>
  </si>
  <si>
    <t>US</t>
  </si>
  <si>
    <t>GL</t>
  </si>
  <si>
    <t>AD</t>
  </si>
  <si>
    <t>NL</t>
  </si>
  <si>
    <t>SE</t>
  </si>
  <si>
    <t>GY</t>
  </si>
  <si>
    <t>IS</t>
  </si>
  <si>
    <t>BE</t>
  </si>
  <si>
    <t>DE</t>
  </si>
  <si>
    <t>SM</t>
  </si>
  <si>
    <t>AU</t>
  </si>
  <si>
    <t>AT</t>
  </si>
  <si>
    <t>VG</t>
  </si>
  <si>
    <t>CA</t>
  </si>
  <si>
    <t>SA</t>
  </si>
  <si>
    <t>MT</t>
  </si>
  <si>
    <t>KW</t>
  </si>
  <si>
    <t>FR</t>
  </si>
  <si>
    <t>BH</t>
  </si>
  <si>
    <t>FI</t>
  </si>
  <si>
    <t>GB</t>
  </si>
  <si>
    <t>IL</t>
  </si>
  <si>
    <t>IT</t>
  </si>
  <si>
    <t>KR</t>
  </si>
  <si>
    <t>PR</t>
  </si>
  <si>
    <t>MU</t>
  </si>
  <si>
    <t>LT</t>
  </si>
  <si>
    <t>ES</t>
  </si>
  <si>
    <t>JP</t>
  </si>
  <si>
    <t>NZ</t>
  </si>
  <si>
    <t>SX</t>
  </si>
  <si>
    <t>SI</t>
  </si>
  <si>
    <t>AW</t>
  </si>
  <si>
    <t>PL</t>
  </si>
  <si>
    <t>RU</t>
  </si>
  <si>
    <t>CZ</t>
  </si>
  <si>
    <t>PT</t>
  </si>
  <si>
    <t>EE</t>
  </si>
  <si>
    <t>HR</t>
  </si>
  <si>
    <t>GR</t>
  </si>
  <si>
    <t>RO</t>
  </si>
  <si>
    <t>SK</t>
  </si>
  <si>
    <t>HU</t>
  </si>
  <si>
    <t>PA</t>
  </si>
  <si>
    <t>CY</t>
  </si>
  <si>
    <t>NC</t>
  </si>
  <si>
    <t>KZ</t>
  </si>
  <si>
    <t>TR</t>
  </si>
  <si>
    <t>LV</t>
  </si>
  <si>
    <t>BS</t>
  </si>
  <si>
    <t>MY</t>
  </si>
  <si>
    <t>OM</t>
  </si>
  <si>
    <t>KN</t>
  </si>
  <si>
    <t>UY</t>
  </si>
  <si>
    <t>BB</t>
  </si>
  <si>
    <t>BG</t>
  </si>
  <si>
    <t>TT</t>
  </si>
  <si>
    <t>AG</t>
  </si>
  <si>
    <t>CL</t>
  </si>
  <si>
    <t>SC</t>
  </si>
  <si>
    <t>ME</t>
  </si>
  <si>
    <t>CR</t>
  </si>
  <si>
    <t>AR</t>
  </si>
  <si>
    <t>PF</t>
  </si>
  <si>
    <t>BY</t>
  </si>
  <si>
    <t>DO</t>
  </si>
  <si>
    <t>CU</t>
  </si>
  <si>
    <t>CW</t>
  </si>
  <si>
    <t>TC</t>
  </si>
  <si>
    <t>RS</t>
  </si>
  <si>
    <t>GE</t>
  </si>
  <si>
    <t>AZ</t>
  </si>
  <si>
    <t>CN</t>
  </si>
  <si>
    <t>LC</t>
  </si>
  <si>
    <t>MK</t>
  </si>
  <si>
    <t>MV</t>
  </si>
  <si>
    <t>BA</t>
  </si>
  <si>
    <t>TM</t>
  </si>
  <si>
    <t>MX</t>
  </si>
  <si>
    <t>DM</t>
  </si>
  <si>
    <t>AM</t>
  </si>
  <si>
    <t>TH</t>
  </si>
  <si>
    <t>VC</t>
  </si>
  <si>
    <t>EG</t>
  </si>
  <si>
    <t>BR</t>
  </si>
  <si>
    <t>CO</t>
  </si>
  <si>
    <t>NR</t>
  </si>
  <si>
    <t>PW</t>
  </si>
  <si>
    <t>AL</t>
  </si>
  <si>
    <t>MN</t>
  </si>
  <si>
    <t>SR</t>
  </si>
  <si>
    <t>UA</t>
  </si>
  <si>
    <t>BW</t>
  </si>
  <si>
    <t>PY</t>
  </si>
  <si>
    <t>GD</t>
  </si>
  <si>
    <t>KS</t>
  </si>
  <si>
    <t>BQ</t>
  </si>
  <si>
    <t>PE</t>
  </si>
  <si>
    <t>GA</t>
  </si>
  <si>
    <t>BT</t>
  </si>
  <si>
    <t>GQ</t>
  </si>
  <si>
    <t>LK</t>
  </si>
  <si>
    <t>VN</t>
  </si>
  <si>
    <t>DZ</t>
  </si>
  <si>
    <t>EC</t>
  </si>
  <si>
    <t>MD</t>
  </si>
  <si>
    <t>FJ</t>
  </si>
  <si>
    <t>ZA</t>
  </si>
  <si>
    <t>LY</t>
  </si>
  <si>
    <t>IR</t>
  </si>
  <si>
    <t>GT</t>
  </si>
  <si>
    <t>ID</t>
  </si>
  <si>
    <t>IQ</t>
  </si>
  <si>
    <t>TN</t>
  </si>
  <si>
    <t>BZ</t>
  </si>
  <si>
    <t>SV</t>
  </si>
  <si>
    <t>PH</t>
  </si>
  <si>
    <t>LB</t>
  </si>
  <si>
    <t>JM</t>
  </si>
  <si>
    <t>NA</t>
  </si>
  <si>
    <t>MA</t>
  </si>
  <si>
    <t>BO</t>
  </si>
  <si>
    <t>TV</t>
  </si>
  <si>
    <t>CV</t>
  </si>
  <si>
    <t>JO</t>
  </si>
  <si>
    <t>SZ</t>
  </si>
  <si>
    <t>IN</t>
  </si>
  <si>
    <t>BD</t>
  </si>
  <si>
    <t>MH</t>
  </si>
  <si>
    <t>TO</t>
  </si>
  <si>
    <t>LA</t>
  </si>
  <si>
    <t>UZ</t>
  </si>
  <si>
    <t>NI</t>
  </si>
  <si>
    <t>KG</t>
  </si>
  <si>
    <t>WS</t>
  </si>
  <si>
    <t>GH</t>
  </si>
  <si>
    <t>DJ</t>
  </si>
  <si>
    <t>CI</t>
  </si>
  <si>
    <t>KH</t>
  </si>
  <si>
    <t>AO</t>
  </si>
  <si>
    <t>HN</t>
  </si>
  <si>
    <t>MR</t>
  </si>
  <si>
    <t>TJ</t>
  </si>
  <si>
    <t>PK</t>
  </si>
  <si>
    <t>NG</t>
  </si>
  <si>
    <t>ST</t>
  </si>
  <si>
    <t>KE</t>
  </si>
  <si>
    <t>NP</t>
  </si>
  <si>
    <t>MM</t>
  </si>
  <si>
    <t>PS</t>
  </si>
  <si>
    <t>KI</t>
  </si>
  <si>
    <t>CM</t>
  </si>
  <si>
    <t>CG</t>
  </si>
  <si>
    <t>TL</t>
  </si>
  <si>
    <t>FM</t>
  </si>
  <si>
    <t>PG</t>
  </si>
  <si>
    <t>SN</t>
  </si>
  <si>
    <t>SY</t>
  </si>
  <si>
    <t>KM</t>
  </si>
  <si>
    <t>ZM</t>
  </si>
  <si>
    <t>BJ</t>
  </si>
  <si>
    <t>VU</t>
  </si>
  <si>
    <t>ET</t>
  </si>
  <si>
    <t>RW</t>
  </si>
  <si>
    <t>LS</t>
  </si>
  <si>
    <t>TZ</t>
  </si>
  <si>
    <t>GN</t>
  </si>
  <si>
    <t>SL</t>
  </si>
  <si>
    <t>GM</t>
  </si>
  <si>
    <t>UG</t>
  </si>
  <si>
    <t>TG</t>
  </si>
  <si>
    <t>HT</t>
  </si>
  <si>
    <t>VE</t>
  </si>
  <si>
    <t>BF</t>
  </si>
  <si>
    <t>SB</t>
  </si>
  <si>
    <t>KP</t>
  </si>
  <si>
    <t>ML</t>
  </si>
  <si>
    <t>GW</t>
  </si>
  <si>
    <t>AF</t>
  </si>
  <si>
    <t>TD</t>
  </si>
  <si>
    <t>ER</t>
  </si>
  <si>
    <t>NE</t>
  </si>
  <si>
    <t>LR</t>
  </si>
  <si>
    <t>SS</t>
  </si>
  <si>
    <t>MG</t>
  </si>
  <si>
    <t>MW</t>
  </si>
  <si>
    <t>CD</t>
  </si>
  <si>
    <t>SO</t>
  </si>
  <si>
    <t>MZ</t>
  </si>
  <si>
    <t>CF</t>
  </si>
  <si>
    <t>YE</t>
  </si>
  <si>
    <t>BI</t>
  </si>
  <si>
    <t>SD</t>
  </si>
  <si>
    <t>ZW</t>
  </si>
  <si>
    <t>World</t>
  </si>
  <si>
    <t>Other East Asia</t>
  </si>
  <si>
    <t>Other Western Europe</t>
  </si>
  <si>
    <t>Eastern Europe</t>
  </si>
  <si>
    <t>Other Latin America</t>
  </si>
  <si>
    <t>Other MENA</t>
  </si>
  <si>
    <t>Other North America &amp; Oceania</t>
  </si>
  <si>
    <t>Other Russia &amp; Central Asia</t>
  </si>
  <si>
    <t>Other South &amp; South-East Asia</t>
  </si>
  <si>
    <t>Other Sub-Saharan Africa</t>
  </si>
  <si>
    <t>Name of Country</t>
  </si>
  <si>
    <t>Income decile</t>
  </si>
  <si>
    <t>Region</t>
  </si>
  <si>
    <t>Country code</t>
  </si>
  <si>
    <t>Ratio MER/PPP Per Capita National Income
(2021 €)</t>
  </si>
  <si>
    <t>Ratio MER/PPP Per Capita National Income
(2021 $)</t>
  </si>
  <si>
    <t>Exchange rate euro/dollar</t>
  </si>
  <si>
    <t>Purchasing power parity euro/dollar</t>
  </si>
  <si>
    <t>Exchange rate euro/yuan</t>
  </si>
  <si>
    <t>Purchasing power parity euro/yuan</t>
  </si>
  <si>
    <t>North America/ Oceania</t>
  </si>
  <si>
    <t>Middle East/North Africa</t>
  </si>
  <si>
    <t>Subsaharan Africa</t>
  </si>
  <si>
    <t>Russia/ Central Asia</t>
  </si>
  <si>
    <t>OC</t>
  </si>
  <si>
    <t>QM</t>
  </si>
  <si>
    <t>OH</t>
  </si>
  <si>
    <t>OD</t>
  </si>
  <si>
    <t>OE</t>
  </si>
  <si>
    <t>OJ</t>
  </si>
  <si>
    <t>OA</t>
  </si>
  <si>
    <t>OB</t>
  </si>
  <si>
    <t>OI</t>
  </si>
  <si>
    <t>Data series used for the figures on exchange rates and PPP euro/dollar and euro/yuan</t>
  </si>
  <si>
    <r>
      <t xml:space="preserve">Population </t>
    </r>
    <r>
      <rPr>
        <sz val="12"/>
        <color theme="1"/>
        <rFont val="Arial Narrow"/>
        <family val="2"/>
      </rPr>
      <t>(millions)</t>
    </r>
  </si>
  <si>
    <r>
      <t xml:space="preserve">Population </t>
    </r>
    <r>
      <rPr>
        <sz val="12"/>
        <color theme="1"/>
        <rFont val="Arial Narrow"/>
        <family val="2"/>
      </rPr>
      <t>(% world total)</t>
    </r>
  </si>
  <si>
    <r>
      <t xml:space="preserve">National income      </t>
    </r>
    <r>
      <rPr>
        <sz val="12"/>
        <color theme="1"/>
        <rFont val="Arial Narrow"/>
        <family val="2"/>
      </rPr>
      <t>(% world total)</t>
    </r>
  </si>
  <si>
    <r>
      <t xml:space="preserve">Per capita national income      </t>
    </r>
    <r>
      <rPr>
        <sz val="12"/>
        <color theme="1"/>
        <rFont val="Arial Narrow"/>
        <family val="2"/>
      </rPr>
      <t>(% world average)</t>
    </r>
  </si>
  <si>
    <t>National income</t>
  </si>
  <si>
    <t>Per capita national income</t>
  </si>
  <si>
    <r>
      <t xml:space="preserve">Per capita national income      </t>
    </r>
    <r>
      <rPr>
        <sz val="12"/>
        <color theme="1"/>
        <rFont val="Arial Narrow"/>
        <family val="2"/>
      </rPr>
      <t>(% world total)</t>
    </r>
  </si>
  <si>
    <t xml:space="preserve"> Gross domestic product</t>
  </si>
  <si>
    <r>
      <t xml:space="preserve"> Gross domestic product  </t>
    </r>
    <r>
      <rPr>
        <sz val="12"/>
        <color theme="1"/>
        <rFont val="Arial Narrow"/>
        <family val="2"/>
      </rPr>
      <t>(% world total)</t>
    </r>
  </si>
  <si>
    <r>
      <t xml:space="preserve"> Gross domestic product </t>
    </r>
    <r>
      <rPr>
        <sz val="12"/>
        <color theme="1"/>
        <rFont val="Arial Narrow"/>
        <family val="2"/>
      </rPr>
      <t>(% world total)</t>
    </r>
  </si>
  <si>
    <t xml:space="preserve"> Per capita gross domestic product</t>
  </si>
  <si>
    <t xml:space="preserve"> Per capita gross domestic product (% world total)</t>
  </si>
  <si>
    <t xml:space="preserve"> Per capita gross domestic product  (% world total)</t>
  </si>
  <si>
    <r>
      <t xml:space="preserve">Per capita national income   </t>
    </r>
    <r>
      <rPr>
        <sz val="12"/>
        <color theme="1"/>
        <rFont val="Arial Narrow"/>
        <family val="2"/>
      </rPr>
      <t>(PPP 2021 $) (ICP 2021)</t>
    </r>
  </si>
  <si>
    <r>
      <t xml:space="preserve">Per capita national income      </t>
    </r>
    <r>
      <rPr>
        <sz val="12"/>
        <color theme="1"/>
        <rFont val="Arial Narrow"/>
        <family val="2"/>
      </rPr>
      <t>(% world average) (ICP 2021)</t>
    </r>
  </si>
  <si>
    <r>
      <t xml:space="preserve">Per capita national income   </t>
    </r>
    <r>
      <rPr>
        <sz val="12"/>
        <color theme="1"/>
        <rFont val="Arial Narrow"/>
        <family val="2"/>
      </rPr>
      <t>(PPP 2017 $) (ICP 2011)</t>
    </r>
  </si>
  <si>
    <r>
      <t xml:space="preserve">Per capita national income      </t>
    </r>
    <r>
      <rPr>
        <sz val="12"/>
        <color theme="1"/>
        <rFont val="Arial Narrow"/>
        <family val="2"/>
      </rPr>
      <t>(% world average) (ICP 2011)</t>
    </r>
  </si>
  <si>
    <r>
      <t xml:space="preserve">Ratio of ICP 2021/ICP 2011 Per capita national income   </t>
    </r>
    <r>
      <rPr>
        <sz val="12"/>
        <color theme="1"/>
        <rFont val="Arial Narrow"/>
        <family val="2"/>
      </rPr>
      <t xml:space="preserve">(PPP 2021 $) </t>
    </r>
  </si>
  <si>
    <t>Annual growth rate 1980-2000</t>
  </si>
  <si>
    <t>Country</t>
  </si>
  <si>
    <r>
      <t xml:space="preserve">1800 Population </t>
    </r>
    <r>
      <rPr>
        <sz val="12"/>
        <color theme="1"/>
        <rFont val="Arial Narrow"/>
        <family val="2"/>
      </rPr>
      <t>(millions)</t>
    </r>
  </si>
  <si>
    <t>1980 Price index   (€)</t>
  </si>
  <si>
    <t>1800 Price index   (€)</t>
  </si>
  <si>
    <t>1800 Price index   ($)</t>
  </si>
  <si>
    <t>1980 Price index   ($)</t>
  </si>
  <si>
    <t xml:space="preserve">Total Population </t>
  </si>
  <si>
    <t>Net Foreign Income as % of Net Domestic Product (PPP)</t>
  </si>
  <si>
    <t>Ratio between MER and PPP Per Capita National Income</t>
  </si>
  <si>
    <t>Name of Country (excluding small countries)</t>
  </si>
  <si>
    <t>Total Population 
(excluding small countries)</t>
  </si>
  <si>
    <t>Net Foreign Income as % of Net Domestic Product (PPP)
(excluding small countries)</t>
  </si>
  <si>
    <t>Ratio between MER and PPP Per Capita National Income
(excluding small countries)</t>
  </si>
  <si>
    <r>
      <t xml:space="preserve">Total Population </t>
    </r>
    <r>
      <rPr>
        <sz val="12"/>
        <color theme="1"/>
        <rFont val="Arial Narrow"/>
        <family val="2"/>
      </rPr>
      <t>(millions)</t>
    </r>
  </si>
  <si>
    <t>Ratio MER/PPP National Income</t>
  </si>
  <si>
    <t>Ranking 1</t>
  </si>
  <si>
    <t>Ranking 2</t>
  </si>
  <si>
    <t>Ranking 3</t>
  </si>
  <si>
    <t>Ranking 4</t>
  </si>
  <si>
    <t>Ranking 5</t>
  </si>
  <si>
    <t>Ranking 6</t>
  </si>
  <si>
    <t>Ranking 7</t>
  </si>
  <si>
    <t>Ranking 8</t>
  </si>
  <si>
    <t>Ranking 9</t>
  </si>
  <si>
    <t>Ranking 10</t>
  </si>
  <si>
    <r>
      <rPr>
        <b/>
        <sz val="11"/>
        <color theme="1"/>
        <rFont val="Arial"/>
        <family val="2"/>
      </rPr>
      <t>Interpretation</t>
    </r>
    <r>
      <rPr>
        <sz val="11"/>
        <color theme="1"/>
        <rFont val="Arial"/>
        <family val="2"/>
      </rPr>
      <t xml:space="preserve">. In 2024, the world's poorest countries by per capita national income exhibit several common characteristics. There is no ultra-small country among them; they all pay substantial net foreign income to the rest of the world (except for Burundi and the Central African Republic); and their MER (market exchange rate) national income is always a lot smaller than their PPP national income, reflecting their low price level (given their exchange rate) relative to the world average, or to put it differently, their low exchange rate given their price level.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</si>
  <si>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Most of these countries receive positive net foreign income. These net foreign incomes provide income supplements to these countries, which are much smaller. The fact that they receive positive net foreign income is striking in some cases, given that some of them – especially the USA – have large negative foreign wealth. Richest countries are usually even richer if we use MER (market exchange rate) rather than PPP, reflecting the fact that their price level (given their exchange rate) is generally larger than the world average, or to put it differently, the fact that their exchange rate is high (given their price level), with the exception of Taïwan and Saudi Arabia.  </t>
    </r>
    <r>
      <rPr>
        <b/>
        <sz val="11"/>
        <color theme="1"/>
        <rFont val="Arial"/>
        <family val="2"/>
      </rPr>
      <t>Sources and series</t>
    </r>
    <r>
      <rPr>
        <sz val="11"/>
        <color theme="1"/>
        <rFont val="Arial"/>
        <family val="2"/>
      </rPr>
      <t>: wid.world</t>
    </r>
  </si>
  <si>
    <t>Tables</t>
  </si>
  <si>
    <t>Appendix1</t>
  </si>
  <si>
    <t>Figures</t>
  </si>
  <si>
    <t>Content</t>
  </si>
  <si>
    <t>Ranking 11</t>
  </si>
  <si>
    <t>Ranking 12</t>
  </si>
  <si>
    <t>Ranking 13</t>
  </si>
  <si>
    <t>Ranking 14</t>
  </si>
  <si>
    <t>Ranking 15</t>
  </si>
  <si>
    <t>Ranking 16</t>
  </si>
  <si>
    <t>Ranking 17</t>
  </si>
  <si>
    <t>Ranking 18</t>
  </si>
  <si>
    <t>Ranking 19</t>
  </si>
  <si>
    <t>Ranking 20</t>
  </si>
  <si>
    <t>Net Foreign Income as % of National Disposable Income</t>
  </si>
  <si>
    <t>Net Foreign Transfers as % of the National Disposable Income</t>
  </si>
  <si>
    <t>1800 Price index   (PPP 2025 €)</t>
  </si>
  <si>
    <t>1980 Price index   (PPP 2025 €)</t>
  </si>
  <si>
    <t>2025 Price index   (PPP 2025 €)</t>
  </si>
  <si>
    <t>Annual growth rate 1800-2025</t>
  </si>
  <si>
    <t>Annual growth rate 2000-2025</t>
  </si>
  <si>
    <t>2025 Population (millions)</t>
  </si>
  <si>
    <t>Ratio 2025/1800</t>
  </si>
  <si>
    <t>1800 Per capita national income   (PPP 2025 €)</t>
  </si>
  <si>
    <t>2025 Per capita national income   (PPP 2025 €)</t>
  </si>
  <si>
    <t>1980 Per capita national income   (PPP 2025 €)</t>
  </si>
  <si>
    <t>1800 Per capita national income   (PPP 2025 $)</t>
  </si>
  <si>
    <t>1980 Per capita national income   (PPP 2025 $)</t>
  </si>
  <si>
    <t>2025 Per capita national income   (PPP 2025 $)</t>
  </si>
  <si>
    <t>PPP 2025 €</t>
  </si>
  <si>
    <t xml:space="preserve"> 2025 MER €</t>
  </si>
  <si>
    <t>PPP 2025 $</t>
  </si>
  <si>
    <t xml:space="preserve"> 2025 MER $</t>
  </si>
  <si>
    <t>PPP 2025  billions €</t>
  </si>
  <si>
    <t xml:space="preserve"> 2025 MER billions €</t>
  </si>
  <si>
    <t>PPP 2025  billions $</t>
  </si>
  <si>
    <t xml:space="preserve"> 2025 MER billions $</t>
  </si>
  <si>
    <t>PPP 2025   €</t>
  </si>
  <si>
    <t>2025 MER €</t>
  </si>
  <si>
    <t>PPP 2025  $</t>
  </si>
  <si>
    <t>2025 MER $</t>
  </si>
  <si>
    <t>National income        (PPP 2025 billions €)</t>
  </si>
  <si>
    <t>Per capita national income   (PPP 2025 €)</t>
  </si>
  <si>
    <t xml:space="preserve">Data series used for the figure on average income across world regions (national income per capita, PPP € 2025) </t>
  </si>
  <si>
    <t>Total national income   
(PPP 2025 €)</t>
  </si>
  <si>
    <t>Population 2025 (millions)</t>
  </si>
  <si>
    <t>Ratio MER/PPP Per Capita National Income
(2025 €)</t>
  </si>
  <si>
    <t>Ratio MER/PPP Per Capita National Income
(2025 $)</t>
  </si>
  <si>
    <t>Per capita national income   (PPP 2025 €)
(excluding small countries)</t>
  </si>
  <si>
    <t>Net Foreign Wealth as % of Net Domestic Product (PPP 2025 €)</t>
  </si>
  <si>
    <t>Net Foreign Wealth as % of Net Domestic Product (PPP 2025 €)
(excluding small countries)</t>
  </si>
  <si>
    <t xml:space="preserve">Per Capita National Income
(PPP 2025 €)
</t>
  </si>
  <si>
    <t>National income        (MER 2025 billions €)</t>
  </si>
  <si>
    <t>Ranking
National income        (MER 2025 billions €)</t>
  </si>
  <si>
    <t>Net Foreign Income as % NDP (MER 2025 $)</t>
  </si>
  <si>
    <t>Net Foreign Wealth as % NDP (MER 2025 $)</t>
  </si>
  <si>
    <t>Current Account</t>
  </si>
  <si>
    <t xml:space="preserve"> Net foreign capital income</t>
  </si>
  <si>
    <t>Net foreign labor income</t>
  </si>
  <si>
    <t>Trade balance</t>
  </si>
  <si>
    <t xml:space="preserve"> Foreign subsidies less taxes on production and imports</t>
  </si>
  <si>
    <t>Net foreign transfers</t>
  </si>
  <si>
    <t>Net Foreign Income (PPP 2025 €)</t>
  </si>
  <si>
    <t>Net Foreign Capital Income (PPP 2025 €)</t>
  </si>
  <si>
    <t>Net Foreign Labor Income (PPP 2025 €)</t>
  </si>
  <si>
    <t>Net Foreign Wealth (PPP 2025 €)</t>
  </si>
  <si>
    <t>Net Domestic Product 
(PPP 2025 €)</t>
  </si>
  <si>
    <t>GDP
(PPP 2025 €)</t>
  </si>
  <si>
    <t>2000 Per capita national income   (PPP 2025 €)</t>
  </si>
  <si>
    <t>2020 Per capita national income   (PPP 2025 €)</t>
  </si>
  <si>
    <t>Annual growth rate 2020-2025</t>
  </si>
  <si>
    <t>2000 Per capita national income   (PPP 2025 $)</t>
  </si>
  <si>
    <t>2020 Per capita national income   (PPP 2025 $)</t>
  </si>
  <si>
    <t>1800 Per capita national income   (MER €)</t>
  </si>
  <si>
    <t>1980 Per capita national income   (MER €)</t>
  </si>
  <si>
    <t>2000 Per capita national income   (MER €)</t>
  </si>
  <si>
    <t>2020 Per capita national income   (MER €)</t>
  </si>
  <si>
    <t>2025 Per capita national income   (MER €)</t>
  </si>
  <si>
    <t>1800 Per capita national income   (MER $)</t>
  </si>
  <si>
    <t>1980 Per capita national income   (MER $)</t>
  </si>
  <si>
    <t>2000 Per capita national income   (MER $)</t>
  </si>
  <si>
    <t>2020 Per capita national income   (MER $)</t>
  </si>
  <si>
    <t>2025 Per capita national income   (MER $)</t>
  </si>
  <si>
    <t>2020 Population (millions)</t>
  </si>
  <si>
    <t>2000 Population (millions)</t>
  </si>
  <si>
    <t>1980 Population (millions)</t>
  </si>
  <si>
    <t>2000 Price index   (PPP 2025 €)</t>
  </si>
  <si>
    <t>2020 Price index   (PPP 2025 €)</t>
  </si>
  <si>
    <t>1800 Price index   (PPP 2025 $)</t>
  </si>
  <si>
    <t>1980 Price index   (PPP 2025 $)</t>
  </si>
  <si>
    <t>2000 Price index   (PPP 2025 $)</t>
  </si>
  <si>
    <t>2020 Price index   (PPP 2025 $)</t>
  </si>
  <si>
    <t>2025 Price index   (PPP 2025 $)</t>
  </si>
  <si>
    <t>2000 Price index   (€)</t>
  </si>
  <si>
    <t>2020 Price index   (€)</t>
  </si>
  <si>
    <t>2025 Price index   (€)</t>
  </si>
  <si>
    <t>2025 Price index   ($)</t>
  </si>
  <si>
    <t>2020 Price index   ($)</t>
  </si>
  <si>
    <t>2000 Price index   ($)</t>
  </si>
  <si>
    <t xml:space="preserve"> 1800 Net Foreign Assets</t>
  </si>
  <si>
    <t xml:space="preserve"> 1980 Net Foreign Assets</t>
  </si>
  <si>
    <t>2020 Net Foreign Assets</t>
  </si>
  <si>
    <t>2025 Net Foreign Assets</t>
  </si>
  <si>
    <t>MER billions $</t>
  </si>
  <si>
    <t>2000 Net Foreign Assets</t>
  </si>
  <si>
    <t xml:space="preserve"> 1800 Net Foreign Assets as % of NDP</t>
  </si>
  <si>
    <t xml:space="preserve"> 1980 Net Foreign Assets  as % of NDP</t>
  </si>
  <si>
    <t>2000 Net Foreign Assets  as % of NDP</t>
  </si>
  <si>
    <t>2020 Net Foreign Assets  as % of NDP</t>
  </si>
  <si>
    <t>2025 Net Foreign Assets  as % of NDP</t>
  </si>
  <si>
    <t>MER billions €</t>
  </si>
  <si>
    <r>
      <rPr>
        <b/>
        <sz val="11"/>
        <rFont val="Calibri"/>
        <family val="2"/>
      </rPr>
      <t xml:space="preserve">Interpretation. </t>
    </r>
    <r>
      <rPr>
        <sz val="11"/>
        <rFont val="Calibri"/>
        <family val="2"/>
      </rPr>
      <t xml:space="preserve">In 2025, per capita national income  amounts to  14 588€ (PPP) worldwide, i.e., 1 216€ per month. Per capita national income, i.e., theincome which all individuals would receive with a perfectly egalitarian distribution, varies from an average of little more than 3 509€ in Subsaharan Africa (about 292€ per month) to over 47 013€ in North America/Oceania (about 3917€ per month), i.e., an income scale of 1 to 13. </t>
    </r>
    <r>
      <rPr>
        <b/>
        <sz val="11"/>
        <rFont val="Calibri"/>
        <family val="2"/>
      </rPr>
      <t>Sources and series:</t>
    </r>
    <r>
      <rPr>
        <sz val="11"/>
        <rFont val="Calibri"/>
        <family val="2"/>
      </rPr>
      <t xml:space="preserve"> wid.world</t>
    </r>
  </si>
  <si>
    <r>
      <rPr>
        <b/>
        <sz val="11"/>
        <rFont val="Calibri"/>
        <family val="2"/>
      </rPr>
      <t>Interpretation.</t>
    </r>
    <r>
      <rPr>
        <sz val="11"/>
        <rFont val="Calibri"/>
        <family val="2"/>
      </rPr>
      <t xml:space="preserve"> In 2025, national income amounts to  120 068€ (PPP) billion worldwide.  National Income, varies from an average of little more than 4 646 billion € in Subsaharan Africa to over 20 397 € billion in North America/Oceania , i.e., an income scale of 1 to 4. </t>
    </r>
    <r>
      <rPr>
        <b/>
        <sz val="11"/>
        <rFont val="Calibri"/>
        <family val="2"/>
      </rPr>
      <t>Sources and series:</t>
    </r>
    <r>
      <rPr>
        <sz val="11"/>
        <rFont val="Calibri"/>
        <family val="2"/>
      </rPr>
      <t xml:space="preserve"> wid.world								</t>
    </r>
  </si>
  <si>
    <r>
      <rPr>
        <b/>
        <sz val="11"/>
        <color theme="1"/>
        <rFont val="Arial"/>
        <family val="2"/>
      </rPr>
      <t>Interpretation</t>
    </r>
    <r>
      <rPr>
        <sz val="11"/>
        <color theme="1"/>
        <rFont val="Arial"/>
        <family val="2"/>
      </rPr>
      <t xml:space="preserve">. From a very long-run perspective, we find the real growth rate of per capita national income at the global level has been 1.3% per year between 1800 and 2025. Only United Arab Emirates kept an average growth in  per capita national income (PPP-adjusted) above 2% but decreasing in average since 1800. East Asia's contries presented  significant growths ratesbetween 1980 and 2000. Sub-Saharan Africa, in contrast, saw slow grothws let contrasting only with, Sudan with an increase of 3,9% anual  from 1980 to 2000, with its highest growth period occurring during this century.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</si>
  <si>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Between 1800 and 2025, North America/Oceania and Latin America saw their populations grow more than 30-fold, while Europe, East Asia, and Russia/Central Asia experienced less than a 10-fold increase. Since 1980, Sub-Saharan Africa and the Middle East/North Africa have led in population growth rates (arround 3-fold), with Russia/Central Asia and Europe showing the slowest growth.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</si>
  <si>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Between 1800 and 2025, the average inflation in PPP € at the global level has been 2.9% per year, accelating during the last decades: 3.5% per year over 1980-2000  and 4% over last 5 years (2020-2025).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</si>
  <si>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Between 1980 and 2025, the average inflation in € at the global level has been 2.8% per year, accelating during the last decades: 4.8% per year over 1980-2000 and 2.7% over 2020-2025.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</si>
  <si>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Between 1800 and 2025, the average inflation in $ at the global level has been 1.6% per year, accelating during the last decades: 2.1% per year over 1980-2000 and 3.3% over 2020-2025.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</si>
  <si>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Between 1800 and 2025, the average inflation in PPP $ at the global level has been 1.7% per year, accelating during the last decades: 3% per year over 1980-2000 and 2.9% over 2000-2025 and 4.6% during the last 5 years.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</si>
  <si>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Between 1800 and 2025, the average inflation in PPP € at the global level has been 2.9% per year, accelating during the last decades: 3.5% per year over 1980-2000  and 4% over last 5 years (2020-2025).During 2000-2025, the average inflation has been 2% per year in most of countries wiht the exception  of small eocnomis in Latin America, Nort Americal and Oceania ya dn Sub-Saharan Africa, above 2.3%. In contrast, the small eocnomies in East asia displayed a lower growth of the price level of 0.4% per year for the same period.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</si>
  <si>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In 2025, the majority of the world's richest countries by per capita national income are small nations with populations under 1 million, with Singapore being the only exception among the top 10. These countries generally benefit from positive net foreign income (except Monaco). </t>
    </r>
    <r>
      <rPr>
        <b/>
        <sz val="11"/>
        <color theme="1"/>
        <rFont val="Arial"/>
        <family val="2"/>
      </rPr>
      <t>Sources and series</t>
    </r>
    <r>
      <rPr>
        <sz val="11"/>
        <color theme="1"/>
        <rFont val="Arial"/>
        <family val="2"/>
      </rPr>
      <t>: wid.world</t>
    </r>
  </si>
  <si>
    <r>
      <t xml:space="preserve">Interpretation. </t>
    </r>
    <r>
      <rPr>
        <sz val="12"/>
        <color theme="1"/>
        <rFont val="Arial"/>
        <family val="2"/>
      </rPr>
      <t xml:space="preserve">In 2025, the world's largest economies by total national income are predominantly large nations with populations exceeding 65 million. These countries all boast per capita national incomes surpassing 15,000 euros, with the exceptions of Brazil, Indonesia, and India. BRICS are dominant in PPP but severely weakened in MER. </t>
    </r>
    <r>
      <rPr>
        <b/>
        <sz val="12"/>
        <color theme="1"/>
        <rFont val="Arial"/>
        <family val="2"/>
      </rPr>
      <t xml:space="preserve">Sources and series: </t>
    </r>
    <r>
      <rPr>
        <sz val="12"/>
        <color theme="1"/>
        <rFont val="Arial"/>
        <family val="2"/>
      </rPr>
      <t>wid.world</t>
    </r>
  </si>
  <si>
    <r>
      <t xml:space="preserve">Interpretation. </t>
    </r>
    <r>
      <rPr>
        <sz val="11"/>
        <color theme="1"/>
        <rFont val="Arial"/>
        <family val="2"/>
      </rPr>
      <t xml:space="preserve">Between 1800 and 2025, the net foreign assets in $ of Latin America, North America and Oceania, South and South-East Asia, and Sub-Saharan Africa have been consistently negative, in contrast with other regions such as Russia and Central Asia, which reported negative results only around 1980. During the last 5 years, the position of Latin America has strengthened in proportion to Net Domestic Product (NDP), while the deficit of North America and Oceania, South and South-East Asia, and Sub-Saharan Africa has increased as a share of NDP. </t>
    </r>
    <r>
      <rPr>
        <b/>
        <sz val="11"/>
        <color theme="1"/>
        <rFont val="Arial"/>
        <family val="2"/>
      </rPr>
      <t xml:space="preserve">Sources and series: </t>
    </r>
    <r>
      <rPr>
        <sz val="11"/>
        <color theme="1"/>
        <rFont val="Arial"/>
        <family val="2"/>
      </rPr>
      <t>wid.world</t>
    </r>
  </si>
  <si>
    <r>
      <t xml:space="preserve">Interpretation. </t>
    </r>
    <r>
      <rPr>
        <sz val="11"/>
        <color theme="1"/>
        <rFont val="Arial"/>
        <family val="2"/>
      </rPr>
      <t xml:space="preserve">Between 1800 and 2025, the net foreign assets in € of Latin America, North America and Oceania, South and South-East Asia, and Sub-Saharan Africa have been consistently negative, in contrast with other regions such as Russia and Central Asia, which reported negative results only around 1980. During the last 5 years, the position of Latin America has strengthened in proportion to Net Domestic Product (NDP), while the deficit of North America and Oceania, South and South-East Asia, and Sub-Saharan Africa has increased as a share of NDP. </t>
    </r>
    <r>
      <rPr>
        <b/>
        <sz val="11"/>
        <color theme="1"/>
        <rFont val="Arial"/>
        <family val="2"/>
      </rPr>
      <t xml:space="preserve">Sources and series: </t>
    </r>
    <r>
      <rPr>
        <sz val="11"/>
        <color theme="1"/>
        <rFont val="Arial"/>
        <family val="2"/>
      </rPr>
      <t>wid.world</t>
    </r>
  </si>
  <si>
    <t>Table 3c. National Income by World Region (2021): New PPP (ICP 2021) vs Old PPP (ICP 2011)</t>
  </si>
  <si>
    <t>Annual growth rate 1980-2025</t>
  </si>
  <si>
    <r>
      <rPr>
        <b/>
        <sz val="11"/>
        <color theme="1"/>
        <rFont val="Arial"/>
        <family val="2"/>
      </rPr>
      <t>Interpretation</t>
    </r>
    <r>
      <rPr>
        <sz val="11"/>
        <color theme="1"/>
        <rFont val="Arial"/>
        <family val="2"/>
      </rPr>
      <t xml:space="preserve">. Between 1800 and 2025, the real growth rate of per capita national income expressed in PPP 2025 € at the global level has been 1.3% per year. Since 1980 we observed almost doubling of average income, with an acceleration in the growth after 2000: 1.5% per year over 2000-2025 and 2.8% over 2020-2025.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</si>
  <si>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Between 1800 and 2025, the real growth rate of per capita national income expressed in PPP 2025 $ at the global level has been 1.3% per year. Since 1980 we observed almost doubling of average income, with an acceleration in the growth after 2000: 1.5% per year over 2000-2025 and 2.8% over 2020-2025.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</si>
  <si>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Between 1800 and 2025, the real growth rate of per capita national income expressed in MER € at the global level has been 1.3% per year. Since 1980 we observed almost doubling of average income, with an acceleration in the growth after 2000: 1.5% per year over 2000-2025 and 2.8% over 2020-2025. </t>
    </r>
    <r>
      <rPr>
        <b/>
        <sz val="11"/>
        <color theme="1"/>
        <rFont val="Arial"/>
        <family val="2"/>
      </rPr>
      <t>Sources and series</t>
    </r>
    <r>
      <rPr>
        <sz val="11"/>
        <color theme="1"/>
        <rFont val="Arial"/>
        <family val="2"/>
      </rPr>
      <t>: wid.world</t>
    </r>
  </si>
  <si>
    <r>
      <rPr>
        <b/>
        <sz val="11"/>
        <color theme="1"/>
        <rFont val="Arial"/>
        <family val="2"/>
      </rPr>
      <t>Interpretation</t>
    </r>
    <r>
      <rPr>
        <sz val="11"/>
        <color theme="1"/>
        <rFont val="Arial"/>
        <family val="2"/>
      </rPr>
      <t xml:space="preserve">. Between 1800 and 2025, the real growth rate of per capita national income expressed in MER $ at the global level has been 1.3% per year. Since 1980 we observed almost doubling of average income, with an acceleration in the growth after 2000: 1.5% per year over 2000-2025 and 2.8% over 2020-2025. </t>
    </r>
    <r>
      <rPr>
        <b/>
        <sz val="11"/>
        <color theme="1"/>
        <rFont val="Arial"/>
        <family val="2"/>
      </rPr>
      <t>Sources and series</t>
    </r>
    <r>
      <rPr>
        <sz val="11"/>
        <color theme="1"/>
        <rFont val="Arial"/>
        <family val="2"/>
      </rPr>
      <t>: wid.world</t>
    </r>
  </si>
  <si>
    <t xml:space="preserve">M. Arias-Osorio, R. Moshrif, G. Nievas, T. Piketty, A. Van Der Ree "Global Inequality Update 2026: Insights from the WID Macro Series", WIL TN, 2026
</t>
  </si>
  <si>
    <r>
      <t xml:space="preserve">Figure 0a. </t>
    </r>
    <r>
      <rPr>
        <sz val="11"/>
        <color rgb="FF000000"/>
        <rFont val="Arial"/>
        <family val="2"/>
      </rPr>
      <t>Exchange Rate and Purchasing Power Parity: Euro/Dollar</t>
    </r>
  </si>
  <si>
    <r>
      <t xml:space="preserve">Figure 0b. </t>
    </r>
    <r>
      <rPr>
        <sz val="11"/>
        <color rgb="FF000000"/>
        <rFont val="Arial"/>
        <family val="2"/>
      </rPr>
      <t>Exchange Rate and Purchasing Power Parity: Euro/Yuan</t>
    </r>
  </si>
  <si>
    <t>Gross domestic product 
(PPP 2025 billions €)</t>
  </si>
  <si>
    <t>Gross domestic product 
(MER 2025 billions €)</t>
  </si>
  <si>
    <t xml:space="preserve"> Net foreign capital income as % of Gross Domestic Product</t>
  </si>
  <si>
    <t>Net foreign labor income  as % of Gross Domestic Product</t>
  </si>
  <si>
    <t>Trade balance  as % of Gross Domestic Product</t>
  </si>
  <si>
    <t xml:space="preserve"> Foreign subsidies less taxes on production and imports  as % of Gross Domestic Product</t>
  </si>
  <si>
    <t>Net foreign transfers  as % of Gross Domestic Product</t>
  </si>
  <si>
    <t>Current Account  as % of Gross Domestic Product</t>
  </si>
  <si>
    <t>% of Gross Domestic Product</t>
  </si>
  <si>
    <r>
      <t>Interpretation.</t>
    </r>
    <r>
      <rPr>
        <sz val="11"/>
        <color theme="1"/>
        <rFont val="Arial"/>
        <family val="2"/>
      </rPr>
      <t xml:space="preserve">  In 2025, East Asia, Europe, and MENA present a positive current account, and South and South-East Asia approaches equilibrium in €. In contrast, North America displays a negative current account, led by an important trade balance deficit, while Latin America, Russia &amp; Central Asia, and Sub-Saharan Africa report negative results, led by their deficit position in foreign capital income. While in $ MER terms the world's National Accounts sum to zero, in € PPP terms the disparities between local and international prices reveal an imbalance. When the MER results are compared with the PPP results, one can see that only the position of East Asia and North America &amp; Oceania strengthens; for the rest, the position weakens. Relative to GDP, the current account is more significant in North America and Oceania, where the current account deficit amounts to 3.7% of GDP. By contrast, East Asia records a current account surplus of 3.5% of GDP, driven in both regions primarily by the contribution of the trade balance. In contrast, in North Africa and the Middle East, the current account remains below 1% of GDP. </t>
    </r>
    <r>
      <rPr>
        <b/>
        <sz val="11"/>
        <color theme="1"/>
        <rFont val="Arial"/>
        <family val="2"/>
      </rPr>
      <t xml:space="preserve">Sources and series: </t>
    </r>
    <r>
      <rPr>
        <sz val="11"/>
        <color theme="1"/>
        <rFont val="Arial"/>
        <family val="2"/>
      </rPr>
      <t>wid.world</t>
    </r>
  </si>
  <si>
    <r>
      <t>Interpretation.</t>
    </r>
    <r>
      <rPr>
        <sz val="11"/>
        <color theme="1"/>
        <rFont val="Arial"/>
        <family val="2"/>
      </rPr>
      <t xml:space="preserve">  In 2025, East Asia, Europe, and MENA present a positive current account, and South and South-East Asia approaches equilibrium in $. In contrast, North America displays a negative current account, led by an important trade balance deficit, while Latin America, Russia &amp; Central Asia, and Sub-Saharan Africa report negative results, led by their deficit position in foreign capital income. While in $ MER terms the world's National Accounts sum to zero, in $ PPP terms the disparities between local and international prices reveal an imbalance. When the MER results are compared with the PPP results, one can see that only the position of East Asia strengthens; for the rest, the position weakens. Relative to GDP, the current account is more significant in North America and Oceania, where the current account deficit amounts to 3.7% of GDP. By contrast, East Asia records a current account surplus of 3.5% of GDP, driven in both regions primarily by the contribution of the trade balance. In contrast, in North Africa and the Middle East, the current account remains below 1% of GDP. </t>
    </r>
    <r>
      <rPr>
        <b/>
        <sz val="11"/>
        <color theme="1"/>
        <rFont val="Arial"/>
        <family val="2"/>
      </rPr>
      <t xml:space="preserve">Sources and series: </t>
    </r>
    <r>
      <rPr>
        <sz val="11"/>
        <color theme="1"/>
        <rFont val="Arial"/>
        <family val="2"/>
      </rPr>
      <t>wid.world</t>
    </r>
  </si>
  <si>
    <r>
      <t>Interpretation.</t>
    </r>
    <r>
      <rPr>
        <sz val="11"/>
        <color theme="1"/>
        <rFont val="Arial"/>
        <family val="2"/>
      </rPr>
      <t xml:space="preserve">  In 2025, East Asia, Europe, and MENA present a positive current account, and South and South-East Asia approaches equilibrium in $. In contrast, North America displays a negative current account, led by an important trade balance deficit, while Latin America, Russia &amp; Central Asia, and Sub-Saharan Africa report negative results, led by their deficit position in foreign capital income. While in $ MER terms the world's National Accounts sum to zero, in $ PPP terms the disparities between local and international prices reveal an imbalance. When the MER results are compared with the PPP results, one can see that only the position of East Asia strengthens; for the rest, the position weakens. Relative to GDP, the current account is more significant in North America and Oceania, where the current account deficit amounts to 3.8% of GDP. By contrast, East Asia records a current account surplus of 3.6% of GDP, driven in both regions primarily by the contribution of the trade balance. In contrast, in South and South-east Asia, the current account remains below 1% of GDP. </t>
    </r>
    <r>
      <rPr>
        <b/>
        <sz val="11"/>
        <color theme="1"/>
        <rFont val="Arial"/>
        <family val="2"/>
      </rPr>
      <t xml:space="preserve">Sources and series: </t>
    </r>
    <r>
      <rPr>
        <sz val="11"/>
        <color theme="1"/>
        <rFont val="Arial"/>
        <family val="2"/>
      </rPr>
      <t>wid.world</t>
    </r>
  </si>
  <si>
    <r>
      <t>Interpretation.</t>
    </r>
    <r>
      <rPr>
        <sz val="11"/>
        <color theme="1"/>
        <rFont val="Arial"/>
        <family val="2"/>
      </rPr>
      <t xml:space="preserve">  In 2025, East Asia, Europe, and MENA present a positive current account, and South and South-East Asia approaches equilibrium in $. In contrast, North America displays a negative current account, led by an important trade balance deficit, while Latin America, Russia &amp; Central Asia, and Sub-Saharan Africa report negative results, led by their deficit position in foreign capital income. While in $ MER terms the world's National Accounts sum to zero, in € MER Eur terms the disparities between local and international prices reveal an imbalance. When the MER results are compared with the PPP results, one can see that only the position of East Asia strengthens; for the rest, the position weakens. Relative to GDP, the current account is more significant in North America and Oceania, where the current account deficit amounts to 3.8% of GDP. By contrast, East Asia records a current account surplus of 3.6% of GDP, driven in both regions primarily by the contribution of the trade balance. In contrast, in North Africa and the South and South East Asia, the current account remains below 1% of GDP. </t>
    </r>
    <r>
      <rPr>
        <b/>
        <sz val="11"/>
        <color theme="1"/>
        <rFont val="Arial"/>
        <family val="2"/>
      </rPr>
      <t xml:space="preserve">Sources and series: </t>
    </r>
    <r>
      <rPr>
        <sz val="11"/>
        <color theme="1"/>
        <rFont val="Arial"/>
        <family val="2"/>
      </rPr>
      <t>wid.world</t>
    </r>
  </si>
  <si>
    <r>
      <t xml:space="preserve">Interpretation. </t>
    </r>
    <r>
      <rPr>
        <sz val="11"/>
        <color theme="1"/>
        <rFont val="Arial"/>
        <family val="2"/>
      </rPr>
      <t xml:space="preserve">Between 1800 and 2025, the net foreign assets in PPP € 2025 of Latin America, North America and Oceania, South and South-East Asia, and Sub-Saharan Africa have been consistently negative, in contrast with other regions such as Russia and Central Asia, which reported negative results only around 1980. During the last 5 years, the position of Latin America has strengthened in proportion to Net Domestic Product (NDP), while the deficit of North America and Oceania, South and South-East Asia, and Sub-Saharan Africa has increased as a share of NDP. </t>
    </r>
    <r>
      <rPr>
        <b/>
        <sz val="11"/>
        <color theme="1"/>
        <rFont val="Arial"/>
        <family val="2"/>
      </rPr>
      <t xml:space="preserve">Sources and series: </t>
    </r>
    <r>
      <rPr>
        <sz val="11"/>
        <color theme="1"/>
        <rFont val="Arial"/>
        <family val="2"/>
      </rPr>
      <t>wid.world</t>
    </r>
  </si>
  <si>
    <r>
      <t xml:space="preserve">Interpretation. </t>
    </r>
    <r>
      <rPr>
        <sz val="11"/>
        <color theme="1"/>
        <rFont val="Arial"/>
        <family val="2"/>
      </rPr>
      <t xml:space="preserve">Between 1800 and 2025, the net foreign assets in PPP $ 2025 of Latin America, North America and Oceania, South and South-East Asia, and Sub-Saharan Africa have been consistently negative, in contrast with other regions such as Russia and Central Asia, which reported negative results only around 1980. During the last 5 years, the position of Latin America has strengthened in proportion to Net Domestic Product (NDP), while the deficit of North America and Oceania, South and South-East Asia, and Sub-Saharan Africa has increased as a share of NDP. </t>
    </r>
    <r>
      <rPr>
        <b/>
        <sz val="11"/>
        <color theme="1"/>
        <rFont val="Arial"/>
        <family val="2"/>
      </rPr>
      <t xml:space="preserve">Sources and series: </t>
    </r>
    <r>
      <rPr>
        <sz val="11"/>
        <color theme="1"/>
        <rFont val="Arial"/>
        <family val="2"/>
      </rPr>
      <t>wid.world</t>
    </r>
  </si>
  <si>
    <t>GDP
(PPP 2025 $)</t>
  </si>
  <si>
    <t>GDP
(€)</t>
  </si>
  <si>
    <t>GDP
($)</t>
  </si>
  <si>
    <t>Per capita national income  (PPP 2025 €)</t>
  </si>
  <si>
    <t xml:space="preserve">Table 5a. Per Capita National Income Growth PPP 2025  € by World Regions (1800-2025) </t>
  </si>
  <si>
    <t xml:space="preserve">Table 5b. Per Capita National Income Growth PPP 2025  $  by World Regions (1800-2025) </t>
  </si>
  <si>
    <t xml:space="preserve">Table 5c. Per Capita National Income Growth MER 2025 € by World Regions (1800-2025) </t>
  </si>
  <si>
    <t xml:space="preserve">Table 5d. Per Capita National Income Growth MER 2025 $  by World Regions (1800-2025) </t>
  </si>
  <si>
    <t xml:space="preserve">Table 6. Per Capita National Income Growth PPP 2025  € by  WID core Territories (1980-2025) </t>
  </si>
  <si>
    <t>Table 7. Population by World Regions (1800-2025)</t>
  </si>
  <si>
    <t xml:space="preserve">Table 8a. Price index Growth PPP 2025 € by World Regions (1980-2025) </t>
  </si>
  <si>
    <t xml:space="preserve">Table 8b. Price index Growth PPP 2025 $ by World Regions (1980-2025) </t>
  </si>
  <si>
    <t xml:space="preserve">Table 9. Price index Growth  €  by Core countries (1980-2025) </t>
  </si>
  <si>
    <t>Table 10. Top 10 Richest Countries (2025)</t>
  </si>
  <si>
    <t>Table 11. Bottom 10 Poorest Countries (2025)</t>
  </si>
  <si>
    <t>Table 12. Top 10 Largest Economies (2025)</t>
  </si>
  <si>
    <t>Table 13a. Current Account by World Region PPP € (2025)</t>
  </si>
  <si>
    <t>Table 13b. Current Account by World Region PPP $ (2025)</t>
  </si>
  <si>
    <t>Table 13c. Current Account by World Region MER € (2025)</t>
  </si>
  <si>
    <t>Table 13d. Current Account by World Region MER $ (2025)</t>
  </si>
  <si>
    <t xml:space="preserve">Table 14a. Net foreign Assets PPP € 2025 by World Regions (1980-2025) </t>
  </si>
  <si>
    <t xml:space="preserve">Table 14d. Net foreign Assets PPP $ 2025 by World Regions (1980-2025) </t>
  </si>
  <si>
    <r>
      <rPr>
        <b/>
        <sz val="11"/>
        <rFont val="Calibri"/>
        <family val="2"/>
      </rPr>
      <t xml:space="preserve">Interpretation. </t>
    </r>
    <r>
      <rPr>
        <sz val="11"/>
        <rFont val="Calibri"/>
        <family val="2"/>
      </rPr>
      <t xml:space="preserve">In 2025,  gross domestic product  amounts to  143 368€ (PPP) billion worldwide.  Gross domestic product,  varies from little more than 5 299€ billion in Subsaharan Africa to almost 24 436€ billion in North America/Oceania , i.e., an income scale of 1 to 5. </t>
    </r>
    <r>
      <rPr>
        <b/>
        <sz val="11"/>
        <rFont val="Calibri"/>
        <family val="2"/>
      </rPr>
      <t>Sources and series:</t>
    </r>
    <r>
      <rPr>
        <sz val="11"/>
        <rFont val="Calibri"/>
        <family val="2"/>
      </rPr>
      <t xml:space="preserve"> wid.world</t>
    </r>
  </si>
  <si>
    <r>
      <rPr>
        <b/>
        <sz val="11"/>
        <rFont val="Calibri"/>
        <family val="2"/>
      </rPr>
      <t xml:space="preserve">Interpretation. </t>
    </r>
    <r>
      <rPr>
        <sz val="11"/>
        <rFont val="Calibri"/>
        <family val="2"/>
      </rPr>
      <t>In 2025, per capita gross domestic product  amounts to  17 419€ (PPP) worldwide, i.e., 1 452€ per month. Per capita gross domestic product, i.e., the part of the product which all individuals would receive with a perfectly egalitarian distribution, varies from an average of little more than 4 002€ in Subsaharan Africa (about 333€ per month) to over 56 325€ in North America/Oceania (about 4 693€ per month), i.e., an income scale of 1 to 14.</t>
    </r>
    <r>
      <rPr>
        <b/>
        <sz val="11"/>
        <rFont val="Calibri"/>
        <family val="2"/>
      </rPr>
      <t xml:space="preserve"> Sources and series: </t>
    </r>
    <r>
      <rPr>
        <sz val="11"/>
        <rFont val="Calibri"/>
        <family val="2"/>
      </rPr>
      <t>wid.world</t>
    </r>
  </si>
  <si>
    <r>
      <rPr>
        <b/>
        <sz val="11"/>
        <rFont val="Calibri"/>
        <family val="2"/>
      </rPr>
      <t>Interpretation.</t>
    </r>
    <r>
      <rPr>
        <sz val="11"/>
        <rFont val="Calibri"/>
        <family val="2"/>
      </rPr>
      <t xml:space="preserve"> In 2025, consumption of fixed capital amounts to €21,962 billion (2025 PPP) worldwide, equivalent to slightly more than 15% of global GDP. East Asia accounts for the largest share of global consumption of fixed capital, representing 32% in € and 27% in $, equivalent to approximately 19% of the region’s GDP. By contrast, Sub-Saharan Africa accounts for less than 2% of global consumption of fixed capital in both currencies, corresponding to approximately 10% of the region’s GDP. The relative position of regions varies depending on whether values are expressed using PPP or MER. For instance, Europe’s share of global consumption of fixed capital increases from 19% in PPP terms to 25% in MER terms. Similarly, North America and Oceania increase their share from 18% to 30% when moving from PPP to MER terms. This reflects, in part, the relatively strong currencies of these regions compared with those of other regions. </t>
    </r>
    <r>
      <rPr>
        <b/>
        <sz val="11"/>
        <rFont val="Calibri"/>
        <family val="2"/>
      </rPr>
      <t>Sources and series:</t>
    </r>
    <r>
      <rPr>
        <sz val="11"/>
        <rFont val="Calibri"/>
        <family val="2"/>
      </rPr>
      <t xml:space="preserve"> wid.world								</t>
    </r>
  </si>
  <si>
    <r>
      <rPr>
        <b/>
        <sz val="11"/>
        <color theme="1"/>
        <rFont val="Arial"/>
        <family val="2"/>
      </rPr>
      <t>Interpretation.</t>
    </r>
    <r>
      <rPr>
        <sz val="11"/>
        <color theme="1"/>
        <rFont val="Arial"/>
        <family val="2"/>
      </rPr>
      <t xml:space="preserve"> In 2025, per capita national income amounts to a little more than 14 588€ (PPP) worldwide, i.e., 1 216€ per month. Per capita national income, i.e., the income which all individuals would receive with a perfectly egalitarian distribution, varies from an average of little more than 3509€ in Subsaharan Africa (about 292€ per month) to over 47 013€ in North America/Oceania (about 3 917€ per month), i.e., an income scale of 1 to 13. </t>
    </r>
    <r>
      <rPr>
        <b/>
        <sz val="11"/>
        <color theme="1"/>
        <rFont val="Arial"/>
        <family val="2"/>
      </rPr>
      <t>Sources and series:</t>
    </r>
    <r>
      <rPr>
        <sz val="11"/>
        <color theme="1"/>
        <rFont val="Arial"/>
        <family val="2"/>
      </rPr>
      <t xml:space="preserve"> wid.world</t>
    </r>
  </si>
  <si>
    <t>National housing assets</t>
  </si>
  <si>
    <t>National housing assets as % of Gross Domestic Product</t>
  </si>
  <si>
    <t>National business and other non-financial assets</t>
  </si>
  <si>
    <t>National business and other non-financial assets  as % of Gross Domestic Product</t>
  </si>
  <si>
    <t>National non-financial assets</t>
  </si>
  <si>
    <t>National non-financial assets as % of Gross Domestic Product</t>
  </si>
  <si>
    <t xml:space="preserve"> Billions €</t>
  </si>
  <si>
    <t>Billions $</t>
  </si>
  <si>
    <t>Table 15a. National Non-financial Assets by World Region PPP € (2025)</t>
  </si>
  <si>
    <t>Table 15b. National Non-financial Assets by World Region PPP $ (2025)</t>
  </si>
  <si>
    <r>
      <t xml:space="preserve">Interpretation. </t>
    </r>
    <r>
      <rPr>
        <sz val="11"/>
        <color theme="1"/>
        <rFont val="Arial"/>
        <family val="2"/>
      </rPr>
      <t xml:space="preserve">In 2025, the world's national non-financial assets amounted to around €755 trillion (PPP 2025), equivalent to approximately 5,3 times global GDP. East Asia accounted for around 32% of total non-financial assets, with €245 trillion (PPP 2025), equivalent to approximately 5,6 times the region's GDP. It was followed, at a considerable distance, by North America and Oceania and Europe, with around €148 trillion and €117 trillion (PPP 2025), respectively. By contrast, Sub-Saharan Africa accounted for only €18 trillion (PPP 2025), or 2,5% of global non-financial assets, and also recorded the lowest level relative to GDP, at around 3,5 times regional GDP. These differences are largely explained by the level of national business and other non-financial assets, which account for less than half of total non-financial assets in South and South-East Asia and Latin America, although their shares remain above 40%. Europe stands out in this respect, with national business and other non-financial assets amounting to €39 trillion (PPP 2025), or only 33% of its total non-financial assets. </t>
    </r>
    <r>
      <rPr>
        <b/>
        <sz val="11"/>
        <color theme="1"/>
        <rFont val="Arial"/>
        <family val="2"/>
      </rPr>
      <t xml:space="preserve">Sources and series: </t>
    </r>
    <r>
      <rPr>
        <sz val="11"/>
        <color theme="1"/>
        <rFont val="Arial"/>
        <family val="2"/>
      </rPr>
      <t>wid.world</t>
    </r>
  </si>
  <si>
    <r>
      <t xml:space="preserve">Interpretation. </t>
    </r>
    <r>
      <rPr>
        <sz val="11"/>
        <color theme="1"/>
        <rFont val="Arial"/>
        <family val="2"/>
      </rPr>
      <t xml:space="preserve">In 2025, the world's national non-financial assets amounted to around $1 113 trillion (PPP 2025), equivalent to approximately 5,3 times global GDP. East Asia accounted for around 32% of total non-financial assets, with $361 trillion (PPP 2025), equivalent to approximately 5,6 times the region's GDP. It was followed, at a considerable distance, by North America and Oceania and Europe, with around $217 trillion and $172 trillion (PPP 2025), respectively. By contrast, Sub-Saharan Africa accounted for only $27 trillion (PPP 2025), or 2,5% of global non-financial assets, and also recorded the lowest level relative to GDP, at around 3,5 times regional GDP. These differences are largely explained by the level of national business and other non-financial assets, which account for less than half of total non-financial assets in South and South-East Asia and Latin America, although their shares remain above 40%. Europe stands out in this respect, with national business and other non-financial assets amounting to $57 trillion (PPP 2025), or only 33% of its total non-financial assets. </t>
    </r>
    <r>
      <rPr>
        <b/>
        <sz val="11"/>
        <color theme="1"/>
        <rFont val="Arial"/>
        <family val="2"/>
      </rPr>
      <t xml:space="preserve">Sources and series: </t>
    </r>
    <r>
      <rPr>
        <sz val="11"/>
        <color theme="1"/>
        <rFont val="Arial"/>
        <family val="2"/>
      </rPr>
      <t>wid.world</t>
    </r>
  </si>
  <si>
    <r>
      <t xml:space="preserve">Interpretation. </t>
    </r>
    <r>
      <rPr>
        <sz val="11"/>
        <color theme="1"/>
        <rFont val="Arial"/>
        <family val="2"/>
      </rPr>
      <t xml:space="preserve">In 2025, the world's national non-financial assets amounted to around €555 trillion, equivalent to approximately 5,4 times global GDP. North America and Oceania accounted for around 33% of total non-financial assets, with €181 trillion, equivalent to approximately 6 times the region's GDP. It was followed, at a considerable distance, by East Asia and Europe, with around €151 trillion and €115 trillion, respectively. By contrast, Sub-Saharan Africa accounted for only €8 trillion, or 1,4% of global non-financial assets, and also recorded the lowest level relative to GDP, at around 3,3 times regional GDP. These differences are largely explained by the level of national business and other non-financial assets, which account for less than half of total non-financial assets in South and South-East Asia and Latin America, although their shares remain above 40%. Europe stands out in this respect, with national business and other non-financial assets amounting to €38 trillion, or only 33% of its total non-financial assets. </t>
    </r>
    <r>
      <rPr>
        <b/>
        <sz val="11"/>
        <color theme="1"/>
        <rFont val="Arial"/>
        <family val="2"/>
      </rPr>
      <t xml:space="preserve">Sources and series: </t>
    </r>
    <r>
      <rPr>
        <sz val="11"/>
        <color theme="1"/>
        <rFont val="Arial"/>
        <family val="2"/>
      </rPr>
      <t>wid.world</t>
    </r>
  </si>
  <si>
    <r>
      <t xml:space="preserve">Interpretation. </t>
    </r>
    <r>
      <rPr>
        <sz val="11"/>
        <color theme="1"/>
        <rFont val="Arial"/>
        <family val="2"/>
      </rPr>
      <t xml:space="preserve">In 2025, the world's national non-financial assets amounted to around $655 trillion, equivalent to approximately 5,4 times global GDP. North America and Oceania accounted for around 33% of total non-financial assets, with $214 trillion, equivalent to approximately 6 times the region's GDP. It was followed, at a considerable distance, by East Asia and Europe, with around $178 trillion and $135 trillion, respectively. By contrast, Sub-Saharan Africa accounted for only $9 trillion, or 1,4% of global non-financial assets, and also recorded the lowest level relative to GDP, at around 3,3 times regional GDP. These differences are largely explained by the level of national business and other non-financial assets, which account for less than half of total non-financial assets in South and South-East Asia and Latin America, although their shares remain above 40%. Europe stands out in this respect, with national business and other non-financial assets amounting to $44 trillion, or only 33% of its total non-financial assets. </t>
    </r>
    <r>
      <rPr>
        <b/>
        <sz val="11"/>
        <color theme="1"/>
        <rFont val="Arial"/>
        <family val="2"/>
      </rPr>
      <t xml:space="preserve">Sources and series: </t>
    </r>
    <r>
      <rPr>
        <sz val="11"/>
        <color theme="1"/>
        <rFont val="Arial"/>
        <family val="2"/>
      </rPr>
      <t>wid.world</t>
    </r>
  </si>
  <si>
    <t>Table10a. Top 10 Richest Countries (2025),including countries with population below 10 million</t>
  </si>
  <si>
    <t>Table10b. Top 10 Richest Countries (2025), excluding countries with population below 10 million</t>
  </si>
  <si>
    <t>Gross domestic product at factor-price</t>
  </si>
  <si>
    <t>Gross domestic product at factor-price as % of GDP</t>
  </si>
  <si>
    <t>Gross operating surplus of the government</t>
  </si>
  <si>
    <t xml:space="preserve"> Gross value added of the corporate sector</t>
  </si>
  <si>
    <t>Gross mixed income of household sector</t>
  </si>
  <si>
    <t>Gross operating surplus of household sector</t>
  </si>
  <si>
    <t>Capital share in the total Economy</t>
  </si>
  <si>
    <t>Capital share in the government</t>
  </si>
  <si>
    <t>Capital share in the corporate sector</t>
  </si>
  <si>
    <t>Capital share in the mixed income of household sector</t>
  </si>
  <si>
    <t>Capital share in the operating surplus of household sector</t>
  </si>
  <si>
    <t>% of GDP</t>
  </si>
  <si>
    <t>PPP 2025     billions €</t>
  </si>
  <si>
    <t>% of sector Gross Value Added</t>
  </si>
  <si>
    <t>Table 16a. National Capital shares by World Region PPP € (2025)</t>
  </si>
  <si>
    <t>PPP 2025     billions $</t>
  </si>
  <si>
    <t>Billions €</t>
  </si>
  <si>
    <r>
      <rPr>
        <b/>
        <sz val="11"/>
        <rFont val="Calibri"/>
        <family val="2"/>
      </rPr>
      <t>Interpretation.</t>
    </r>
    <r>
      <rPr>
        <sz val="11"/>
        <rFont val="Calibri"/>
        <family val="2"/>
      </rPr>
      <t xml:space="preserve"> In 2025 the World Gross Domestic Product at factor-price amounted to around $111 trillion, representing 92% of world GDP at market prices. In this context, the capital share of the economy - defined as the sum of the gross operating surplus of the government, corporate, and household sectors, plus 40% of gross mixed income, divided by GDP at factor-price - amounted to around 46% of GDP at factor-price. At a regional level, Middle East and North Africa (MENA) leads the ranking with a capital share of 60%, driven by a 71% share in the corporate sector (the gross operating surplus of the corporate sector divided by the gross value added of the corporate sector), contrasting with the total capital share of North America &amp; Oceania at 41%, dragged down by a capital share in the corporate sector of 43%, the second-lowest globally, only surpassed by Europe's 42%.</t>
    </r>
    <r>
      <rPr>
        <b/>
        <sz val="11"/>
        <rFont val="Calibri"/>
        <family val="2"/>
      </rPr>
      <t xml:space="preserve"> Sources and series:</t>
    </r>
    <r>
      <rPr>
        <sz val="11"/>
        <rFont val="Calibri"/>
        <family val="2"/>
      </rPr>
      <t xml:space="preserve"> wid.world</t>
    </r>
  </si>
  <si>
    <r>
      <rPr>
        <b/>
        <sz val="11"/>
        <rFont val="Calibri"/>
        <family val="2"/>
      </rPr>
      <t>Interpretation.</t>
    </r>
    <r>
      <rPr>
        <sz val="11"/>
        <rFont val="Calibri"/>
        <family val="2"/>
      </rPr>
      <t xml:space="preserve"> In 2025 the World Gross Domestic Product at factor-price amounted to around €94 trillion, representing 92% of world GDP at market prices. In this context, the capital share of the economy - defined as the sum of the gross operating surplus of the government, corporate, and household sectors, plus 40% of gross mixed income, divided by GDP at factor-price - amounted to around 46% of GDP at factor-price. At a regional level, Middle East and North Africa (MENA) leads the ranking with a capital share of 60%, driven by a 71% share in the corporate sector (the gross operating surplus of the corporate sector divided by the gross value added of the corporate sector), contrasting with the total capital share of North America &amp; Oceania at 41%, dragged down by a capital share in the corporate sector of 43%, the second-lowest globally, only surpassed by Europe's 42%.</t>
    </r>
    <r>
      <rPr>
        <b/>
        <sz val="11"/>
        <rFont val="Calibri"/>
        <family val="2"/>
      </rPr>
      <t xml:space="preserve"> Sources and series:</t>
    </r>
    <r>
      <rPr>
        <sz val="11"/>
        <rFont val="Calibri"/>
        <family val="2"/>
      </rPr>
      <t xml:space="preserve"> wid.world</t>
    </r>
  </si>
  <si>
    <r>
      <rPr>
        <b/>
        <sz val="11"/>
        <rFont val="Calibri"/>
        <family val="2"/>
      </rPr>
      <t>Interpretation.</t>
    </r>
    <r>
      <rPr>
        <sz val="11"/>
        <rFont val="Calibri"/>
        <family val="2"/>
      </rPr>
      <t xml:space="preserve"> In 2025 the World Gross Domestic Product at factor-price amounted to around $193 trillion (PPP 2025), representing 92% of world GDP at market prices. In this context, the capital share of the economy - defined as the sum of the gross operating surplus of the government, corporate, and household sectors, plus 40% of gross mixed income, divided by GDP at factor-price - amounted to around 47% of GDP at factor-price. At a regional level, Middle East and North Africa (MENA) leads the ranking with a capital share of 60%, driven by a 73% share in the corporate sector (this is the gross operative surplus of the corported sector divied by Gross value added of the coportate sector), contrasting with the total 41% total capital share of North America &amp; Oceania, dragged down by a capital share in the corporate sector of only 42%.</t>
    </r>
    <r>
      <rPr>
        <b/>
        <sz val="11"/>
        <rFont val="Calibri"/>
        <family val="2"/>
      </rPr>
      <t xml:space="preserve"> Sources and series:</t>
    </r>
    <r>
      <rPr>
        <sz val="11"/>
        <rFont val="Calibri"/>
        <family val="2"/>
      </rPr>
      <t xml:space="preserve"> wid.world</t>
    </r>
  </si>
  <si>
    <r>
      <rPr>
        <b/>
        <sz val="11"/>
        <rFont val="Calibri"/>
        <family val="2"/>
      </rPr>
      <t>Interpretation.</t>
    </r>
    <r>
      <rPr>
        <sz val="11"/>
        <rFont val="Calibri"/>
        <family val="2"/>
      </rPr>
      <t xml:space="preserve"> In 2025 the World Gross Domestic Product at factor-price amounted to around €131 trillion (PPP 2025), representing 92% of world GDP at market prices. In this context, the capital share of the economy - defined as the sum of the gross operating surplus of the government, corporate, and household sectors, plus 40% of gross mixed income, divided by GDP at factor-price - amounted to around 47% of GDP at factor-price. At a regional level, Middle East and North Africa (MENA) leads the ranking with a capital share of 60%, driven by a 73% share in the corporate sector (this is the gross operative surplus of the corported sector divied by Gross value added of the coportate sector), contrasting with the total 41% total capital share of North America &amp; Oceania, dragged down by a capital share in the corporate sector of only 42%.</t>
    </r>
    <r>
      <rPr>
        <b/>
        <sz val="11"/>
        <rFont val="Calibri"/>
        <family val="2"/>
      </rPr>
      <t xml:space="preserve"> Sources and series:</t>
    </r>
    <r>
      <rPr>
        <sz val="11"/>
        <rFont val="Calibri"/>
        <family val="2"/>
      </rPr>
      <t xml:space="preserve"> wid.world</t>
    </r>
  </si>
  <si>
    <t xml:space="preserve">Table 14d. Net foreign Assets MER$  by World Regions (1980-2025) </t>
  </si>
  <si>
    <t xml:space="preserve">Table 14c. Net foreign Assets MER €  by World Regions (1980-2025) </t>
  </si>
  <si>
    <t xml:space="preserve">Table 8c. Price index Growth  MER € by World Regions (1980-2025) </t>
  </si>
  <si>
    <t xml:space="preserve">Table 8d. Price index Growth  MER $ by World Regions (1980-2025) </t>
  </si>
  <si>
    <t>Table 16b. National Capital shares by World Region PPP $ (2025)</t>
  </si>
  <si>
    <t>(last update: 10/08/2026)</t>
  </si>
  <si>
    <t>Table 1. Gross domestic product by World Region USD-EUR (2025)</t>
  </si>
  <si>
    <t>Table 1a. Per capita gross domestic product by World Region USD-EUR (2025)</t>
  </si>
  <si>
    <t>Table 4a. Per capita national Income by World Region USD-EUR (2025)</t>
  </si>
  <si>
    <t>Table 2. Consumption of Fixed Capital by World Region USD-EUR (2025)</t>
  </si>
  <si>
    <t>Table 16c. National Capital shares by World Region MER € (2025)</t>
  </si>
  <si>
    <t>Table 16d. National Capital shares by World Region MER $ (2025)</t>
  </si>
  <si>
    <t>Table 15d. National Non-financial Assets by World Region MER $ (2025)</t>
  </si>
  <si>
    <t>Table 15c. National Non-financial Assets by World Region MER € (2025)</t>
  </si>
  <si>
    <r>
      <t xml:space="preserve">Consumption of Fixed Capital
</t>
    </r>
    <r>
      <rPr>
        <sz val="12"/>
        <color theme="1"/>
        <rFont val="Arial Narrow"/>
        <family val="2"/>
      </rPr>
      <t>(% regional GDP)</t>
    </r>
  </si>
  <si>
    <t>Consumption of Fixed Capital</t>
  </si>
  <si>
    <r>
      <t xml:space="preserve">Consumption of Fixed Capital
</t>
    </r>
    <r>
      <rPr>
        <sz val="12"/>
        <color theme="1"/>
        <rFont val="Arial Narrow"/>
        <family val="2"/>
      </rPr>
      <t>(% world Consumption of Fixed capital total)</t>
    </r>
  </si>
  <si>
    <t>Table 3. National Income by World Region USD-EUR (2025)</t>
  </si>
  <si>
    <t>Table 4. Per Capita National Income by World Region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</si>
</sst>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0.0%"/>
  </numFmts>
  <fonts count="22" x14ac:knownFonts="1">
    <font>
      <sz val="11"/>
      <name val="Calibri"/>
    </font>
    <font>
      <sz val="12"/>
      <color theme="1"/>
      <name val="Calibri"/>
      <family val="2"/>
      <scheme val="minor"/>
    </font>
    <font>
      <sz val="11"/>
      <name val="Calibri"/>
      <family val="2"/>
    </font>
    <font>
      <sz val="12"/>
      <color theme="1"/>
      <name val="Arial"/>
      <family val="2"/>
    </font>
    <font>
      <b/>
      <sz val="12"/>
      <color theme="1"/>
      <name val="Arial"/>
      <family val="2"/>
    </font>
    <font>
      <sz val="12"/>
      <name val="Arial"/>
      <family val="2"/>
    </font>
    <font>
      <sz val="10"/>
      <name val="Arial"/>
      <family val="2"/>
    </font>
    <font>
      <b/>
      <sz val="12"/>
      <name val="Arial"/>
      <family val="2"/>
    </font>
    <font>
      <sz val="12"/>
      <color theme="1"/>
      <name val="Arial Narrow"/>
      <family val="2"/>
    </font>
    <font>
      <b/>
      <sz val="12"/>
      <color rgb="FF000000"/>
      <name val="Arial"/>
      <family val="2"/>
    </font>
    <font>
      <sz val="12"/>
      <color rgb="FF000000"/>
      <name val="Arial"/>
      <family val="2"/>
    </font>
    <font>
      <sz val="11"/>
      <name val="Calibri"/>
      <family val="2"/>
    </font>
    <font>
      <b/>
      <sz val="11"/>
      <name val="Calibri"/>
      <family val="2"/>
    </font>
    <font>
      <b/>
      <sz val="11"/>
      <color theme="1"/>
      <name val="Arial"/>
      <family val="2"/>
    </font>
    <font>
      <sz val="11"/>
      <color theme="1"/>
      <name val="Arial"/>
      <family val="2"/>
    </font>
    <font>
      <sz val="8"/>
      <name val="Calibri"/>
      <family val="2"/>
    </font>
    <font>
      <sz val="11"/>
      <color theme="1"/>
      <name val="Calibri"/>
      <family val="2"/>
      <scheme val="minor"/>
    </font>
    <font>
      <b/>
      <sz val="14"/>
      <name val="Arial"/>
      <family val="2"/>
    </font>
    <font>
      <sz val="11"/>
      <name val="Arial"/>
      <family val="2"/>
    </font>
    <font>
      <b/>
      <sz val="11"/>
      <name val="Arial"/>
      <family val="2"/>
    </font>
    <font>
      <sz val="11"/>
      <color theme="0" tint="-0.49995422223578601"/>
      <name val="Arial"/>
      <family val="2"/>
    </font>
    <font>
      <sz val="11"/>
      <color rgb="FF000000"/>
      <name val="Arial"/>
      <family val="2"/>
    </font>
  </fonts>
  <fills count="1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0000"/>
        <bgColor indexed="64"/>
      </patternFill>
    </fill>
    <fill>
      <patternFill patternType="solid">
        <fgColor theme="5"/>
        <bgColor indexed="64"/>
      </patternFill>
    </fill>
    <fill>
      <patternFill patternType="solid">
        <fgColor theme="7"/>
        <bgColor indexed="64"/>
      </patternFill>
    </fill>
    <fill>
      <patternFill patternType="solid">
        <fgColor rgb="FF7030A0"/>
        <bgColor indexed="64"/>
      </patternFill>
    </fill>
    <fill>
      <patternFill patternType="solid">
        <fgColor theme="9"/>
        <bgColor indexed="64"/>
      </patternFill>
    </fill>
    <fill>
      <patternFill patternType="solid">
        <fgColor theme="4"/>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rgb="FF000000"/>
      </right>
      <top style="medium">
        <color indexed="64"/>
      </top>
      <bottom style="medium">
        <color indexed="64"/>
      </bottom>
      <diagonal/>
    </border>
  </borders>
  <cellStyleXfs count="7">
    <xf numFmtId="0" fontId="0" fillId="0" borderId="0"/>
    <xf numFmtId="43" fontId="2" fillId="0" borderId="0" applyFont="0" applyFill="0" applyBorder="0" applyAlignment="0" applyProtection="0"/>
    <xf numFmtId="0" fontId="1" fillId="0" borderId="0"/>
    <xf numFmtId="0" fontId="6" fillId="0" borderId="0"/>
    <xf numFmtId="0" fontId="2" fillId="0" borderId="0"/>
    <xf numFmtId="9" fontId="11" fillId="0" borderId="0" applyFont="0" applyFill="0" applyBorder="0" applyAlignment="0" applyProtection="0"/>
    <xf numFmtId="0" fontId="16" fillId="0" borderId="0"/>
  </cellStyleXfs>
  <cellXfs count="261">
    <xf numFmtId="0" fontId="0" fillId="0" borderId="0" xfId="0"/>
    <xf numFmtId="0" fontId="3" fillId="2" borderId="1" xfId="2" applyFont="1" applyFill="1" applyBorder="1" applyAlignment="1">
      <alignment horizontal="center" vertical="center" wrapText="1"/>
    </xf>
    <xf numFmtId="3" fontId="3" fillId="2" borderId="1" xfId="1" applyNumberFormat="1" applyFont="1" applyFill="1" applyBorder="1" applyAlignment="1">
      <alignment horizontal="center" vertical="center" wrapText="1"/>
    </xf>
    <xf numFmtId="0" fontId="3" fillId="2" borderId="2" xfId="2" applyFont="1" applyFill="1" applyBorder="1" applyAlignment="1">
      <alignment horizontal="center" vertical="center" wrapText="1"/>
    </xf>
    <xf numFmtId="3" fontId="3" fillId="2" borderId="1" xfId="1" applyNumberFormat="1" applyFont="1" applyFill="1" applyBorder="1" applyAlignment="1">
      <alignment horizontal="left" vertical="center" wrapText="1"/>
    </xf>
    <xf numFmtId="3" fontId="4" fillId="2" borderId="1" xfId="1" applyNumberFormat="1" applyFont="1" applyFill="1" applyBorder="1" applyAlignment="1">
      <alignment horizontal="left" vertical="center" wrapText="1"/>
    </xf>
    <xf numFmtId="3" fontId="3" fillId="2" borderId="1" xfId="1" applyNumberFormat="1" applyFont="1" applyFill="1" applyBorder="1" applyAlignment="1">
      <alignment horizontal="right" vertical="center" wrapText="1"/>
    </xf>
    <xf numFmtId="3" fontId="5" fillId="0" borderId="1" xfId="1" applyNumberFormat="1" applyFont="1" applyFill="1" applyBorder="1" applyAlignment="1">
      <alignment horizontal="right" vertical="center" wrapText="1"/>
    </xf>
    <xf numFmtId="3" fontId="3" fillId="0" borderId="1" xfId="1" applyNumberFormat="1" applyFont="1" applyFill="1" applyBorder="1" applyAlignment="1">
      <alignment horizontal="right" vertical="center" wrapText="1"/>
    </xf>
    <xf numFmtId="0" fontId="5" fillId="0" borderId="0" xfId="3" applyFont="1" applyAlignment="1">
      <alignment horizontal="center" vertical="center" wrapText="1"/>
    </xf>
    <xf numFmtId="0" fontId="5" fillId="0" borderId="0" xfId="3" applyFont="1"/>
    <xf numFmtId="4" fontId="5" fillId="0" borderId="0" xfId="3" applyNumberFormat="1" applyFont="1" applyAlignment="1">
      <alignment horizontal="center"/>
    </xf>
    <xf numFmtId="1" fontId="0" fillId="0" borderId="0" xfId="0" applyNumberFormat="1"/>
    <xf numFmtId="0" fontId="7" fillId="0" borderId="0" xfId="3" applyFont="1"/>
    <xf numFmtId="0" fontId="3" fillId="0" borderId="1" xfId="2" applyFont="1" applyBorder="1" applyAlignment="1">
      <alignment horizontal="center" vertical="center" wrapText="1"/>
    </xf>
    <xf numFmtId="1" fontId="3" fillId="2" borderId="1" xfId="1" applyNumberFormat="1" applyFont="1" applyFill="1" applyBorder="1" applyAlignment="1">
      <alignment horizontal="center" vertical="center" wrapText="1"/>
    </xf>
    <xf numFmtId="1" fontId="3" fillId="2" borderId="4" xfId="1" applyNumberFormat="1" applyFont="1" applyFill="1" applyBorder="1" applyAlignment="1">
      <alignment horizontal="center" vertical="center" wrapText="1"/>
    </xf>
    <xf numFmtId="3" fontId="4" fillId="2" borderId="1" xfId="1" applyNumberFormat="1" applyFont="1" applyFill="1" applyBorder="1" applyAlignment="1">
      <alignment horizontal="center" vertical="center" wrapText="1"/>
    </xf>
    <xf numFmtId="1" fontId="4" fillId="2" borderId="1" xfId="1" applyNumberFormat="1" applyFont="1" applyFill="1" applyBorder="1" applyAlignment="1">
      <alignment horizontal="center" vertical="center" wrapText="1"/>
    </xf>
    <xf numFmtId="1" fontId="4" fillId="2" borderId="4" xfId="1" applyNumberFormat="1" applyFont="1" applyFill="1" applyBorder="1" applyAlignment="1">
      <alignment horizontal="center" vertical="center" wrapText="1"/>
    </xf>
    <xf numFmtId="0" fontId="4" fillId="2" borderId="5" xfId="2" applyFont="1" applyFill="1" applyBorder="1" applyAlignment="1">
      <alignment wrapText="1"/>
    </xf>
    <xf numFmtId="0" fontId="3" fillId="2" borderId="5" xfId="2" applyFont="1" applyFill="1" applyBorder="1" applyAlignment="1">
      <alignment horizontal="center" vertical="center" wrapText="1"/>
    </xf>
    <xf numFmtId="0" fontId="4" fillId="2" borderId="5" xfId="2" applyFont="1" applyFill="1" applyBorder="1" applyAlignment="1">
      <alignment horizontal="center" vertical="center" wrapText="1"/>
    </xf>
    <xf numFmtId="1" fontId="3" fillId="2" borderId="3" xfId="2" applyNumberFormat="1" applyFont="1" applyFill="1" applyBorder="1" applyAlignment="1">
      <alignment horizontal="center" vertical="center" wrapText="1"/>
    </xf>
    <xf numFmtId="1" fontId="4" fillId="2" borderId="3" xfId="2" applyNumberFormat="1" applyFont="1" applyFill="1" applyBorder="1" applyAlignment="1">
      <alignment horizontal="center" vertical="center" wrapText="1"/>
    </xf>
    <xf numFmtId="0" fontId="3" fillId="2" borderId="3" xfId="2" applyFont="1" applyFill="1" applyBorder="1" applyAlignment="1">
      <alignment horizontal="center" vertical="center" wrapText="1"/>
    </xf>
    <xf numFmtId="2" fontId="3" fillId="2" borderId="4" xfId="1" applyNumberFormat="1" applyFont="1" applyFill="1" applyBorder="1" applyAlignment="1">
      <alignment horizontal="center" vertical="center" wrapText="1"/>
    </xf>
    <xf numFmtId="0" fontId="4" fillId="2" borderId="3" xfId="2" applyFont="1" applyFill="1" applyBorder="1" applyAlignment="1">
      <alignment horizontal="center" vertical="center" wrapText="1"/>
    </xf>
    <xf numFmtId="164" fontId="3" fillId="2" borderId="1" xfId="1" applyNumberFormat="1" applyFont="1" applyFill="1" applyBorder="1" applyAlignment="1">
      <alignment horizontal="center" vertical="center" wrapText="1"/>
    </xf>
    <xf numFmtId="164" fontId="4" fillId="2" borderId="1" xfId="1" applyNumberFormat="1" applyFont="1" applyFill="1" applyBorder="1" applyAlignment="1">
      <alignment horizontal="center" vertical="center" wrapText="1"/>
    </xf>
    <xf numFmtId="0" fontId="4" fillId="0" borderId="0" xfId="2" applyFont="1" applyAlignment="1">
      <alignment vertical="center"/>
    </xf>
    <xf numFmtId="0" fontId="3" fillId="0" borderId="4" xfId="2" applyFont="1" applyBorder="1" applyAlignment="1">
      <alignment horizontal="center" vertical="center" wrapText="1"/>
    </xf>
    <xf numFmtId="4" fontId="3" fillId="2" borderId="1" xfId="1" applyNumberFormat="1" applyFont="1" applyFill="1" applyBorder="1" applyAlignment="1">
      <alignment horizontal="center" vertical="center" wrapText="1"/>
    </xf>
    <xf numFmtId="4" fontId="4" fillId="2" borderId="1" xfId="1" applyNumberFormat="1" applyFont="1" applyFill="1" applyBorder="1" applyAlignment="1">
      <alignment horizontal="center" vertical="center" wrapText="1"/>
    </xf>
    <xf numFmtId="2" fontId="3" fillId="2" borderId="1" xfId="1" applyNumberFormat="1" applyFont="1" applyFill="1" applyBorder="1" applyAlignment="1">
      <alignment horizontal="center" vertical="center" wrapText="1"/>
    </xf>
    <xf numFmtId="2" fontId="4" fillId="2" borderId="1" xfId="1" applyNumberFormat="1" applyFont="1" applyFill="1" applyBorder="1" applyAlignment="1">
      <alignment horizontal="center" vertical="center" wrapText="1"/>
    </xf>
    <xf numFmtId="0" fontId="9" fillId="3" borderId="12" xfId="0" applyFont="1" applyFill="1" applyBorder="1" applyAlignment="1">
      <alignment wrapText="1"/>
    </xf>
    <xf numFmtId="0" fontId="10" fillId="3" borderId="13"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0" borderId="7" xfId="0" applyFont="1" applyBorder="1" applyAlignment="1">
      <alignment horizontal="center" vertical="center" wrapText="1"/>
    </xf>
    <xf numFmtId="0" fontId="3" fillId="0" borderId="5" xfId="2" applyFont="1" applyBorder="1" applyAlignment="1">
      <alignment horizontal="center" vertical="center" wrapText="1"/>
    </xf>
    <xf numFmtId="165" fontId="3" fillId="2" borderId="1" xfId="1" applyNumberFormat="1" applyFont="1" applyFill="1" applyBorder="1" applyAlignment="1">
      <alignment horizontal="center" vertical="center" wrapText="1"/>
    </xf>
    <xf numFmtId="166" fontId="3" fillId="0" borderId="1" xfId="5" applyNumberFormat="1" applyFont="1" applyFill="1" applyBorder="1" applyAlignment="1">
      <alignment horizontal="center" vertical="center"/>
    </xf>
    <xf numFmtId="0" fontId="3" fillId="0" borderId="0" xfId="0" applyFont="1"/>
    <xf numFmtId="0" fontId="4" fillId="0" borderId="0" xfId="0" applyFont="1" applyAlignment="1">
      <alignment horizontal="left"/>
    </xf>
    <xf numFmtId="1" fontId="3" fillId="2" borderId="1" xfId="1" applyNumberFormat="1" applyFont="1" applyFill="1" applyBorder="1" applyAlignment="1">
      <alignment horizontal="center" vertical="center"/>
    </xf>
    <xf numFmtId="3" fontId="3" fillId="0" borderId="1" xfId="1" applyNumberFormat="1" applyFont="1" applyFill="1" applyBorder="1" applyAlignment="1">
      <alignment horizontal="center" vertical="center"/>
    </xf>
    <xf numFmtId="165" fontId="3" fillId="0" borderId="1" xfId="1" applyNumberFormat="1" applyFont="1" applyFill="1" applyBorder="1" applyAlignment="1">
      <alignment horizontal="center" vertical="center"/>
    </xf>
    <xf numFmtId="9" fontId="3" fillId="0" borderId="1" xfId="5" applyFont="1" applyFill="1" applyBorder="1" applyAlignment="1">
      <alignment horizontal="center" vertical="center"/>
    </xf>
    <xf numFmtId="1" fontId="3" fillId="0" borderId="1" xfId="1" applyNumberFormat="1" applyFont="1" applyFill="1" applyBorder="1" applyAlignment="1">
      <alignment horizontal="center" vertical="center" wrapText="1"/>
    </xf>
    <xf numFmtId="165" fontId="3" fillId="0" borderId="1" xfId="1" applyNumberFormat="1" applyFont="1" applyFill="1" applyBorder="1" applyAlignment="1">
      <alignment horizontal="center" vertical="center" wrapText="1"/>
    </xf>
    <xf numFmtId="0" fontId="2" fillId="0" borderId="0" xfId="0" applyFont="1"/>
    <xf numFmtId="166" fontId="3" fillId="2" borderId="1" xfId="5" applyNumberFormat="1" applyFont="1" applyFill="1" applyBorder="1" applyAlignment="1">
      <alignment horizontal="center" vertical="center"/>
    </xf>
    <xf numFmtId="9" fontId="3" fillId="2" borderId="1" xfId="5" applyFont="1" applyFill="1" applyBorder="1" applyAlignment="1">
      <alignment horizontal="center" vertical="center"/>
    </xf>
    <xf numFmtId="1" fontId="3" fillId="0" borderId="1" xfId="1" applyNumberFormat="1" applyFont="1" applyFill="1" applyBorder="1" applyAlignment="1">
      <alignment horizontal="center" vertical="center"/>
    </xf>
    <xf numFmtId="0" fontId="3" fillId="2" borderId="17" xfId="2" applyFont="1" applyFill="1" applyBorder="1" applyAlignment="1">
      <alignment horizontal="center" vertical="center" wrapText="1"/>
    </xf>
    <xf numFmtId="3" fontId="3" fillId="0" borderId="18" xfId="1" applyNumberFormat="1" applyFont="1" applyFill="1" applyBorder="1" applyAlignment="1">
      <alignment horizontal="center" vertical="center"/>
    </xf>
    <xf numFmtId="1" fontId="3" fillId="0" borderId="18" xfId="1" applyNumberFormat="1"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2" fillId="0" borderId="0" xfId="0" applyFont="1" applyAlignment="1">
      <alignment wrapText="1"/>
    </xf>
    <xf numFmtId="0" fontId="3" fillId="2" borderId="5" xfId="2" applyFont="1" applyFill="1" applyBorder="1" applyAlignment="1">
      <alignment horizontal="center" vertical="center"/>
    </xf>
    <xf numFmtId="3" fontId="3" fillId="2" borderId="1" xfId="1" applyNumberFormat="1" applyFont="1" applyFill="1" applyBorder="1" applyAlignment="1">
      <alignment horizontal="center" vertical="center"/>
    </xf>
    <xf numFmtId="3" fontId="4" fillId="0" borderId="1" xfId="1" applyNumberFormat="1" applyFont="1" applyFill="1" applyBorder="1" applyAlignment="1">
      <alignment horizontal="center" vertical="center"/>
    </xf>
    <xf numFmtId="164" fontId="4" fillId="2" borderId="1" xfId="1" applyNumberFormat="1" applyFont="1" applyFill="1" applyBorder="1" applyAlignment="1">
      <alignment horizontal="center" vertical="center"/>
    </xf>
    <xf numFmtId="165" fontId="3" fillId="2"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xf>
    <xf numFmtId="0" fontId="14" fillId="0" borderId="0" xfId="2" applyFont="1" applyAlignment="1">
      <alignment vertical="top" wrapText="1"/>
    </xf>
    <xf numFmtId="0" fontId="3" fillId="2" borderId="5" xfId="2" applyFont="1" applyFill="1" applyBorder="1" applyAlignment="1">
      <alignment wrapText="1"/>
    </xf>
    <xf numFmtId="1" fontId="4" fillId="2" borderId="1" xfId="1" applyNumberFormat="1" applyFont="1" applyFill="1" applyBorder="1" applyAlignment="1">
      <alignment horizontal="center" vertical="center"/>
    </xf>
    <xf numFmtId="0" fontId="0" fillId="0" borderId="0" xfId="0" applyAlignment="1">
      <alignment wrapText="1"/>
    </xf>
    <xf numFmtId="9" fontId="4" fillId="2" borderId="1" xfId="5" applyFont="1" applyFill="1" applyBorder="1" applyAlignment="1">
      <alignment horizontal="center" vertical="center"/>
    </xf>
    <xf numFmtId="0" fontId="12" fillId="0" borderId="0" xfId="0" applyFont="1"/>
    <xf numFmtId="0" fontId="0" fillId="2" borderId="0" xfId="0" applyFill="1"/>
    <xf numFmtId="0" fontId="4" fillId="2" borderId="1" xfId="2" applyFont="1" applyFill="1" applyBorder="1" applyAlignment="1">
      <alignment horizontal="center" vertical="center" wrapText="1"/>
    </xf>
    <xf numFmtId="0" fontId="3" fillId="0" borderId="0" xfId="6" applyFont="1" applyAlignment="1">
      <alignment horizontal="center" vertical="center"/>
    </xf>
    <xf numFmtId="0" fontId="4" fillId="2" borderId="1" xfId="2" applyFont="1" applyFill="1" applyBorder="1" applyAlignment="1">
      <alignment wrapText="1"/>
    </xf>
    <xf numFmtId="0" fontId="3" fillId="2" borderId="2" xfId="2" applyFont="1" applyFill="1" applyBorder="1" applyAlignment="1">
      <alignment vertical="center" wrapText="1"/>
    </xf>
    <xf numFmtId="3" fontId="3" fillId="0" borderId="1" xfId="1" applyNumberFormat="1" applyFont="1" applyFill="1" applyBorder="1" applyAlignment="1">
      <alignment horizontal="center" vertical="center" wrapText="1"/>
    </xf>
    <xf numFmtId="164" fontId="0" fillId="0" borderId="0" xfId="0" applyNumberFormat="1"/>
    <xf numFmtId="164" fontId="3" fillId="2" borderId="1" xfId="2" applyNumberFormat="1" applyFont="1" applyFill="1" applyBorder="1" applyAlignment="1">
      <alignment horizontal="center" vertical="center" wrapText="1"/>
    </xf>
    <xf numFmtId="164" fontId="4" fillId="2" borderId="1" xfId="2" applyNumberFormat="1" applyFont="1" applyFill="1" applyBorder="1" applyAlignment="1">
      <alignment horizontal="center" vertical="center" wrapText="1"/>
    </xf>
    <xf numFmtId="0" fontId="0" fillId="0" borderId="7" xfId="0" applyBorder="1"/>
    <xf numFmtId="4" fontId="0" fillId="0" borderId="0" xfId="0" applyNumberFormat="1"/>
    <xf numFmtId="9" fontId="4" fillId="2" borderId="1" xfId="5" applyFont="1" applyFill="1" applyBorder="1" applyAlignment="1">
      <alignment horizontal="center" vertical="center" wrapText="1"/>
    </xf>
    <xf numFmtId="0" fontId="19" fillId="0" borderId="16" xfId="0" applyFont="1" applyBorder="1"/>
    <xf numFmtId="0" fontId="18" fillId="4" borderId="13" xfId="0" applyFont="1" applyFill="1" applyBorder="1"/>
    <xf numFmtId="0" fontId="18" fillId="0" borderId="14" xfId="0" applyFont="1" applyBorder="1"/>
    <xf numFmtId="0" fontId="18" fillId="0" borderId="11" xfId="0" applyFont="1" applyBorder="1"/>
    <xf numFmtId="0" fontId="18" fillId="0" borderId="12" xfId="0" applyFont="1" applyBorder="1"/>
    <xf numFmtId="165" fontId="3" fillId="0" borderId="18" xfId="1" applyNumberFormat="1" applyFont="1" applyFill="1" applyBorder="1" applyAlignment="1">
      <alignment horizontal="center" vertical="center"/>
    </xf>
    <xf numFmtId="9" fontId="3" fillId="0" borderId="18" xfId="5" applyFont="1" applyFill="1" applyBorder="1" applyAlignment="1">
      <alignment horizontal="center" vertical="center"/>
    </xf>
    <xf numFmtId="166" fontId="3" fillId="2" borderId="1" xfId="5" applyNumberFormat="1" applyFont="1" applyFill="1" applyBorder="1" applyAlignment="1">
      <alignment horizontal="center" vertical="center" wrapText="1"/>
    </xf>
    <xf numFmtId="166" fontId="3" fillId="0" borderId="1" xfId="5" applyNumberFormat="1" applyFont="1" applyFill="1" applyBorder="1" applyAlignment="1">
      <alignment horizontal="center" vertical="center" wrapText="1"/>
    </xf>
    <xf numFmtId="164" fontId="3" fillId="0" borderId="1" xfId="1" applyNumberFormat="1" applyFont="1" applyFill="1" applyBorder="1" applyAlignment="1">
      <alignment horizontal="center" vertical="center"/>
    </xf>
    <xf numFmtId="164" fontId="3" fillId="0" borderId="1" xfId="1" applyNumberFormat="1" applyFont="1" applyFill="1" applyBorder="1" applyAlignment="1">
      <alignment horizontal="center" vertical="center" wrapText="1"/>
    </xf>
    <xf numFmtId="164" fontId="3" fillId="0" borderId="1" xfId="5" applyNumberFormat="1" applyFont="1" applyFill="1" applyBorder="1" applyAlignment="1">
      <alignment horizontal="center" vertical="center"/>
    </xf>
    <xf numFmtId="1" fontId="3" fillId="0" borderId="1" xfId="5" applyNumberFormat="1" applyFont="1" applyFill="1" applyBorder="1" applyAlignment="1">
      <alignment horizontal="center" vertical="center"/>
    </xf>
    <xf numFmtId="3" fontId="3" fillId="2" borderId="5" xfId="5" applyNumberFormat="1" applyFont="1" applyFill="1" applyBorder="1" applyAlignment="1">
      <alignment horizontal="center" vertical="center" wrapText="1"/>
    </xf>
    <xf numFmtId="3" fontId="3" fillId="2" borderId="1" xfId="5" applyNumberFormat="1" applyFont="1" applyFill="1" applyBorder="1" applyAlignment="1">
      <alignment horizontal="center" vertical="center" wrapText="1"/>
    </xf>
    <xf numFmtId="9" fontId="3" fillId="0" borderId="1" xfId="5" applyFont="1" applyFill="1" applyBorder="1" applyAlignment="1">
      <alignment horizontal="center" vertical="center" wrapText="1"/>
    </xf>
    <xf numFmtId="9" fontId="3" fillId="2" borderId="1" xfId="5" applyFont="1" applyFill="1" applyBorder="1" applyAlignment="1">
      <alignment horizontal="center" vertical="center" wrapText="1"/>
    </xf>
    <xf numFmtId="10" fontId="3" fillId="2" borderId="1" xfId="5" applyNumberFormat="1" applyFont="1" applyFill="1" applyBorder="1" applyAlignment="1">
      <alignment horizontal="center" vertical="center" wrapText="1"/>
    </xf>
    <xf numFmtId="0" fontId="3" fillId="2" borderId="0" xfId="2" applyFont="1" applyFill="1" applyAlignment="1">
      <alignment horizontal="center" vertical="center" wrapText="1"/>
    </xf>
    <xf numFmtId="0" fontId="3" fillId="0" borderId="0" xfId="2" applyFont="1" applyAlignment="1">
      <alignment horizontal="center" vertical="center" wrapText="1"/>
    </xf>
    <xf numFmtId="166" fontId="4" fillId="0" borderId="1" xfId="5" applyNumberFormat="1" applyFont="1" applyFill="1" applyBorder="1" applyAlignment="1">
      <alignment horizontal="center" vertical="center"/>
    </xf>
    <xf numFmtId="1" fontId="4" fillId="2" borderId="5" xfId="1" applyNumberFormat="1" applyFont="1" applyFill="1" applyBorder="1" applyAlignment="1">
      <alignment horizontal="center" vertical="center" wrapText="1"/>
    </xf>
    <xf numFmtId="166" fontId="3" fillId="0" borderId="1" xfId="5" applyNumberFormat="1" applyFont="1" applyFill="1" applyBorder="1" applyAlignment="1">
      <alignment horizontal="right" vertical="center" wrapText="1"/>
    </xf>
    <xf numFmtId="4" fontId="3" fillId="0" borderId="1" xfId="1" applyNumberFormat="1" applyFont="1" applyFill="1" applyBorder="1" applyAlignment="1">
      <alignment horizontal="center" vertical="center" wrapText="1"/>
    </xf>
    <xf numFmtId="1" fontId="3" fillId="2" borderId="5" xfId="1" applyNumberFormat="1" applyFont="1" applyFill="1" applyBorder="1" applyAlignment="1">
      <alignment horizontal="center" vertical="center" wrapText="1"/>
    </xf>
    <xf numFmtId="1" fontId="3" fillId="2" borderId="1" xfId="2" applyNumberFormat="1" applyFont="1" applyFill="1" applyBorder="1" applyAlignment="1">
      <alignment horizontal="center" vertical="center" wrapText="1"/>
    </xf>
    <xf numFmtId="1" fontId="4" fillId="2" borderId="1" xfId="2" applyNumberFormat="1" applyFont="1" applyFill="1" applyBorder="1" applyAlignment="1">
      <alignment horizontal="center" vertical="center" wrapText="1"/>
    </xf>
    <xf numFmtId="9" fontId="3" fillId="2" borderId="4" xfId="5" applyFont="1" applyFill="1" applyBorder="1" applyAlignment="1">
      <alignment horizontal="center" vertical="center" wrapText="1"/>
    </xf>
    <xf numFmtId="9" fontId="4" fillId="2" borderId="4" xfId="5" applyFont="1" applyFill="1" applyBorder="1" applyAlignment="1">
      <alignment horizontal="center" vertical="center" wrapText="1"/>
    </xf>
    <xf numFmtId="3" fontId="4" fillId="2" borderId="1" xfId="1" applyNumberFormat="1" applyFont="1" applyFill="1" applyBorder="1" applyAlignment="1">
      <alignment horizontal="center" vertical="center"/>
    </xf>
    <xf numFmtId="9" fontId="3" fillId="2" borderId="5" xfId="5" applyFont="1" applyFill="1" applyBorder="1" applyAlignment="1">
      <alignment horizontal="center" vertical="center"/>
    </xf>
    <xf numFmtId="9" fontId="3" fillId="2" borderId="5" xfId="5" applyFont="1" applyFill="1" applyBorder="1" applyAlignment="1">
      <alignment horizontal="center" vertical="center" wrapText="1"/>
    </xf>
    <xf numFmtId="9" fontId="4" fillId="2" borderId="5" xfId="5" applyFont="1" applyFill="1" applyBorder="1" applyAlignment="1">
      <alignment horizontal="center" vertical="center" wrapText="1"/>
    </xf>
    <xf numFmtId="9" fontId="4" fillId="0" borderId="1" xfId="5" applyFont="1" applyFill="1" applyBorder="1" applyAlignment="1">
      <alignment horizontal="center" vertical="center"/>
    </xf>
    <xf numFmtId="0" fontId="5" fillId="0" borderId="0" xfId="0" applyFont="1"/>
    <xf numFmtId="0" fontId="4" fillId="2" borderId="0" xfId="2" applyFont="1" applyFill="1" applyAlignment="1">
      <alignment vertical="center" wrapText="1"/>
    </xf>
    <xf numFmtId="0" fontId="0" fillId="0" borderId="12" xfId="0" applyBorder="1"/>
    <xf numFmtId="0" fontId="0" fillId="0" borderId="1" xfId="0" applyBorder="1"/>
    <xf numFmtId="1" fontId="4" fillId="2" borderId="0" xfId="1" applyNumberFormat="1" applyFont="1" applyFill="1" applyBorder="1" applyAlignment="1">
      <alignment vertical="center"/>
    </xf>
    <xf numFmtId="3" fontId="4" fillId="0" borderId="1" xfId="1" applyNumberFormat="1" applyFont="1" applyFill="1" applyBorder="1" applyAlignment="1">
      <alignment horizontal="center" vertical="center" wrapText="1"/>
    </xf>
    <xf numFmtId="0" fontId="13" fillId="0" borderId="0" xfId="2" applyFont="1" applyAlignment="1">
      <alignment vertical="top" wrapText="1"/>
    </xf>
    <xf numFmtId="9" fontId="0" fillId="0" borderId="0" xfId="5" applyFont="1"/>
    <xf numFmtId="166" fontId="0" fillId="0" borderId="0" xfId="5" applyNumberFormat="1" applyFont="1"/>
    <xf numFmtId="166" fontId="2" fillId="0" borderId="0" xfId="5" applyNumberFormat="1" applyFont="1"/>
    <xf numFmtId="0" fontId="0" fillId="0" borderId="0" xfId="0" applyAlignment="1">
      <alignment horizontal="center" vertical="center"/>
    </xf>
    <xf numFmtId="0" fontId="5" fillId="0" borderId="1" xfId="0" applyFont="1" applyBorder="1" applyAlignment="1">
      <alignment horizontal="center" vertical="center"/>
    </xf>
    <xf numFmtId="0" fontId="0" fillId="0" borderId="15" xfId="0" applyBorder="1" applyAlignment="1">
      <alignment horizontal="center" vertical="center"/>
    </xf>
    <xf numFmtId="0" fontId="0" fillId="0" borderId="15" xfId="0" applyBorder="1"/>
    <xf numFmtId="0" fontId="12" fillId="0" borderId="5"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9" fillId="0" borderId="5" xfId="0" applyFont="1" applyBorder="1" applyAlignment="1">
      <alignment horizontal="center"/>
    </xf>
    <xf numFmtId="0" fontId="19" fillId="0" borderId="6" xfId="0" applyFont="1" applyBorder="1" applyAlignment="1">
      <alignment horizontal="center"/>
    </xf>
    <xf numFmtId="0" fontId="4" fillId="2" borderId="5" xfId="2" applyFont="1" applyFill="1" applyBorder="1" applyAlignment="1">
      <alignment horizontal="center" vertical="center"/>
    </xf>
    <xf numFmtId="0" fontId="4" fillId="2" borderId="6" xfId="2" applyFont="1" applyFill="1" applyBorder="1" applyAlignment="1">
      <alignment horizontal="center" vertical="center"/>
    </xf>
    <xf numFmtId="0" fontId="4" fillId="2" borderId="7" xfId="2" applyFont="1" applyFill="1" applyBorder="1" applyAlignment="1">
      <alignment horizontal="center" vertical="center"/>
    </xf>
    <xf numFmtId="0" fontId="14" fillId="0" borderId="8" xfId="2" applyFont="1" applyBorder="1" applyAlignment="1">
      <alignment vertical="top" wrapText="1"/>
    </xf>
    <xf numFmtId="0" fontId="14" fillId="0" borderId="9" xfId="2" applyFont="1" applyBorder="1" applyAlignment="1">
      <alignment vertical="top" wrapText="1"/>
    </xf>
    <xf numFmtId="0" fontId="14" fillId="0" borderId="10" xfId="2" applyFont="1" applyBorder="1" applyAlignment="1">
      <alignment vertical="top" wrapText="1"/>
    </xf>
    <xf numFmtId="0" fontId="14" fillId="0" borderId="12" xfId="2" applyFont="1" applyBorder="1" applyAlignment="1">
      <alignment vertical="top" wrapText="1"/>
    </xf>
    <xf numFmtId="0" fontId="14" fillId="0" borderId="14" xfId="2" applyFont="1" applyBorder="1" applyAlignment="1">
      <alignment vertical="top" wrapText="1"/>
    </xf>
    <xf numFmtId="0" fontId="14" fillId="0" borderId="11" xfId="2" applyFont="1" applyBorder="1" applyAlignment="1">
      <alignmen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2" xfId="0" applyFont="1" applyBorder="1" applyAlignment="1">
      <alignment horizontal="left" vertical="top" wrapText="1"/>
    </xf>
    <xf numFmtId="0" fontId="2" fillId="0" borderId="14" xfId="0" applyFont="1" applyBorder="1" applyAlignment="1">
      <alignment horizontal="left" vertical="top" wrapText="1"/>
    </xf>
    <xf numFmtId="0" fontId="2" fillId="0" borderId="11" xfId="0" applyFont="1" applyBorder="1" applyAlignment="1">
      <alignment horizontal="left" vertical="top" wrapText="1"/>
    </xf>
    <xf numFmtId="0" fontId="3" fillId="2" borderId="5" xfId="2" applyFont="1" applyFill="1" applyBorder="1" applyAlignment="1">
      <alignment horizontal="center" vertical="center" wrapText="1"/>
    </xf>
    <xf numFmtId="0" fontId="3" fillId="2" borderId="7" xfId="2" applyFont="1" applyFill="1" applyBorder="1" applyAlignment="1">
      <alignment horizontal="center" vertical="center" wrapText="1"/>
    </xf>
    <xf numFmtId="0" fontId="3" fillId="0" borderId="5" xfId="2" applyFont="1" applyBorder="1" applyAlignment="1">
      <alignment horizontal="center" vertical="center" wrapText="1"/>
    </xf>
    <xf numFmtId="0" fontId="3" fillId="0" borderId="7" xfId="2" applyFont="1" applyBorder="1" applyAlignment="1">
      <alignment horizontal="center" vertic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2" fillId="0" borderId="12" xfId="0" applyFont="1" applyBorder="1" applyAlignment="1">
      <alignment horizontal="center" wrapText="1"/>
    </xf>
    <xf numFmtId="0" fontId="2" fillId="0" borderId="14" xfId="0" applyFont="1" applyBorder="1" applyAlignment="1">
      <alignment horizontal="center" wrapText="1"/>
    </xf>
    <xf numFmtId="0" fontId="2" fillId="0" borderId="11" xfId="0" applyFont="1" applyBorder="1" applyAlignment="1">
      <alignment horizontal="center" wrapText="1"/>
    </xf>
    <xf numFmtId="0" fontId="2" fillId="0" borderId="5" xfId="0" applyFont="1"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2" fillId="0" borderId="8" xfId="0" applyFon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1" xfId="0" applyBorder="1" applyAlignment="1">
      <alignment horizontal="left" vertical="center" wrapText="1"/>
    </xf>
    <xf numFmtId="0" fontId="3" fillId="2" borderId="6" xfId="2" applyFont="1" applyFill="1" applyBorder="1" applyAlignment="1">
      <alignment horizontal="center" vertical="center" wrapText="1"/>
    </xf>
    <xf numFmtId="0" fontId="14" fillId="0" borderId="8" xfId="2" applyFont="1" applyBorder="1" applyAlignment="1">
      <alignment horizontal="center" vertical="top" wrapText="1"/>
    </xf>
    <xf numFmtId="0" fontId="14" fillId="0" borderId="9" xfId="2" applyFont="1" applyBorder="1" applyAlignment="1">
      <alignment horizontal="center" vertical="top" wrapText="1"/>
    </xf>
    <xf numFmtId="0" fontId="14" fillId="0" borderId="10" xfId="2" applyFont="1" applyBorder="1" applyAlignment="1">
      <alignment horizontal="center" vertical="top" wrapText="1"/>
    </xf>
    <xf numFmtId="0" fontId="14" fillId="0" borderId="12" xfId="2" applyFont="1" applyBorder="1" applyAlignment="1">
      <alignment horizontal="center" vertical="top" wrapText="1"/>
    </xf>
    <xf numFmtId="0" fontId="14" fillId="0" borderId="14" xfId="2" applyFont="1" applyBorder="1" applyAlignment="1">
      <alignment horizontal="center" vertical="top" wrapText="1"/>
    </xf>
    <xf numFmtId="0" fontId="14" fillId="0" borderId="11" xfId="2" applyFont="1" applyBorder="1" applyAlignment="1">
      <alignment horizontal="center" vertical="top" wrapText="1"/>
    </xf>
    <xf numFmtId="0" fontId="3" fillId="2" borderId="19" xfId="2" applyFont="1" applyFill="1" applyBorder="1" applyAlignment="1">
      <alignment horizontal="center" vertical="center" wrapText="1"/>
    </xf>
    <xf numFmtId="0" fontId="3" fillId="2" borderId="13" xfId="2" applyFont="1" applyFill="1" applyBorder="1" applyAlignment="1">
      <alignment horizontal="center" vertical="center" wrapText="1"/>
    </xf>
    <xf numFmtId="0" fontId="3" fillId="2" borderId="2" xfId="2" applyFont="1" applyFill="1" applyBorder="1" applyAlignment="1">
      <alignment horizontal="center" vertical="center" wrapText="1"/>
    </xf>
    <xf numFmtId="0" fontId="4" fillId="2" borderId="12" xfId="2" applyFont="1" applyFill="1" applyBorder="1" applyAlignment="1">
      <alignment horizontal="center" vertical="center"/>
    </xf>
    <xf numFmtId="0" fontId="4" fillId="2" borderId="14" xfId="2" applyFont="1" applyFill="1" applyBorder="1" applyAlignment="1">
      <alignment horizontal="center" vertical="center"/>
    </xf>
    <xf numFmtId="0" fontId="14" fillId="0" borderId="15" xfId="2" applyFont="1" applyBorder="1" applyAlignment="1">
      <alignment horizontal="center" vertical="top" wrapText="1"/>
    </xf>
    <xf numFmtId="0" fontId="14" fillId="0" borderId="0" xfId="2" applyFont="1" applyAlignment="1">
      <alignment horizontal="center" vertical="top" wrapText="1"/>
    </xf>
    <xf numFmtId="0" fontId="14" fillId="0" borderId="12" xfId="2" applyFont="1" applyBorder="1" applyAlignment="1">
      <alignment horizontal="left" vertical="top" wrapText="1"/>
    </xf>
    <xf numFmtId="0" fontId="14" fillId="0" borderId="14" xfId="2" applyFont="1" applyBorder="1" applyAlignment="1">
      <alignment horizontal="left" vertical="top" wrapText="1"/>
    </xf>
    <xf numFmtId="0" fontId="14" fillId="0" borderId="11" xfId="2" applyFont="1" applyBorder="1" applyAlignment="1">
      <alignment horizontal="left" vertical="top" wrapText="1"/>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20" xfId="0" applyFont="1" applyFill="1" applyBorder="1" applyAlignment="1">
      <alignment horizontal="center" vertical="center"/>
    </xf>
    <xf numFmtId="0" fontId="17" fillId="0" borderId="5" xfId="0" applyFont="1" applyBorder="1" applyAlignment="1">
      <alignment horizontal="center"/>
    </xf>
    <xf numFmtId="0" fontId="17" fillId="0" borderId="6" xfId="0" applyFont="1" applyBorder="1" applyAlignment="1">
      <alignment horizontal="center"/>
    </xf>
    <xf numFmtId="0" fontId="17" fillId="0" borderId="7" xfId="0" applyFont="1" applyBorder="1" applyAlignment="1">
      <alignment horizontal="center"/>
    </xf>
    <xf numFmtId="0" fontId="4" fillId="0" borderId="8" xfId="2" applyFont="1" applyBorder="1" applyAlignment="1">
      <alignment horizontal="center" vertical="top" wrapText="1"/>
    </xf>
    <xf numFmtId="0" fontId="4" fillId="0" borderId="9" xfId="2" applyFont="1" applyBorder="1" applyAlignment="1">
      <alignment horizontal="center" vertical="top" wrapText="1"/>
    </xf>
    <xf numFmtId="0" fontId="4" fillId="0" borderId="10" xfId="2" applyFont="1" applyBorder="1" applyAlignment="1">
      <alignment horizontal="center" vertical="top" wrapText="1"/>
    </xf>
    <xf numFmtId="0" fontId="4" fillId="0" borderId="12" xfId="2" applyFont="1" applyBorder="1" applyAlignment="1">
      <alignment horizontal="center" vertical="top" wrapText="1"/>
    </xf>
    <xf numFmtId="0" fontId="4" fillId="0" borderId="14" xfId="2" applyFont="1" applyBorder="1" applyAlignment="1">
      <alignment horizontal="center" vertical="top" wrapText="1"/>
    </xf>
    <xf numFmtId="0" fontId="4" fillId="0" borderId="11" xfId="2" applyFont="1" applyBorder="1" applyAlignment="1">
      <alignment horizontal="center" vertical="top" wrapText="1"/>
    </xf>
    <xf numFmtId="1" fontId="3" fillId="2" borderId="5" xfId="1" applyNumberFormat="1" applyFont="1" applyFill="1" applyBorder="1" applyAlignment="1">
      <alignment horizontal="center" vertical="center"/>
    </xf>
    <xf numFmtId="1" fontId="3" fillId="2" borderId="6" xfId="1" applyNumberFormat="1" applyFont="1" applyFill="1" applyBorder="1" applyAlignment="1">
      <alignment horizontal="center" vertical="center"/>
    </xf>
    <xf numFmtId="1" fontId="3" fillId="2" borderId="7" xfId="1" applyNumberFormat="1" applyFont="1" applyFill="1" applyBorder="1" applyAlignment="1">
      <alignment horizontal="center" vertical="center"/>
    </xf>
    <xf numFmtId="1" fontId="4" fillId="2" borderId="5" xfId="1" applyNumberFormat="1" applyFont="1" applyFill="1" applyBorder="1" applyAlignment="1">
      <alignment horizontal="center" vertical="center"/>
    </xf>
    <xf numFmtId="1" fontId="4" fillId="2" borderId="6" xfId="1" applyNumberFormat="1" applyFont="1" applyFill="1" applyBorder="1" applyAlignment="1">
      <alignment horizontal="center" vertical="center"/>
    </xf>
    <xf numFmtId="1" fontId="4" fillId="2" borderId="7" xfId="1" applyNumberFormat="1" applyFont="1" applyFill="1" applyBorder="1" applyAlignment="1">
      <alignment horizontal="center" vertical="center"/>
    </xf>
    <xf numFmtId="0" fontId="13" fillId="0" borderId="8" xfId="2" applyFont="1" applyBorder="1" applyAlignment="1">
      <alignment horizontal="left" vertical="top" wrapText="1"/>
    </xf>
    <xf numFmtId="0" fontId="13" fillId="0" borderId="9" xfId="2" applyFont="1" applyBorder="1" applyAlignment="1">
      <alignment horizontal="left" vertical="top" wrapText="1"/>
    </xf>
    <xf numFmtId="0" fontId="13" fillId="0" borderId="10" xfId="2" applyFont="1" applyBorder="1" applyAlignment="1">
      <alignment horizontal="left" vertical="top" wrapText="1"/>
    </xf>
    <xf numFmtId="0" fontId="13" fillId="0" borderId="12" xfId="2" applyFont="1" applyBorder="1" applyAlignment="1">
      <alignment horizontal="left" vertical="top" wrapText="1"/>
    </xf>
    <xf numFmtId="0" fontId="13" fillId="0" borderId="14" xfId="2" applyFont="1" applyBorder="1" applyAlignment="1">
      <alignment horizontal="left" vertical="top" wrapText="1"/>
    </xf>
    <xf numFmtId="0" fontId="13" fillId="0" borderId="11" xfId="2" applyFont="1" applyBorder="1" applyAlignment="1">
      <alignment horizontal="left" vertical="top" wrapText="1"/>
    </xf>
    <xf numFmtId="1" fontId="4" fillId="2" borderId="5" xfId="1" applyNumberFormat="1" applyFont="1" applyFill="1" applyBorder="1" applyAlignment="1">
      <alignment horizontal="center" vertical="center" wrapText="1"/>
    </xf>
    <xf numFmtId="1" fontId="4" fillId="2" borderId="6" xfId="1" applyNumberFormat="1" applyFont="1" applyFill="1" applyBorder="1" applyAlignment="1">
      <alignment horizontal="center" vertical="center" wrapText="1"/>
    </xf>
    <xf numFmtId="1" fontId="4" fillId="2" borderId="7" xfId="1" applyNumberFormat="1" applyFont="1" applyFill="1" applyBorder="1" applyAlignment="1">
      <alignment horizontal="center" vertical="center" wrapText="1"/>
    </xf>
    <xf numFmtId="3" fontId="3" fillId="0" borderId="5" xfId="1" applyNumberFormat="1" applyFont="1" applyFill="1" applyBorder="1" applyAlignment="1">
      <alignment horizontal="center" vertical="center" wrapText="1"/>
    </xf>
    <xf numFmtId="3" fontId="3" fillId="0" borderId="6" xfId="1" applyNumberFormat="1" applyFont="1" applyFill="1" applyBorder="1" applyAlignment="1">
      <alignment horizontal="center" vertical="center" wrapText="1"/>
    </xf>
    <xf numFmtId="3" fontId="3" fillId="0" borderId="7" xfId="1" applyNumberFormat="1" applyFont="1" applyFill="1" applyBorder="1" applyAlignment="1">
      <alignment horizontal="center" vertical="center" wrapText="1"/>
    </xf>
    <xf numFmtId="0" fontId="4" fillId="2" borderId="8" xfId="2" applyFont="1" applyFill="1" applyBorder="1" applyAlignment="1">
      <alignment horizontal="center" vertical="center"/>
    </xf>
    <xf numFmtId="0" fontId="4" fillId="2" borderId="9" xfId="2" applyFont="1" applyFill="1" applyBorder="1" applyAlignment="1">
      <alignment horizontal="center" vertical="center"/>
    </xf>
    <xf numFmtId="0" fontId="4" fillId="2" borderId="10" xfId="2" applyFont="1" applyFill="1" applyBorder="1" applyAlignment="1">
      <alignment horizontal="center" vertical="center"/>
    </xf>
    <xf numFmtId="0" fontId="4" fillId="2" borderId="5" xfId="2" applyFont="1" applyFill="1" applyBorder="1" applyAlignment="1">
      <alignment horizontal="center" wrapText="1"/>
    </xf>
    <xf numFmtId="0" fontId="4" fillId="2" borderId="6" xfId="2" applyFont="1" applyFill="1" applyBorder="1" applyAlignment="1">
      <alignment horizontal="center" wrapText="1"/>
    </xf>
    <xf numFmtId="0" fontId="4" fillId="2" borderId="7" xfId="2" applyFont="1" applyFill="1" applyBorder="1" applyAlignment="1">
      <alignment horizontal="center" wrapText="1"/>
    </xf>
    <xf numFmtId="0" fontId="9" fillId="3" borderId="7" xfId="0" applyFont="1" applyFill="1" applyBorder="1" applyAlignment="1">
      <alignment horizontal="center" vertical="center"/>
    </xf>
    <xf numFmtId="0" fontId="7" fillId="0" borderId="5" xfId="4" applyFont="1" applyBorder="1" applyAlignment="1">
      <alignment horizontal="center"/>
    </xf>
    <xf numFmtId="0" fontId="7" fillId="0" borderId="6" xfId="4" applyFont="1" applyBorder="1" applyAlignment="1">
      <alignment horizontal="center"/>
    </xf>
    <xf numFmtId="0" fontId="7" fillId="0" borderId="7" xfId="4"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4" fillId="2" borderId="5" xfId="2" applyFont="1" applyFill="1" applyBorder="1" applyAlignment="1">
      <alignment horizontal="center" vertical="center" wrapText="1"/>
    </xf>
    <xf numFmtId="0" fontId="4" fillId="2" borderId="6" xfId="2" applyFont="1" applyFill="1" applyBorder="1" applyAlignment="1">
      <alignment horizontal="center" vertical="center" wrapText="1"/>
    </xf>
    <xf numFmtId="0" fontId="4" fillId="2" borderId="7" xfId="2" applyFont="1" applyFill="1" applyBorder="1" applyAlignment="1">
      <alignment horizontal="center" vertical="center" wrapText="1"/>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8" fillId="0" borderId="0" xfId="0" applyFont="1" applyBorder="1"/>
    <xf numFmtId="0" fontId="19" fillId="0" borderId="0" xfId="0" applyFont="1" applyBorder="1"/>
    <xf numFmtId="0" fontId="0" fillId="0" borderId="15" xfId="0" applyFill="1" applyBorder="1"/>
    <xf numFmtId="0" fontId="20" fillId="0" borderId="0" xfId="0" applyFont="1" applyBorder="1"/>
    <xf numFmtId="1" fontId="18" fillId="0" borderId="0" xfId="0" applyNumberFormat="1" applyFont="1" applyBorder="1"/>
    <xf numFmtId="0" fontId="0" fillId="0" borderId="0" xfId="0" applyBorder="1"/>
    <xf numFmtId="0" fontId="0" fillId="0" borderId="16" xfId="0" applyBorder="1"/>
    <xf numFmtId="0" fontId="18" fillId="6" borderId="15" xfId="0" applyFont="1" applyFill="1" applyBorder="1"/>
    <xf numFmtId="0" fontId="18" fillId="8" borderId="15" xfId="0" applyFont="1" applyFill="1" applyBorder="1"/>
    <xf numFmtId="0" fontId="18" fillId="0" borderId="16" xfId="0" applyFont="1" applyBorder="1"/>
    <xf numFmtId="0" fontId="18" fillId="0" borderId="15" xfId="0" applyFont="1" applyBorder="1"/>
    <xf numFmtId="0" fontId="12" fillId="0" borderId="14" xfId="0" applyFont="1" applyBorder="1" applyAlignment="1"/>
    <xf numFmtId="0" fontId="12" fillId="0" borderId="11" xfId="0" applyFont="1" applyBorder="1" applyAlignment="1"/>
    <xf numFmtId="0" fontId="19" fillId="0" borderId="6" xfId="0" applyFont="1" applyBorder="1" applyAlignment="1"/>
    <xf numFmtId="0" fontId="19" fillId="0" borderId="7" xfId="0" applyFont="1" applyBorder="1" applyAlignment="1"/>
    <xf numFmtId="0" fontId="18" fillId="0" borderId="0" xfId="0" applyFont="1" applyBorder="1" applyAlignment="1"/>
    <xf numFmtId="0" fontId="12" fillId="0" borderId="0" xfId="0" applyFont="1" applyBorder="1" applyAlignment="1"/>
    <xf numFmtId="0" fontId="12" fillId="0" borderId="16" xfId="0" applyFont="1" applyBorder="1" applyAlignment="1"/>
    <xf numFmtId="0" fontId="18" fillId="9" borderId="15" xfId="0" applyFont="1" applyFill="1" applyBorder="1"/>
    <xf numFmtId="0" fontId="18" fillId="7" borderId="15" xfId="0" applyFont="1" applyFill="1" applyBorder="1"/>
    <xf numFmtId="0" fontId="18" fillId="4" borderId="2" xfId="0" applyFont="1" applyFill="1" applyBorder="1"/>
    <xf numFmtId="0" fontId="18" fillId="5" borderId="15" xfId="0" applyFont="1" applyFill="1" applyBorder="1" applyAlignment="1"/>
    <xf numFmtId="9" fontId="4" fillId="2" borderId="1" xfId="5" applyNumberFormat="1" applyFont="1" applyFill="1" applyBorder="1" applyAlignment="1">
      <alignment horizontal="center" vertical="center"/>
    </xf>
  </cellXfs>
  <cellStyles count="7">
    <cellStyle name="Comma" xfId="1" builtinId="3"/>
    <cellStyle name="Normal" xfId="0" builtinId="0"/>
    <cellStyle name="Normal 2" xfId="2" xr:uid="{00000000-0005-0000-0000-000002000000}"/>
    <cellStyle name="Normal 3" xfId="4" xr:uid="{00000000-0005-0000-0000-000003000000}"/>
    <cellStyle name="Normal 4" xfId="6" xr:uid="{00000000-0005-0000-0000-000004000000}"/>
    <cellStyle name="Normal_TabAnnexeH" xfId="3" xr:uid="{00000000-0005-0000-0000-000005000000}"/>
    <cellStyle name="Per 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00" b="1" i="0" u="none" strike="noStrike" baseline="0">
                <a:solidFill>
                  <a:srgbClr val="000000"/>
                </a:solidFill>
                <a:latin typeface="Arial"/>
                <a:ea typeface="Arial"/>
                <a:cs typeface="Arial"/>
              </a:defRPr>
            </a:pPr>
            <a:r>
              <a:rPr lang="fr-FR" sz="1800" b="1" baseline="0">
                <a:latin typeface="Arial" panose="020B0604020202020204" pitchFamily="34" charset="0"/>
                <a:cs typeface="Arial" panose="020B0604020202020204" pitchFamily="34" charset="0"/>
              </a:rPr>
              <a:t>Figure 0a. </a:t>
            </a:r>
            <a:r>
              <a:rPr lang="en-US" sz="1700" b="1" i="0" u="none" strike="noStrike" baseline="0"/>
              <a:t>Exchange Rate and Purchasing Power Parity: Euro/Dollar</a:t>
            </a:r>
            <a:endParaRPr lang="fr-FR" sz="1800" b="1" baseline="0">
              <a:latin typeface="Arial" panose="020B0604020202020204" pitchFamily="34" charset="0"/>
              <a:cs typeface="Arial" panose="020B0604020202020204" pitchFamily="34" charset="0"/>
            </a:endParaRPr>
          </a:p>
        </c:rich>
      </c:tx>
      <c:layout>
        <c:manualLayout>
          <c:xMode val="edge"/>
          <c:yMode val="edge"/>
          <c:x val="0.13506871949982979"/>
          <c:y val="2.2032644161393842E-3"/>
        </c:manualLayout>
      </c:layout>
      <c:overlay val="0"/>
      <c:spPr>
        <a:noFill/>
        <a:ln w="25400">
          <a:noFill/>
        </a:ln>
      </c:spPr>
    </c:title>
    <c:autoTitleDeleted val="0"/>
    <c:plotArea>
      <c:layout>
        <c:manualLayout>
          <c:layoutTarget val="inner"/>
          <c:xMode val="edge"/>
          <c:yMode val="edge"/>
          <c:x val="0.1130023679065842"/>
          <c:y val="6.5675853018372699E-2"/>
          <c:w val="0.85382081643768204"/>
          <c:h val="0.71041711002340935"/>
        </c:manualLayout>
      </c:layout>
      <c:lineChart>
        <c:grouping val="standard"/>
        <c:varyColors val="0"/>
        <c:ser>
          <c:idx val="1"/>
          <c:order val="0"/>
          <c:tx>
            <c:strRef>
              <c:f>DataF0a!$C$4</c:f>
              <c:strCache>
                <c:ptCount val="1"/>
                <c:pt idx="0">
                  <c:v>Exchange rate euro/dollar</c:v>
                </c:pt>
              </c:strCache>
            </c:strRef>
          </c:tx>
          <c:spPr>
            <a:ln w="50800">
              <a:solidFill>
                <a:srgbClr val="00B0F0"/>
              </a:solidFill>
            </a:ln>
          </c:spPr>
          <c:marker>
            <c:symbol val="none"/>
          </c:marker>
          <c:cat>
            <c:numRef>
              <c:f>DataF0a!$B$5:$B$40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DataF0a!$C$5:$C$40</c:f>
              <c:numCache>
                <c:formatCode>#,##0.00</c:formatCode>
                <c:ptCount val="36"/>
                <c:pt idx="0">
                  <c:v>1.3198069334030151</c:v>
                </c:pt>
                <c:pt idx="1">
                  <c:v>1.2800216674804688</c:v>
                </c:pt>
                <c:pt idx="2">
                  <c:v>1.3417661190032959</c:v>
                </c:pt>
                <c:pt idx="3">
                  <c:v>1.1998587846755981</c:v>
                </c:pt>
                <c:pt idx="4">
                  <c:v>1.2030993700027466</c:v>
                </c:pt>
                <c:pt idx="5">
                  <c:v>1.3085800409317017</c:v>
                </c:pt>
                <c:pt idx="6">
                  <c:v>1.2878895998001099</c:v>
                </c:pt>
                <c:pt idx="7">
                  <c:v>1.129968523979187</c:v>
                </c:pt>
                <c:pt idx="8">
                  <c:v>1.1125752925872803</c:v>
                </c:pt>
                <c:pt idx="9">
                  <c:v>1.0657764673233032</c:v>
                </c:pt>
                <c:pt idx="10">
                  <c:v>0.92361247539520264</c:v>
                </c:pt>
                <c:pt idx="11">
                  <c:v>0.89562958478927612</c:v>
                </c:pt>
                <c:pt idx="12">
                  <c:v>0.94557368755340576</c:v>
                </c:pt>
                <c:pt idx="13">
                  <c:v>1.1311603784561157</c:v>
                </c:pt>
                <c:pt idx="14">
                  <c:v>1.243902325630188</c:v>
                </c:pt>
                <c:pt idx="15">
                  <c:v>1.2440903186798096</c:v>
                </c:pt>
                <c:pt idx="16">
                  <c:v>1.255598783493042</c:v>
                </c:pt>
                <c:pt idx="17">
                  <c:v>1.3704780340194702</c:v>
                </c:pt>
                <c:pt idx="18">
                  <c:v>1.4707554578781128</c:v>
                </c:pt>
                <c:pt idx="19">
                  <c:v>1.3947824239730835</c:v>
                </c:pt>
                <c:pt idx="20">
                  <c:v>1.3257166147232056</c:v>
                </c:pt>
                <c:pt idx="21">
                  <c:v>1.3919552564620972</c:v>
                </c:pt>
                <c:pt idx="22">
                  <c:v>1.2847886085510254</c:v>
                </c:pt>
                <c:pt idx="23">
                  <c:v>1.3281180858612061</c:v>
                </c:pt>
                <c:pt idx="24">
                  <c:v>1.3285007476806641</c:v>
                </c:pt>
                <c:pt idx="25">
                  <c:v>1.1095129251480103</c:v>
                </c:pt>
                <c:pt idx="26">
                  <c:v>1.106903076171875</c:v>
                </c:pt>
                <c:pt idx="27">
                  <c:v>1.1296812295913696</c:v>
                </c:pt>
                <c:pt idx="28">
                  <c:v>1.1809544563293457</c:v>
                </c:pt>
                <c:pt idx="29">
                  <c:v>1.1194745302200317</c:v>
                </c:pt>
                <c:pt idx="30">
                  <c:v>1.1421960592269897</c:v>
                </c:pt>
                <c:pt idx="31">
                  <c:v>1.182740330696106</c:v>
                </c:pt>
                <c:pt idx="32">
                  <c:v>1.0530486106872559</c:v>
                </c:pt>
                <c:pt idx="33">
                  <c:v>1.0812686681747437</c:v>
                </c:pt>
                <c:pt idx="34">
                  <c:v>1.0823805332183838</c:v>
                </c:pt>
                <c:pt idx="35">
                  <c:v>1.1786364316940308</c:v>
                </c:pt>
              </c:numCache>
            </c:numRef>
          </c:val>
          <c:smooth val="1"/>
          <c:extLst>
            <c:ext xmlns:c16="http://schemas.microsoft.com/office/drawing/2014/chart" uri="{C3380CC4-5D6E-409C-BE32-E72D297353CC}">
              <c16:uniqueId val="{00000000-1FE3-134C-BB41-1461947A890B}"/>
            </c:ext>
          </c:extLst>
        </c:ser>
        <c:ser>
          <c:idx val="2"/>
          <c:order val="1"/>
          <c:tx>
            <c:strRef>
              <c:f>DataF0a!$D$4</c:f>
              <c:strCache>
                <c:ptCount val="1"/>
                <c:pt idx="0">
                  <c:v>Purchasing power parity euro/dollar</c:v>
                </c:pt>
              </c:strCache>
            </c:strRef>
          </c:tx>
          <c:spPr>
            <a:ln w="50800">
              <a:solidFill>
                <a:srgbClr val="F90FE3"/>
              </a:solidFill>
            </a:ln>
          </c:spPr>
          <c:marker>
            <c:symbol val="none"/>
          </c:marker>
          <c:cat>
            <c:numRef>
              <c:f>DataF0a!$B$5:$B$40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DataF0a!$D$5:$D$40</c:f>
              <c:numCache>
                <c:formatCode>#,##0.00</c:formatCode>
                <c:ptCount val="36"/>
                <c:pt idx="0">
                  <c:v>1.3722079992294312</c:v>
                </c:pt>
                <c:pt idx="1">
                  <c:v>1.363211989402771</c:v>
                </c:pt>
                <c:pt idx="2">
                  <c:v>1.3375366926193237</c:v>
                </c:pt>
                <c:pt idx="3">
                  <c:v>1.3276162147521973</c:v>
                </c:pt>
                <c:pt idx="4">
                  <c:v>1.3274263143539429</c:v>
                </c:pt>
                <c:pt idx="5">
                  <c:v>1.3234213590621948</c:v>
                </c:pt>
                <c:pt idx="6">
                  <c:v>1.3258106708526611</c:v>
                </c:pt>
                <c:pt idx="7">
                  <c:v>1.3335082530975342</c:v>
                </c:pt>
                <c:pt idx="8">
                  <c:v>1.3308794498443604</c:v>
                </c:pt>
                <c:pt idx="9">
                  <c:v>1.3378733396530151</c:v>
                </c:pt>
                <c:pt idx="10">
                  <c:v>1.3533811569213867</c:v>
                </c:pt>
                <c:pt idx="11">
                  <c:v>1.352347731590271</c:v>
                </c:pt>
                <c:pt idx="12">
                  <c:v>1.3410552740097046</c:v>
                </c:pt>
                <c:pt idx="13">
                  <c:v>1.3392342329025269</c:v>
                </c:pt>
                <c:pt idx="14">
                  <c:v>1.3502275943756104</c:v>
                </c:pt>
                <c:pt idx="15">
                  <c:v>1.369044303894043</c:v>
                </c:pt>
                <c:pt idx="16">
                  <c:v>1.3863877058029175</c:v>
                </c:pt>
                <c:pt idx="17">
                  <c:v>1.3914532661437988</c:v>
                </c:pt>
                <c:pt idx="18">
                  <c:v>1.3917527198791504</c:v>
                </c:pt>
                <c:pt idx="19">
                  <c:v>1.3843719959259033</c:v>
                </c:pt>
                <c:pt idx="20">
                  <c:v>1.3908783197402954</c:v>
                </c:pt>
                <c:pt idx="21">
                  <c:v>1.4052683115005493</c:v>
                </c:pt>
                <c:pt idx="22">
                  <c:v>1.413625955581665</c:v>
                </c:pt>
                <c:pt idx="23">
                  <c:v>1.4189609289169312</c:v>
                </c:pt>
                <c:pt idx="24">
                  <c:v>1.4290434122085571</c:v>
                </c:pt>
                <c:pt idx="25">
                  <c:v>1.4257439374923706</c:v>
                </c:pt>
                <c:pt idx="26">
                  <c:v>1.4265565872192383</c:v>
                </c:pt>
                <c:pt idx="27">
                  <c:v>1.4363670349121094</c:v>
                </c:pt>
                <c:pt idx="28">
                  <c:v>1.4471702575683594</c:v>
                </c:pt>
                <c:pt idx="29">
                  <c:v>1.4465383291244507</c:v>
                </c:pt>
                <c:pt idx="30">
                  <c:v>1.4347444772720337</c:v>
                </c:pt>
                <c:pt idx="31">
                  <c:v>1.4698507785797119</c:v>
                </c:pt>
                <c:pt idx="32">
                  <c:v>1.504199743270874</c:v>
                </c:pt>
                <c:pt idx="33">
                  <c:v>1.4739581346511841</c:v>
                </c:pt>
                <c:pt idx="34">
                  <c:v>1.4683737754821777</c:v>
                </c:pt>
                <c:pt idx="35">
                  <c:v>1.474915623664856</c:v>
                </c:pt>
              </c:numCache>
            </c:numRef>
          </c:val>
          <c:smooth val="0"/>
          <c:extLst>
            <c:ext xmlns:c16="http://schemas.microsoft.com/office/drawing/2014/chart" uri="{C3380CC4-5D6E-409C-BE32-E72D297353CC}">
              <c16:uniqueId val="{00000001-1FE3-134C-BB41-1461947A890B}"/>
            </c:ext>
          </c:extLst>
        </c:ser>
        <c:dLbls>
          <c:showLegendKey val="0"/>
          <c:showVal val="0"/>
          <c:showCatName val="0"/>
          <c:showSerName val="0"/>
          <c:showPercent val="0"/>
          <c:showBubbleSize val="0"/>
        </c:dLbls>
        <c:smooth val="0"/>
        <c:axId val="692303864"/>
        <c:axId val="692307392"/>
      </c:lineChart>
      <c:catAx>
        <c:axId val="692303864"/>
        <c:scaling>
          <c:orientation val="minMax"/>
        </c:scaling>
        <c:delete val="0"/>
        <c:axPos val="b"/>
        <c:majorGridlines>
          <c:spPr>
            <a:ln w="12700">
              <a:solidFill>
                <a:srgbClr val="000000"/>
              </a:solidFill>
              <a:prstDash val="sysDash"/>
            </a:ln>
          </c:spPr>
        </c:majorGridlines>
        <c:minorGridlines>
          <c:spPr>
            <a:ln>
              <a:noFill/>
            </a:ln>
          </c:spPr>
        </c:minorGridlines>
        <c:numFmt formatCode="General"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fr-FR"/>
          </a:p>
        </c:txPr>
        <c:crossAx val="692307392"/>
        <c:crossesAt val="0"/>
        <c:auto val="0"/>
        <c:lblAlgn val="ctr"/>
        <c:lblOffset val="100"/>
        <c:tickLblSkip val="5"/>
        <c:tickMarkSkip val="5"/>
        <c:noMultiLvlLbl val="0"/>
      </c:catAx>
      <c:valAx>
        <c:axId val="692307392"/>
        <c:scaling>
          <c:orientation val="minMax"/>
          <c:min val="0.8"/>
        </c:scaling>
        <c:delete val="0"/>
        <c:axPos val="l"/>
        <c:majorGridlines>
          <c:spPr>
            <a:ln w="12700">
              <a:solidFill>
                <a:srgbClr val="000000"/>
              </a:solidFill>
              <a:prstDash val="sysDash"/>
            </a:ln>
          </c:spPr>
        </c:majorGridlines>
        <c:title>
          <c:tx>
            <c:rich>
              <a:bodyPr/>
              <a:lstStyle/>
              <a:p>
                <a:pPr>
                  <a:defRPr sz="1200"/>
                </a:pPr>
                <a:r>
                  <a:rPr lang="en-US" sz="1200" b="0" i="0" u="none" strike="noStrike" kern="1200" baseline="0">
                    <a:solidFill>
                      <a:srgbClr val="000000"/>
                    </a:solidFill>
                    <a:latin typeface="Arial"/>
                    <a:ea typeface="Arial"/>
                    <a:cs typeface="Arial"/>
                  </a:rPr>
                  <a:t>Dollars</a:t>
                </a:r>
                <a:endParaRPr lang="fr-FR" sz="1200" b="0" i="0" u="none" strike="noStrike" kern="1200" baseline="0">
                  <a:solidFill>
                    <a:srgbClr val="000000"/>
                  </a:solidFill>
                  <a:latin typeface="Arial"/>
                  <a:ea typeface="Arial"/>
                  <a:cs typeface="Arial"/>
                </a:endParaRPr>
              </a:p>
            </c:rich>
          </c:tx>
          <c:overlay val="0"/>
        </c:title>
        <c:numFmt formatCod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fr-FR"/>
          </a:p>
        </c:txPr>
        <c:crossAx val="692303864"/>
        <c:crossesAt val="1"/>
        <c:crossBetween val="midCat"/>
      </c:valAx>
      <c:spPr>
        <a:noFill/>
        <a:ln w="25400">
          <a:solidFill>
            <a:srgbClr val="000000"/>
          </a:solidFill>
        </a:ln>
      </c:spPr>
    </c:plotArea>
    <c:legend>
      <c:legendPos val="l"/>
      <c:layout>
        <c:manualLayout>
          <c:xMode val="edge"/>
          <c:yMode val="edge"/>
          <c:x val="0.44564003820830078"/>
          <c:y val="0.59601642424565826"/>
          <c:w val="0.50582790540102873"/>
          <c:h val="0.16817470893763725"/>
        </c:manualLayout>
      </c:layout>
      <c:overlay val="1"/>
      <c:spPr>
        <a:solidFill>
          <a:schemeClr val="bg1"/>
        </a:solidFill>
        <a:ln w="12700">
          <a:solidFill>
            <a:schemeClr val="tx1"/>
          </a:solidFill>
        </a:ln>
      </c:spPr>
      <c:txPr>
        <a:bodyPr/>
        <a:lstStyle/>
        <a:p>
          <a:pPr>
            <a:defRPr sz="1400" baseline="0"/>
          </a:pPr>
          <a:endParaRPr lang="fr-FR"/>
        </a:p>
      </c:txPr>
    </c:legend>
    <c:plotVisOnly val="1"/>
    <c:dispBlanksAs val="span"/>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fr-F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00" b="1" i="0" u="none" strike="noStrike" baseline="0">
                <a:solidFill>
                  <a:srgbClr val="000000"/>
                </a:solidFill>
                <a:latin typeface="Arial"/>
                <a:ea typeface="Arial"/>
                <a:cs typeface="Arial"/>
              </a:defRPr>
            </a:pPr>
            <a:r>
              <a:rPr lang="fr-FR" sz="1800" b="1" baseline="0">
                <a:latin typeface="Arial" panose="020B0604020202020204" pitchFamily="34" charset="0"/>
                <a:cs typeface="Arial" panose="020B0604020202020204" pitchFamily="34" charset="0"/>
              </a:rPr>
              <a:t>Figure 0b. </a:t>
            </a:r>
            <a:r>
              <a:rPr lang="en-US" sz="1700" b="1" i="0" u="none" strike="noStrike" baseline="0"/>
              <a:t>Exchange Rate and Purchasing Power Parity: Euro/Yuan</a:t>
            </a:r>
            <a:endParaRPr lang="fr-FR" sz="1800" b="1" baseline="0">
              <a:latin typeface="Arial" panose="020B0604020202020204" pitchFamily="34" charset="0"/>
              <a:cs typeface="Arial" panose="020B0604020202020204" pitchFamily="34" charset="0"/>
            </a:endParaRPr>
          </a:p>
        </c:rich>
      </c:tx>
      <c:layout>
        <c:manualLayout>
          <c:xMode val="edge"/>
          <c:yMode val="edge"/>
          <c:x val="0.13506871949982979"/>
          <c:y val="2.2032644161393842E-3"/>
        </c:manualLayout>
      </c:layout>
      <c:overlay val="0"/>
      <c:spPr>
        <a:noFill/>
        <a:ln w="25400">
          <a:noFill/>
        </a:ln>
      </c:spPr>
    </c:title>
    <c:autoTitleDeleted val="0"/>
    <c:plotArea>
      <c:layout>
        <c:manualLayout>
          <c:layoutTarget val="inner"/>
          <c:xMode val="edge"/>
          <c:yMode val="edge"/>
          <c:x val="0.1130023679065842"/>
          <c:y val="6.5675853018372699E-2"/>
          <c:w val="0.85382081643768204"/>
          <c:h val="0.71041711002340935"/>
        </c:manualLayout>
      </c:layout>
      <c:lineChart>
        <c:grouping val="standard"/>
        <c:varyColors val="0"/>
        <c:ser>
          <c:idx val="1"/>
          <c:order val="0"/>
          <c:tx>
            <c:strRef>
              <c:f>DataF0a!$E$4</c:f>
              <c:strCache>
                <c:ptCount val="1"/>
                <c:pt idx="0">
                  <c:v>Exchange rate euro/yuan</c:v>
                </c:pt>
              </c:strCache>
            </c:strRef>
          </c:tx>
          <c:spPr>
            <a:ln w="50800">
              <a:solidFill>
                <a:srgbClr val="00B0F0"/>
              </a:solidFill>
            </a:ln>
          </c:spPr>
          <c:marker>
            <c:symbol val="none"/>
          </c:marker>
          <c:cat>
            <c:numRef>
              <c:f>DataF0a!$B$5:$B$40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DataF0a!$E$5:$E$40</c:f>
              <c:numCache>
                <c:formatCode>#,##0.00</c:formatCode>
                <c:ptCount val="36"/>
                <c:pt idx="0">
                  <c:v>6.3129115104675293</c:v>
                </c:pt>
                <c:pt idx="1">
                  <c:v>6.814056396484375</c:v>
                </c:pt>
                <c:pt idx="2">
                  <c:v>7.3992924690246582</c:v>
                </c:pt>
                <c:pt idx="3">
                  <c:v>6.9135360717773438</c:v>
                </c:pt>
                <c:pt idx="4">
                  <c:v>10.369204521179199</c:v>
                </c:pt>
                <c:pt idx="5">
                  <c:v>10.928497314453125</c:v>
                </c:pt>
                <c:pt idx="6">
                  <c:v>10.707738876342773</c:v>
                </c:pt>
                <c:pt idx="7">
                  <c:v>9.3672323226928711</c:v>
                </c:pt>
                <c:pt idx="8">
                  <c:v>9.2109642028808594</c:v>
                </c:pt>
                <c:pt idx="9">
                  <c:v>8.8227634429931641</c:v>
                </c:pt>
                <c:pt idx="10">
                  <c:v>7.6461300849914551</c:v>
                </c:pt>
                <c:pt idx="11">
                  <c:v>7.4131870269775391</c:v>
                </c:pt>
                <c:pt idx="12">
                  <c:v>7.8264732360839844</c:v>
                </c:pt>
                <c:pt idx="13">
                  <c:v>9.3626556396484375</c:v>
                </c:pt>
                <c:pt idx="14">
                  <c:v>10.2955322265625</c:v>
                </c:pt>
                <c:pt idx="15">
                  <c:v>10.194470405578613</c:v>
                </c:pt>
                <c:pt idx="16">
                  <c:v>10.011439323425293</c:v>
                </c:pt>
                <c:pt idx="17">
                  <c:v>10.425955772399902</c:v>
                </c:pt>
                <c:pt idx="18">
                  <c:v>10.219772338867188</c:v>
                </c:pt>
                <c:pt idx="19">
                  <c:v>9.5283393859863281</c:v>
                </c:pt>
                <c:pt idx="20">
                  <c:v>8.9754581451416016</c:v>
                </c:pt>
                <c:pt idx="21">
                  <c:v>8.9940652847290039</c:v>
                </c:pt>
                <c:pt idx="22">
                  <c:v>8.1100130081176758</c:v>
                </c:pt>
                <c:pt idx="23">
                  <c:v>8.22869873046875</c:v>
                </c:pt>
                <c:pt idx="24">
                  <c:v>8.1615571975708008</c:v>
                </c:pt>
                <c:pt idx="25">
                  <c:v>6.9094791412353516</c:v>
                </c:pt>
                <c:pt idx="26">
                  <c:v>7.354792594909668</c:v>
                </c:pt>
                <c:pt idx="27">
                  <c:v>7.6352396011352539</c:v>
                </c:pt>
                <c:pt idx="28">
                  <c:v>7.8131442070007324</c:v>
                </c:pt>
                <c:pt idx="29">
                  <c:v>7.7337608337402344</c:v>
                </c:pt>
                <c:pt idx="30">
                  <c:v>7.8820300102233887</c:v>
                </c:pt>
                <c:pt idx="31">
                  <c:v>7.6274628639221191</c:v>
                </c:pt>
                <c:pt idx="32">
                  <c:v>7.0945549011230469</c:v>
                </c:pt>
                <c:pt idx="33">
                  <c:v>7.6597046852111816</c:v>
                </c:pt>
                <c:pt idx="34">
                  <c:v>7.7904243469238281</c:v>
                </c:pt>
                <c:pt idx="35">
                  <c:v>8.4438695907592773</c:v>
                </c:pt>
              </c:numCache>
            </c:numRef>
          </c:val>
          <c:smooth val="1"/>
          <c:extLst>
            <c:ext xmlns:c16="http://schemas.microsoft.com/office/drawing/2014/chart" uri="{C3380CC4-5D6E-409C-BE32-E72D297353CC}">
              <c16:uniqueId val="{00000000-1F69-FA48-9FF7-1303A4574E82}"/>
            </c:ext>
          </c:extLst>
        </c:ser>
        <c:ser>
          <c:idx val="2"/>
          <c:order val="1"/>
          <c:tx>
            <c:strRef>
              <c:f>DataF0a!$F$4</c:f>
              <c:strCache>
                <c:ptCount val="1"/>
                <c:pt idx="0">
                  <c:v>Purchasing power parity euro/yuan</c:v>
                </c:pt>
              </c:strCache>
            </c:strRef>
          </c:tx>
          <c:spPr>
            <a:ln w="50800">
              <a:solidFill>
                <a:srgbClr val="F90FE3"/>
              </a:solidFill>
            </a:ln>
          </c:spPr>
          <c:marker>
            <c:symbol val="none"/>
          </c:marker>
          <c:cat>
            <c:numRef>
              <c:f>DataF0a!$B$5:$B$40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DataF0a!$F$5:$F$40</c:f>
              <c:numCache>
                <c:formatCode>#,##0.00</c:formatCode>
                <c:ptCount val="36"/>
                <c:pt idx="0">
                  <c:v>1.6601443290710449</c:v>
                </c:pt>
                <c:pt idx="1">
                  <c:v>1.7430335283279419</c:v>
                </c:pt>
                <c:pt idx="2">
                  <c:v>1.887271523475647</c:v>
                </c:pt>
                <c:pt idx="3">
                  <c:v>2.1704928874969482</c:v>
                </c:pt>
                <c:pt idx="4">
                  <c:v>2.6680018901824951</c:v>
                </c:pt>
                <c:pt idx="5">
                  <c:v>2.8944542407989502</c:v>
                </c:pt>
                <c:pt idx="6">
                  <c:v>3.2167997360229492</c:v>
                </c:pt>
                <c:pt idx="7">
                  <c:v>3.2970530986785889</c:v>
                </c:pt>
                <c:pt idx="8">
                  <c:v>3.4617130756378174</c:v>
                </c:pt>
                <c:pt idx="9">
                  <c:v>3.4397454261779785</c:v>
                </c:pt>
                <c:pt idx="10">
                  <c:v>3.5399935245513916</c:v>
                </c:pt>
                <c:pt idx="11">
                  <c:v>3.5765097141265869</c:v>
                </c:pt>
                <c:pt idx="12">
                  <c:v>3.4636774063110352</c:v>
                </c:pt>
                <c:pt idx="13">
                  <c:v>3.5178201198577881</c:v>
                </c:pt>
                <c:pt idx="14">
                  <c:v>3.6714582443237305</c:v>
                </c:pt>
                <c:pt idx="15">
                  <c:v>3.8474175930023193</c:v>
                </c:pt>
                <c:pt idx="16">
                  <c:v>3.9479429721832275</c:v>
                </c:pt>
                <c:pt idx="17">
                  <c:v>4.2289905548095703</c:v>
                </c:pt>
                <c:pt idx="18">
                  <c:v>4.6464333534240723</c:v>
                </c:pt>
                <c:pt idx="19">
                  <c:v>4.6390829086303711</c:v>
                </c:pt>
                <c:pt idx="20">
                  <c:v>4.9825634956359863</c:v>
                </c:pt>
                <c:pt idx="21">
                  <c:v>5.4098129272460938</c:v>
                </c:pt>
                <c:pt idx="22">
                  <c:v>5.5164017677307129</c:v>
                </c:pt>
                <c:pt idx="23">
                  <c:v>5.5751848220825195</c:v>
                </c:pt>
                <c:pt idx="24">
                  <c:v>5.5885295867919922</c:v>
                </c:pt>
                <c:pt idx="25">
                  <c:v>5.5319380760192871</c:v>
                </c:pt>
                <c:pt idx="26">
                  <c:v>5.5639948844909668</c:v>
                </c:pt>
                <c:pt idx="27">
                  <c:v>5.7318820953369141</c:v>
                </c:pt>
                <c:pt idx="28">
                  <c:v>5.8414435386657715</c:v>
                </c:pt>
                <c:pt idx="29">
                  <c:v>5.8196558952331543</c:v>
                </c:pt>
                <c:pt idx="30">
                  <c:v>5.7257966995239258</c:v>
                </c:pt>
                <c:pt idx="31">
                  <c:v>5.860896110534668</c:v>
                </c:pt>
                <c:pt idx="32">
                  <c:v>5.7079038619995117</c:v>
                </c:pt>
                <c:pt idx="33">
                  <c:v>5.366243839263916</c:v>
                </c:pt>
                <c:pt idx="34">
                  <c:v>5.1795616149902344</c:v>
                </c:pt>
                <c:pt idx="35">
                  <c:v>5.0082645416259766</c:v>
                </c:pt>
              </c:numCache>
            </c:numRef>
          </c:val>
          <c:smooth val="0"/>
          <c:extLst>
            <c:ext xmlns:c16="http://schemas.microsoft.com/office/drawing/2014/chart" uri="{C3380CC4-5D6E-409C-BE32-E72D297353CC}">
              <c16:uniqueId val="{00000001-1F69-FA48-9FF7-1303A4574E82}"/>
            </c:ext>
          </c:extLst>
        </c:ser>
        <c:dLbls>
          <c:showLegendKey val="0"/>
          <c:showVal val="0"/>
          <c:showCatName val="0"/>
          <c:showSerName val="0"/>
          <c:showPercent val="0"/>
          <c:showBubbleSize val="0"/>
        </c:dLbls>
        <c:smooth val="0"/>
        <c:axId val="692303864"/>
        <c:axId val="692307392"/>
      </c:lineChart>
      <c:catAx>
        <c:axId val="692303864"/>
        <c:scaling>
          <c:orientation val="minMax"/>
        </c:scaling>
        <c:delete val="0"/>
        <c:axPos val="b"/>
        <c:majorGridlines>
          <c:spPr>
            <a:ln w="12700">
              <a:solidFill>
                <a:srgbClr val="000000"/>
              </a:solidFill>
              <a:prstDash val="sysDash"/>
            </a:ln>
          </c:spPr>
        </c:majorGridlines>
        <c:minorGridlines>
          <c:spPr>
            <a:ln>
              <a:noFill/>
            </a:ln>
          </c:spPr>
        </c:minorGridlines>
        <c:numFmt formatCode="General"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fr-FR"/>
          </a:p>
        </c:txPr>
        <c:crossAx val="692307392"/>
        <c:crossesAt val="0"/>
        <c:auto val="0"/>
        <c:lblAlgn val="ctr"/>
        <c:lblOffset val="100"/>
        <c:tickLblSkip val="5"/>
        <c:tickMarkSkip val="5"/>
        <c:noMultiLvlLbl val="0"/>
      </c:catAx>
      <c:valAx>
        <c:axId val="692307392"/>
        <c:scaling>
          <c:orientation val="minMax"/>
          <c:min val="0.8"/>
        </c:scaling>
        <c:delete val="0"/>
        <c:axPos val="l"/>
        <c:majorGridlines>
          <c:spPr>
            <a:ln w="12700">
              <a:solidFill>
                <a:srgbClr val="000000"/>
              </a:solidFill>
              <a:prstDash val="sysDash"/>
            </a:ln>
          </c:spPr>
        </c:majorGridlines>
        <c:title>
          <c:tx>
            <c:rich>
              <a:bodyPr/>
              <a:lstStyle/>
              <a:p>
                <a:pPr>
                  <a:defRPr sz="1200"/>
                </a:pPr>
                <a:r>
                  <a:rPr lang="en-US" sz="1200" b="0" i="0" u="none" strike="noStrike" kern="1200" baseline="0">
                    <a:solidFill>
                      <a:srgbClr val="000000"/>
                    </a:solidFill>
                    <a:latin typeface="Arial"/>
                    <a:ea typeface="Arial"/>
                    <a:cs typeface="Arial"/>
                  </a:rPr>
                  <a:t>Yuans</a:t>
                </a:r>
                <a:endParaRPr lang="fr-FR" sz="1200" b="0" i="0" u="none" strike="noStrike" kern="1200" baseline="0">
                  <a:solidFill>
                    <a:srgbClr val="000000"/>
                  </a:solidFill>
                  <a:latin typeface="Arial"/>
                  <a:ea typeface="Arial"/>
                  <a:cs typeface="Arial"/>
                </a:endParaRPr>
              </a:p>
            </c:rich>
          </c:tx>
          <c:overlay val="0"/>
        </c:title>
        <c:numFmt formatCod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fr-FR"/>
          </a:p>
        </c:txPr>
        <c:crossAx val="692303864"/>
        <c:crossesAt val="1"/>
        <c:crossBetween val="midCat"/>
      </c:valAx>
      <c:spPr>
        <a:noFill/>
        <a:ln w="25400">
          <a:solidFill>
            <a:srgbClr val="000000"/>
          </a:solidFill>
        </a:ln>
      </c:spPr>
    </c:plotArea>
    <c:legend>
      <c:legendPos val="l"/>
      <c:layout>
        <c:manualLayout>
          <c:xMode val="edge"/>
          <c:yMode val="edge"/>
          <c:x val="0.52890109176875977"/>
          <c:y val="0.59601642424565826"/>
          <c:w val="0.42256689238934969"/>
          <c:h val="0.16817470893763725"/>
        </c:manualLayout>
      </c:layout>
      <c:overlay val="1"/>
      <c:spPr>
        <a:solidFill>
          <a:schemeClr val="bg1"/>
        </a:solidFill>
        <a:ln w="12700">
          <a:solidFill>
            <a:schemeClr val="tx1"/>
          </a:solidFill>
        </a:ln>
      </c:spPr>
      <c:txPr>
        <a:bodyPr/>
        <a:lstStyle/>
        <a:p>
          <a:pPr>
            <a:defRPr sz="1400" baseline="0"/>
          </a:pPr>
          <a:endParaRPr lang="fr-FR"/>
        </a:p>
      </c:txPr>
    </c:legend>
    <c:plotVisOnly val="1"/>
    <c:dispBlanksAs val="span"/>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fr-FR"/>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1651000" y="1333500"/>
    <xdr:ext cx="9159875" cy="5667375"/>
    <xdr:graphicFrame macro="">
      <xdr:nvGraphicFramePr>
        <xdr:cNvPr id="2" name="Chart 1">
          <a:extLst>
            <a:ext uri="{FF2B5EF4-FFF2-40B4-BE49-F238E27FC236}">
              <a16:creationId xmlns:a16="http://schemas.microsoft.com/office/drawing/2014/main" id="{8EDE180F-0D64-AB45-BB82-0623E5A1704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0.06104</cdr:x>
      <cdr:y>0.87669</cdr:y>
    </cdr:from>
    <cdr:to>
      <cdr:x>1</cdr:x>
      <cdr:y>1</cdr:y>
    </cdr:to>
    <cdr:sp macro="" textlink="">
      <cdr:nvSpPr>
        <cdr:cNvPr id="2" name="ZoneTexte 1"/>
        <cdr:cNvSpPr txBox="1"/>
      </cdr:nvSpPr>
      <cdr:spPr>
        <a:xfrm xmlns:a="http://schemas.openxmlformats.org/drawingml/2006/main">
          <a:off x="556260" y="4930140"/>
          <a:ext cx="8557260" cy="693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sz="1100"/>
        </a:p>
      </cdr:txBody>
    </cdr:sp>
  </cdr:relSizeAnchor>
  <cdr:relSizeAnchor xmlns:cdr="http://schemas.openxmlformats.org/drawingml/2006/chartDrawing">
    <cdr:from>
      <cdr:x>0.00376</cdr:x>
      <cdr:y>0.95687</cdr:y>
    </cdr:from>
    <cdr:to>
      <cdr:x>0.98453</cdr:x>
      <cdr:y>1</cdr:y>
    </cdr:to>
    <cdr:sp macro="" textlink="">
      <cdr:nvSpPr>
        <cdr:cNvPr id="3" name="ZoneTexte 2"/>
        <cdr:cNvSpPr txBox="1"/>
      </cdr:nvSpPr>
      <cdr:spPr>
        <a:xfrm xmlns:a="http://schemas.openxmlformats.org/drawingml/2006/main">
          <a:off x="34364" y="5410200"/>
          <a:ext cx="8971897"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fr-FR" sz="13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0.01333</cdr:x>
      <cdr:y>0.8424</cdr:y>
    </cdr:from>
    <cdr:to>
      <cdr:x>0.97192</cdr:x>
      <cdr:y>0.94069</cdr:y>
    </cdr:to>
    <cdr:sp macro="" textlink="">
      <cdr:nvSpPr>
        <cdr:cNvPr id="4" name="Rectangle 3"/>
        <cdr:cNvSpPr/>
      </cdr:nvSpPr>
      <cdr:spPr>
        <a:xfrm xmlns:a="http://schemas.openxmlformats.org/drawingml/2006/main">
          <a:off x="121622" y="4746746"/>
          <a:ext cx="8746125" cy="553833"/>
        </a:xfrm>
        <a:prstGeom xmlns:a="http://schemas.openxmlformats.org/drawingml/2006/main" prst="rect">
          <a:avLst/>
        </a:prstGeom>
        <a:noFill xmlns:a="http://schemas.openxmlformats.org/drawingml/2006/main"/>
        <a:ln xmlns:a="http://schemas.openxmlformats.org/drawingml/2006/main" w="15875">
          <a:solidFill>
            <a:sysClr val="windowText" lastClr="000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rtl="0"/>
          <a:r>
            <a:rPr lang="fr-FR" sz="1100" b="1" i="0" baseline="0">
              <a:solidFill>
                <a:schemeClr val="tx1"/>
              </a:solidFill>
              <a:effectLst/>
              <a:latin typeface="Arial" panose="020B0604020202020204" pitchFamily="34" charset="0"/>
              <a:ea typeface="+mn-ea"/>
              <a:cs typeface="Arial" panose="020B0604020202020204" pitchFamily="34" charset="0"/>
            </a:rPr>
            <a:t>Interpretation</a:t>
          </a:r>
          <a:r>
            <a:rPr lang="fr-FR" sz="1100" b="0" i="0" baseline="0">
              <a:solidFill>
                <a:schemeClr val="tx1"/>
              </a:solidFill>
              <a:effectLst/>
              <a:latin typeface="Arial" panose="020B0604020202020204" pitchFamily="34" charset="0"/>
              <a:ea typeface="+mn-ea"/>
              <a:cs typeface="Arial" panose="020B0604020202020204" pitchFamily="34" charset="0"/>
            </a:rPr>
            <a:t>. </a:t>
          </a:r>
          <a:r>
            <a:rPr lang="en-US">
              <a:solidFill>
                <a:schemeClr val="tx1"/>
              </a:solidFill>
              <a:latin typeface="Arial" panose="020B0604020202020204" pitchFamily="34" charset="0"/>
              <a:cs typeface="Arial" panose="020B0604020202020204" pitchFamily="34" charset="0"/>
            </a:rPr>
            <a:t>In 2025, 1 euro is worth 1.18 dollars according to current exchange rate, but 1.47 dollars in purchasing power partity.</a:t>
          </a:r>
          <a:r>
            <a:rPr lang="fr-FR" sz="1100" b="0" i="0" baseline="0">
              <a:solidFill>
                <a:schemeClr val="tx1"/>
              </a:solidFill>
              <a:effectLst/>
              <a:latin typeface="Arial" panose="020B0604020202020204" pitchFamily="34" charset="0"/>
              <a:ea typeface="+mn-ea"/>
              <a:cs typeface="Arial" panose="020B0604020202020204" pitchFamily="34" charset="0"/>
            </a:rPr>
            <a:t> </a:t>
          </a:r>
          <a:r>
            <a:rPr lang="fr-FR" sz="1100" b="1" i="0" baseline="0">
              <a:solidFill>
                <a:schemeClr val="tx1"/>
              </a:solidFill>
              <a:effectLst/>
              <a:latin typeface="Arial Narrow" panose="020B0606020202030204" pitchFamily="34" charset="0"/>
              <a:ea typeface="+mn-ea"/>
              <a:cs typeface="Arial" panose="020B0604020202020204" pitchFamily="34" charset="0"/>
            </a:rPr>
            <a:t>Sources and series</a:t>
          </a:r>
          <a:r>
            <a:rPr lang="fr-FR" sz="1100" b="0" i="0" baseline="0">
              <a:solidFill>
                <a:schemeClr val="tx1"/>
              </a:solidFill>
              <a:effectLst/>
              <a:latin typeface="Arial Narrow" panose="020B0606020202030204" pitchFamily="34" charset="0"/>
              <a:ea typeface="+mn-ea"/>
              <a:cs typeface="Arial" panose="020B0604020202020204" pitchFamily="34" charset="0"/>
            </a:rPr>
            <a:t>: wid.world</a:t>
          </a:r>
          <a:r>
            <a:rPr lang="fr-FR" sz="1100" b="0" i="0" baseline="0">
              <a:solidFill>
                <a:schemeClr val="lt1"/>
              </a:solidFill>
              <a:effectLst/>
              <a:latin typeface="Arial Narrow" panose="020B0606020202030204" pitchFamily="34" charset="0"/>
              <a:ea typeface="+mn-ea"/>
              <a:cs typeface="+mn-cs"/>
            </a:rPr>
            <a:t>t </a:t>
          </a:r>
          <a:endParaRPr lang="fr-FR" sz="1100">
            <a:effectLst/>
            <a:latin typeface="Arial Narrow" panose="020B060602020203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825500" y="381000"/>
    <xdr:ext cx="9159875" cy="5667375"/>
    <xdr:graphicFrame macro="">
      <xdr:nvGraphicFramePr>
        <xdr:cNvPr id="2" name="Chart 1">
          <a:extLst>
            <a:ext uri="{FF2B5EF4-FFF2-40B4-BE49-F238E27FC236}">
              <a16:creationId xmlns:a16="http://schemas.microsoft.com/office/drawing/2014/main" id="{B3F156E8-064C-364E-9B82-DBE0FDCC14F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0.06104</cdr:x>
      <cdr:y>0.87669</cdr:y>
    </cdr:from>
    <cdr:to>
      <cdr:x>1</cdr:x>
      <cdr:y>1</cdr:y>
    </cdr:to>
    <cdr:sp macro="" textlink="">
      <cdr:nvSpPr>
        <cdr:cNvPr id="2" name="ZoneTexte 1"/>
        <cdr:cNvSpPr txBox="1"/>
      </cdr:nvSpPr>
      <cdr:spPr>
        <a:xfrm xmlns:a="http://schemas.openxmlformats.org/drawingml/2006/main">
          <a:off x="556260" y="4930140"/>
          <a:ext cx="8557260" cy="693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sz="1100"/>
        </a:p>
      </cdr:txBody>
    </cdr:sp>
  </cdr:relSizeAnchor>
  <cdr:relSizeAnchor xmlns:cdr="http://schemas.openxmlformats.org/drawingml/2006/chartDrawing">
    <cdr:from>
      <cdr:x>0.00376</cdr:x>
      <cdr:y>0.95687</cdr:y>
    </cdr:from>
    <cdr:to>
      <cdr:x>0.98453</cdr:x>
      <cdr:y>1</cdr:y>
    </cdr:to>
    <cdr:sp macro="" textlink="">
      <cdr:nvSpPr>
        <cdr:cNvPr id="3" name="ZoneTexte 2"/>
        <cdr:cNvSpPr txBox="1"/>
      </cdr:nvSpPr>
      <cdr:spPr>
        <a:xfrm xmlns:a="http://schemas.openxmlformats.org/drawingml/2006/main">
          <a:off x="34364" y="5410200"/>
          <a:ext cx="8971897"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fr-FR" sz="13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0.01333</cdr:x>
      <cdr:y>0.8424</cdr:y>
    </cdr:from>
    <cdr:to>
      <cdr:x>0.97192</cdr:x>
      <cdr:y>0.94069</cdr:y>
    </cdr:to>
    <cdr:sp macro="" textlink="">
      <cdr:nvSpPr>
        <cdr:cNvPr id="4" name="Rectangle 3"/>
        <cdr:cNvSpPr/>
      </cdr:nvSpPr>
      <cdr:spPr>
        <a:xfrm xmlns:a="http://schemas.openxmlformats.org/drawingml/2006/main">
          <a:off x="121622" y="4746746"/>
          <a:ext cx="8746125" cy="553833"/>
        </a:xfrm>
        <a:prstGeom xmlns:a="http://schemas.openxmlformats.org/drawingml/2006/main" prst="rect">
          <a:avLst/>
        </a:prstGeom>
        <a:noFill xmlns:a="http://schemas.openxmlformats.org/drawingml/2006/main"/>
        <a:ln xmlns:a="http://schemas.openxmlformats.org/drawingml/2006/main" w="15875">
          <a:solidFill>
            <a:sysClr val="windowText" lastClr="000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rtl="0"/>
          <a:r>
            <a:rPr lang="fr-FR" sz="1100" b="1" i="0" baseline="0">
              <a:solidFill>
                <a:schemeClr val="tx1"/>
              </a:solidFill>
              <a:effectLst/>
              <a:latin typeface="Arial" panose="020B0604020202020204" pitchFamily="34" charset="0"/>
              <a:ea typeface="+mn-ea"/>
              <a:cs typeface="Arial" panose="020B0604020202020204" pitchFamily="34" charset="0"/>
            </a:rPr>
            <a:t>Interpretation</a:t>
          </a:r>
          <a:r>
            <a:rPr lang="fr-FR" sz="1100" b="0" i="0" baseline="0">
              <a:solidFill>
                <a:schemeClr val="tx1"/>
              </a:solidFill>
              <a:effectLst/>
              <a:latin typeface="Arial" panose="020B0604020202020204" pitchFamily="34" charset="0"/>
              <a:ea typeface="+mn-ea"/>
              <a:cs typeface="Arial" panose="020B0604020202020204" pitchFamily="34" charset="0"/>
            </a:rPr>
            <a:t>. </a:t>
          </a:r>
          <a:r>
            <a:rPr lang="en-US">
              <a:solidFill>
                <a:schemeClr val="tx1"/>
              </a:solidFill>
              <a:latin typeface="Arial" panose="020B0604020202020204" pitchFamily="34" charset="0"/>
              <a:cs typeface="Arial" panose="020B0604020202020204" pitchFamily="34" charset="0"/>
            </a:rPr>
            <a:t>In 2025, 1 euro is worth 8.44 yuans according to current exchange rate, but 5.01 yuans in purchasing power partity.</a:t>
          </a:r>
          <a:r>
            <a:rPr lang="fr-FR" sz="1100" b="0" i="0" baseline="0">
              <a:solidFill>
                <a:schemeClr val="tx1"/>
              </a:solidFill>
              <a:effectLst/>
              <a:latin typeface="Arial" panose="020B0604020202020204" pitchFamily="34" charset="0"/>
              <a:ea typeface="+mn-ea"/>
              <a:cs typeface="Arial" panose="020B0604020202020204" pitchFamily="34" charset="0"/>
            </a:rPr>
            <a:t> </a:t>
          </a:r>
          <a:r>
            <a:rPr lang="fr-FR" sz="1100" b="1" i="0" baseline="0">
              <a:solidFill>
                <a:schemeClr val="tx1"/>
              </a:solidFill>
              <a:effectLst/>
              <a:latin typeface="Arial Narrow" panose="020B0606020202030204" pitchFamily="34" charset="0"/>
              <a:ea typeface="+mn-ea"/>
              <a:cs typeface="Arial" panose="020B0604020202020204" pitchFamily="34" charset="0"/>
            </a:rPr>
            <a:t>Sources and series</a:t>
          </a:r>
          <a:r>
            <a:rPr lang="fr-FR" sz="1100" b="0" i="0" baseline="0">
              <a:solidFill>
                <a:schemeClr val="tx1"/>
              </a:solidFill>
              <a:effectLst/>
              <a:latin typeface="Arial Narrow" panose="020B0606020202030204" pitchFamily="34" charset="0"/>
              <a:ea typeface="+mn-ea"/>
              <a:cs typeface="Arial" panose="020B0604020202020204" pitchFamily="34" charset="0"/>
            </a:rPr>
            <a:t>: wid.world</a:t>
          </a:r>
          <a:r>
            <a:rPr lang="fr-FR" sz="1100" b="0" i="0" baseline="0">
              <a:solidFill>
                <a:schemeClr val="lt1"/>
              </a:solidFill>
              <a:effectLst/>
              <a:latin typeface="Arial Narrow" panose="020B0606020202030204" pitchFamily="34" charset="0"/>
              <a:ea typeface="+mn-ea"/>
              <a:cs typeface="+mn-cs"/>
            </a:rPr>
            <a:t>t </a:t>
          </a:r>
          <a:endParaRPr lang="fr-FR" sz="1100">
            <a:effectLst/>
            <a:latin typeface="Arial Narrow" panose="020B0606020202030204" pitchFamily="34"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E694-DF67-9E40-8DD8-518C54B6F909}">
  <dimension ref="A1:J47"/>
  <sheetViews>
    <sheetView workbookViewId="0">
      <selection activeCell="B10" sqref="B10"/>
    </sheetView>
  </sheetViews>
  <sheetFormatPr baseColWidth="10" defaultRowHeight="15" x14ac:dyDescent="0.2"/>
  <cols>
    <col min="1" max="1" width="5.33203125" customWidth="1"/>
    <col min="8" max="8" width="14.1640625" customWidth="1"/>
    <col min="9" max="9" width="13.33203125" bestFit="1" customWidth="1"/>
  </cols>
  <sheetData>
    <row r="1" spans="1:10" ht="16" x14ac:dyDescent="0.2">
      <c r="A1" s="44" t="s">
        <v>746</v>
      </c>
    </row>
    <row r="2" spans="1:10" ht="16" x14ac:dyDescent="0.2">
      <c r="A2" s="45" t="s">
        <v>660</v>
      </c>
    </row>
    <row r="3" spans="1:10" ht="16" thickBot="1" x14ac:dyDescent="0.25"/>
    <row r="4" spans="1:10" ht="16" thickBot="1" x14ac:dyDescent="0.25">
      <c r="A4" s="133" t="s">
        <v>533</v>
      </c>
      <c r="B4" s="134"/>
      <c r="C4" s="134"/>
      <c r="D4" s="134"/>
      <c r="E4" s="134"/>
      <c r="F4" s="134"/>
      <c r="G4" s="134"/>
      <c r="H4" s="135"/>
    </row>
    <row r="5" spans="1:10" ht="16" thickBot="1" x14ac:dyDescent="0.25">
      <c r="A5" s="133" t="s">
        <v>530</v>
      </c>
      <c r="B5" s="134"/>
      <c r="C5" s="249"/>
      <c r="D5" s="249"/>
      <c r="E5" s="249"/>
      <c r="F5" s="249"/>
      <c r="G5" s="249"/>
      <c r="H5" s="250"/>
      <c r="I5" s="52"/>
    </row>
    <row r="6" spans="1:10" x14ac:dyDescent="0.2">
      <c r="A6" s="256">
        <v>1</v>
      </c>
      <c r="B6" s="238" t="str">
        <f>'T1'!A1</f>
        <v>Table 1. Gross domestic product by World Region USD-EUR (2025)</v>
      </c>
      <c r="C6" s="254"/>
      <c r="D6" s="254"/>
      <c r="E6" s="254"/>
      <c r="F6" s="254"/>
      <c r="G6" s="254"/>
      <c r="H6" s="255"/>
      <c r="I6" s="52"/>
    </row>
    <row r="7" spans="1:10" x14ac:dyDescent="0.2">
      <c r="A7" s="256">
        <v>2</v>
      </c>
      <c r="B7" s="238" t="str">
        <f>T1a!A1</f>
        <v>Table 1a. Per capita gross domestic product by World Region USD-EUR (2025)</v>
      </c>
      <c r="C7" s="254"/>
      <c r="D7" s="254"/>
      <c r="E7" s="254"/>
      <c r="F7" s="254"/>
      <c r="G7" s="254"/>
      <c r="H7" s="255"/>
      <c r="I7" s="52"/>
    </row>
    <row r="8" spans="1:10" x14ac:dyDescent="0.2">
      <c r="A8" s="256">
        <v>3</v>
      </c>
      <c r="B8" s="238" t="str">
        <f>'T2'!A1</f>
        <v>Table 2. Consumption of Fixed Capital by World Region USD-EUR (2025)</v>
      </c>
      <c r="C8" s="254"/>
      <c r="D8" s="254"/>
      <c r="E8" s="254"/>
      <c r="F8" s="254"/>
      <c r="G8" s="254"/>
      <c r="H8" s="255"/>
      <c r="I8" s="52"/>
    </row>
    <row r="9" spans="1:10" ht="15" customHeight="1" x14ac:dyDescent="0.2">
      <c r="A9" s="256">
        <v>4</v>
      </c>
      <c r="B9" s="238" t="str">
        <f>'T3'!A1</f>
        <v>Table 3. National Income by World Region USD-EUR (2025)</v>
      </c>
      <c r="D9" s="239"/>
      <c r="E9" s="239"/>
      <c r="F9" s="239"/>
      <c r="G9" s="239"/>
      <c r="H9" s="85"/>
      <c r="I9" s="52"/>
      <c r="J9" s="52"/>
    </row>
    <row r="10" spans="1:10" x14ac:dyDescent="0.2">
      <c r="A10" s="256">
        <v>5</v>
      </c>
      <c r="B10" s="238" t="str">
        <f>'T4'!A1</f>
        <v>Table 4. Per Capita National Income by World Region (2025)</v>
      </c>
      <c r="C10" s="238"/>
      <c r="D10" s="239"/>
      <c r="E10" s="239"/>
      <c r="F10" s="239"/>
      <c r="G10" s="239"/>
      <c r="H10" s="85"/>
      <c r="I10" s="52"/>
      <c r="J10" s="52"/>
    </row>
    <row r="11" spans="1:10" x14ac:dyDescent="0.2">
      <c r="A11" s="256">
        <v>6</v>
      </c>
      <c r="B11" s="238" t="str">
        <f>T4a!A1</f>
        <v>Table 4a. Per capita national Income by World Region USD-EUR (2025)</v>
      </c>
      <c r="C11" s="238"/>
      <c r="D11" s="239"/>
      <c r="E11" s="239"/>
      <c r="F11" s="239"/>
      <c r="G11" s="239"/>
      <c r="H11" s="85"/>
      <c r="I11" s="52"/>
      <c r="J11" s="52"/>
    </row>
    <row r="12" spans="1:10" x14ac:dyDescent="0.2">
      <c r="A12" s="240"/>
      <c r="B12" s="241" t="str">
        <f>DataT3c!B3</f>
        <v>Table 3c. National Income by World Region (2021): New PPP (ICP 2021) vs Old PPP (ICP 2011)</v>
      </c>
      <c r="C12" s="238"/>
      <c r="D12" s="239"/>
      <c r="E12" s="239"/>
      <c r="F12" s="239"/>
      <c r="G12" s="239"/>
      <c r="H12" s="85"/>
      <c r="I12" s="52"/>
      <c r="J12" s="52"/>
    </row>
    <row r="13" spans="1:10" x14ac:dyDescent="0.2">
      <c r="A13" s="256">
        <v>7</v>
      </c>
      <c r="B13" s="238" t="str">
        <f>T5a!A1</f>
        <v xml:space="preserve">Table 5a. Per Capita National Income Growth PPP 2025  € by World Regions (1800-2025) </v>
      </c>
      <c r="C13" s="238"/>
      <c r="D13" s="239"/>
      <c r="E13" s="239"/>
      <c r="F13" s="239"/>
      <c r="G13" s="239"/>
      <c r="H13" s="85"/>
      <c r="I13" s="52"/>
      <c r="J13" s="52"/>
    </row>
    <row r="14" spans="1:10" x14ac:dyDescent="0.2">
      <c r="A14" s="256">
        <v>8</v>
      </c>
      <c r="B14" s="238" t="str">
        <f>T5b!A1</f>
        <v xml:space="preserve">Table 5b. Per Capita National Income Growth PPP 2025  $  by World Regions (1800-2025) </v>
      </c>
      <c r="C14" s="238"/>
      <c r="D14" s="239"/>
      <c r="E14" s="239"/>
      <c r="F14" s="239"/>
      <c r="G14" s="239"/>
      <c r="H14" s="85"/>
      <c r="I14" s="52"/>
      <c r="J14" s="52"/>
    </row>
    <row r="15" spans="1:10" x14ac:dyDescent="0.2">
      <c r="A15" s="256">
        <v>9</v>
      </c>
      <c r="B15" s="238" t="str">
        <f>T5c!A1</f>
        <v xml:space="preserve">Table 5c. Per Capita National Income Growth MER 2025 € by World Regions (1800-2025) </v>
      </c>
      <c r="C15" s="238"/>
      <c r="D15" s="239"/>
      <c r="E15" s="239"/>
      <c r="F15" s="239"/>
      <c r="G15" s="239"/>
      <c r="H15" s="85"/>
      <c r="I15" s="52"/>
      <c r="J15" s="52"/>
    </row>
    <row r="16" spans="1:10" x14ac:dyDescent="0.2">
      <c r="A16" s="256">
        <v>10</v>
      </c>
      <c r="B16" s="238" t="str">
        <f>T5d!A1</f>
        <v xml:space="preserve">Table 5d. Per Capita National Income Growth MER 2025 $  by World Regions (1800-2025) </v>
      </c>
      <c r="C16" s="238"/>
      <c r="D16" s="239"/>
      <c r="E16" s="239"/>
      <c r="F16" s="239"/>
      <c r="G16" s="239"/>
      <c r="H16" s="85"/>
      <c r="I16" s="52"/>
      <c r="J16" s="52"/>
    </row>
    <row r="17" spans="1:10" x14ac:dyDescent="0.2">
      <c r="A17" s="256">
        <v>11</v>
      </c>
      <c r="B17" s="238" t="str">
        <f>'T6'!A1</f>
        <v xml:space="preserve">Table 6. Per Capita National Income Growth PPP 2025  € by  WID core Territories (1980-2025) </v>
      </c>
      <c r="C17" s="238"/>
      <c r="D17" s="239"/>
      <c r="E17" s="239"/>
      <c r="F17" s="239"/>
      <c r="G17" s="239"/>
      <c r="H17" s="85"/>
      <c r="I17" s="52"/>
      <c r="J17" s="52"/>
    </row>
    <row r="18" spans="1:10" x14ac:dyDescent="0.2">
      <c r="A18" s="256">
        <v>12</v>
      </c>
      <c r="B18" s="238" t="str">
        <f>'T7'!A1</f>
        <v>Table 7. Population by World Regions (1800-2025)</v>
      </c>
      <c r="C18" s="238"/>
      <c r="D18" s="239"/>
      <c r="E18" s="239"/>
      <c r="F18" s="239"/>
      <c r="G18" s="239"/>
      <c r="H18" s="85"/>
      <c r="I18" s="52"/>
      <c r="J18" s="52"/>
    </row>
    <row r="19" spans="1:10" ht="15" customHeight="1" x14ac:dyDescent="0.2">
      <c r="A19" s="256">
        <v>13</v>
      </c>
      <c r="B19" s="238" t="str">
        <f>T8a!A1</f>
        <v xml:space="preserve">Table 8a. Price index Growth PPP 2025 € by World Regions (1980-2025) </v>
      </c>
      <c r="C19" s="238"/>
      <c r="D19" s="239"/>
      <c r="E19" s="239"/>
      <c r="F19" s="239"/>
      <c r="G19" s="239"/>
      <c r="H19" s="85"/>
      <c r="J19" s="52"/>
    </row>
    <row r="20" spans="1:10" x14ac:dyDescent="0.2">
      <c r="A20" s="256">
        <v>14</v>
      </c>
      <c r="B20" s="238" t="str">
        <f>T8b!A1</f>
        <v xml:space="preserve">Table 8b. Price index Growth PPP 2025 $ by World Regions (1980-2025) </v>
      </c>
      <c r="C20" s="238"/>
      <c r="D20" s="239"/>
      <c r="E20" s="239"/>
      <c r="F20" s="239"/>
      <c r="G20" s="239"/>
      <c r="H20" s="85"/>
      <c r="J20" s="52"/>
    </row>
    <row r="21" spans="1:10" x14ac:dyDescent="0.2">
      <c r="A21" s="256">
        <v>15</v>
      </c>
      <c r="B21" s="238" t="str">
        <f>T8c!A1</f>
        <v xml:space="preserve">Table 8c. Price index Growth  MER € by World Regions (1980-2025) </v>
      </c>
      <c r="C21" s="238"/>
      <c r="D21" s="239"/>
      <c r="E21" s="239"/>
      <c r="F21" s="239"/>
      <c r="G21" s="239"/>
      <c r="H21" s="85"/>
      <c r="J21" s="52"/>
    </row>
    <row r="22" spans="1:10" x14ac:dyDescent="0.2">
      <c r="A22" s="256">
        <v>16</v>
      </c>
      <c r="B22" s="238" t="str">
        <f>T8d!A1</f>
        <v xml:space="preserve">Table 8d. Price index Growth  MER $ by World Regions (1980-2025) </v>
      </c>
      <c r="C22" s="238"/>
      <c r="D22" s="239"/>
      <c r="E22" s="239"/>
      <c r="F22" s="239"/>
      <c r="G22" s="239"/>
      <c r="H22" s="85"/>
      <c r="J22" s="52"/>
    </row>
    <row r="23" spans="1:10" x14ac:dyDescent="0.2">
      <c r="A23" s="256">
        <v>17</v>
      </c>
      <c r="B23" s="238" t="str">
        <f>'T9'!A1</f>
        <v xml:space="preserve">Table 9. Price index Growth  €  by Core countries (1980-2025) </v>
      </c>
      <c r="C23" s="238"/>
      <c r="D23" s="239"/>
      <c r="E23" s="239"/>
      <c r="F23" s="239"/>
      <c r="G23" s="239"/>
      <c r="H23" s="85"/>
      <c r="J23" s="52"/>
    </row>
    <row r="24" spans="1:10" ht="15" customHeight="1" x14ac:dyDescent="0.2">
      <c r="A24" s="257">
        <v>18</v>
      </c>
      <c r="B24" s="238" t="str">
        <f>T10a!A1</f>
        <v>Table10a. Top 10 Richest Countries (2025),including countries with population below 10 million</v>
      </c>
      <c r="C24" s="238"/>
      <c r="D24" s="239"/>
      <c r="E24" s="239"/>
      <c r="F24" s="239"/>
      <c r="G24" s="239"/>
      <c r="H24" s="85"/>
      <c r="I24" s="52"/>
      <c r="J24" s="52"/>
    </row>
    <row r="25" spans="1:10" x14ac:dyDescent="0.2">
      <c r="A25" s="257">
        <v>19</v>
      </c>
      <c r="B25" s="238" t="str">
        <f>T10b!A1</f>
        <v>Table10b. Top 10 Richest Countries (2025), excluding countries with population below 10 million</v>
      </c>
      <c r="C25" s="238"/>
      <c r="D25" s="239"/>
      <c r="E25" s="239"/>
      <c r="F25" s="239"/>
      <c r="G25" s="239"/>
      <c r="H25" s="85"/>
      <c r="I25" s="52"/>
      <c r="J25" s="52"/>
    </row>
    <row r="26" spans="1:10" x14ac:dyDescent="0.2">
      <c r="A26" s="257">
        <v>20</v>
      </c>
      <c r="B26" s="238" t="str">
        <f>'T11'!A1</f>
        <v>Table 11. Bottom 10 Poorest Countries (2025)</v>
      </c>
      <c r="C26" s="238"/>
      <c r="D26" s="239"/>
      <c r="E26" s="239"/>
      <c r="F26" s="239"/>
      <c r="G26" s="239"/>
      <c r="H26" s="85"/>
      <c r="I26" s="52"/>
      <c r="J26" s="52"/>
    </row>
    <row r="27" spans="1:10" x14ac:dyDescent="0.2">
      <c r="A27" s="257">
        <v>21</v>
      </c>
      <c r="B27" s="238" t="str">
        <f>'T12'!A1</f>
        <v>Table 12. Top 10 Largest Economies (2025)</v>
      </c>
      <c r="C27" s="238"/>
      <c r="D27" s="239"/>
      <c r="E27" s="239"/>
      <c r="F27" s="239"/>
      <c r="G27" s="239"/>
      <c r="H27" s="85"/>
      <c r="I27" s="52"/>
      <c r="J27" s="52"/>
    </row>
    <row r="28" spans="1:10" ht="15" customHeight="1" x14ac:dyDescent="0.2">
      <c r="A28" s="246">
        <v>22</v>
      </c>
      <c r="B28" s="242" t="str">
        <f>T13a!A1</f>
        <v>Table 13a. Current Account by World Region PPP € (2025)</v>
      </c>
      <c r="C28" s="238"/>
      <c r="D28" s="239"/>
      <c r="E28" s="239"/>
      <c r="F28" s="239"/>
      <c r="G28" s="239"/>
      <c r="H28" s="85"/>
      <c r="I28" s="52"/>
      <c r="J28" s="52"/>
    </row>
    <row r="29" spans="1:10" x14ac:dyDescent="0.2">
      <c r="A29" s="246">
        <v>23</v>
      </c>
      <c r="B29" s="242" t="str">
        <f>T13b!A1</f>
        <v>Table 13b. Current Account by World Region PPP $ (2025)</v>
      </c>
      <c r="C29" s="238"/>
      <c r="D29" s="239"/>
      <c r="E29" s="239"/>
      <c r="F29" s="239"/>
      <c r="G29" s="239"/>
      <c r="H29" s="85"/>
      <c r="I29" s="52"/>
      <c r="J29" s="52"/>
    </row>
    <row r="30" spans="1:10" x14ac:dyDescent="0.2">
      <c r="A30" s="246">
        <v>24</v>
      </c>
      <c r="B30" s="242" t="str">
        <f>T13c!A1</f>
        <v>Table 13c. Current Account by World Region MER € (2025)</v>
      </c>
      <c r="C30" s="238"/>
      <c r="D30" s="239"/>
      <c r="E30" s="239"/>
      <c r="F30" s="239"/>
      <c r="G30" s="239"/>
      <c r="H30" s="85"/>
      <c r="I30" s="52"/>
      <c r="J30" s="52"/>
    </row>
    <row r="31" spans="1:10" x14ac:dyDescent="0.2">
      <c r="A31" s="246">
        <v>25</v>
      </c>
      <c r="B31" s="242" t="str">
        <f>T13d!A1</f>
        <v>Table 13d. Current Account by World Region MER $ (2025)</v>
      </c>
      <c r="C31" s="238"/>
      <c r="D31" s="239"/>
      <c r="E31" s="239"/>
      <c r="F31" s="239"/>
      <c r="G31" s="239"/>
      <c r="H31" s="85"/>
      <c r="I31" s="52"/>
      <c r="J31" s="52"/>
    </row>
    <row r="32" spans="1:10" x14ac:dyDescent="0.2">
      <c r="A32" s="246">
        <v>26</v>
      </c>
      <c r="B32" s="242" t="str">
        <f>T14a!A1</f>
        <v xml:space="preserve">Table 14a. Net foreign Assets PPP € 2025 by World Regions (1980-2025) </v>
      </c>
      <c r="C32" s="238"/>
      <c r="D32" s="239"/>
      <c r="E32" s="239"/>
      <c r="F32" s="239"/>
      <c r="G32" s="239"/>
      <c r="H32" s="85"/>
      <c r="I32" s="52"/>
      <c r="J32" s="52"/>
    </row>
    <row r="33" spans="1:10" x14ac:dyDescent="0.2">
      <c r="A33" s="246">
        <v>27</v>
      </c>
      <c r="B33" s="242" t="str">
        <f>T14b!A1</f>
        <v xml:space="preserve">Table 14d. Net foreign Assets MER$  by World Regions (1980-2025) </v>
      </c>
      <c r="C33" s="238"/>
      <c r="D33" s="239"/>
      <c r="E33" s="239"/>
      <c r="F33" s="239"/>
      <c r="G33" s="239"/>
      <c r="H33" s="85"/>
      <c r="I33" s="52"/>
      <c r="J33" s="52"/>
    </row>
    <row r="34" spans="1:10" x14ac:dyDescent="0.2">
      <c r="A34" s="246">
        <v>28</v>
      </c>
      <c r="B34" s="242" t="str">
        <f>T14c!A1</f>
        <v xml:space="preserve">Table 14c. Net foreign Assets MER €  by World Regions (1980-2025) </v>
      </c>
      <c r="C34" s="238"/>
      <c r="D34" s="239"/>
      <c r="E34" s="239"/>
      <c r="F34" s="239"/>
      <c r="G34" s="239"/>
      <c r="H34" s="85"/>
      <c r="I34" s="52"/>
      <c r="J34" s="52"/>
    </row>
    <row r="35" spans="1:10" x14ac:dyDescent="0.2">
      <c r="A35" s="246">
        <v>29</v>
      </c>
      <c r="B35" s="242" t="str">
        <f>T14d!A1</f>
        <v xml:space="preserve">Table 14d. Net foreign Assets MER$  by World Regions (1980-2025) </v>
      </c>
      <c r="C35" s="238"/>
      <c r="D35" s="239"/>
      <c r="E35" s="239"/>
      <c r="F35" s="239"/>
      <c r="G35" s="239"/>
      <c r="H35" s="85"/>
      <c r="I35" s="52"/>
      <c r="J35" s="52"/>
    </row>
    <row r="36" spans="1:10" ht="15" customHeight="1" x14ac:dyDescent="0.2">
      <c r="A36" s="245">
        <v>30</v>
      </c>
      <c r="B36" s="242" t="str">
        <f>T15a!A1</f>
        <v>Table 15a. National Non-financial Assets by World Region PPP € (2025)</v>
      </c>
      <c r="C36" s="238"/>
      <c r="D36" s="239"/>
      <c r="E36" s="239"/>
      <c r="F36" s="239"/>
      <c r="G36" s="239"/>
      <c r="H36" s="85"/>
      <c r="I36" s="52"/>
      <c r="J36" s="52"/>
    </row>
    <row r="37" spans="1:10" x14ac:dyDescent="0.2">
      <c r="A37" s="245">
        <v>31</v>
      </c>
      <c r="B37" s="242" t="str">
        <f>T15b!A1</f>
        <v>Table 15b. National Non-financial Assets by World Region PPP $ (2025)</v>
      </c>
      <c r="C37" s="238"/>
      <c r="D37" s="239"/>
      <c r="E37" s="239"/>
      <c r="F37" s="239"/>
      <c r="G37" s="239"/>
      <c r="H37" s="85"/>
      <c r="I37" s="52"/>
      <c r="J37" s="52"/>
    </row>
    <row r="38" spans="1:10" x14ac:dyDescent="0.2">
      <c r="A38" s="245">
        <v>32</v>
      </c>
      <c r="B38" s="242" t="str">
        <f>T15c!A1</f>
        <v>Table 15c. National Non-financial Assets by World Region MER € (2025)</v>
      </c>
      <c r="C38" s="238"/>
      <c r="D38" s="239"/>
      <c r="E38" s="239"/>
      <c r="F38" s="239"/>
      <c r="G38" s="239"/>
      <c r="H38" s="85"/>
      <c r="I38" s="52"/>
      <c r="J38" s="52"/>
    </row>
    <row r="39" spans="1:10" x14ac:dyDescent="0.2">
      <c r="A39" s="245">
        <v>33</v>
      </c>
      <c r="B39" s="242" t="str">
        <f>T15d!A1</f>
        <v>Table 15d. National Non-financial Assets by World Region MER $ (2025)</v>
      </c>
      <c r="C39" s="238"/>
      <c r="D39" s="239"/>
      <c r="E39" s="239"/>
      <c r="F39" s="239"/>
      <c r="G39" s="239"/>
      <c r="H39" s="85"/>
      <c r="I39" s="52"/>
      <c r="J39" s="52"/>
    </row>
    <row r="40" spans="1:10" x14ac:dyDescent="0.2">
      <c r="A40" s="245">
        <v>34</v>
      </c>
      <c r="B40" s="238" t="str">
        <f>T16a!A1</f>
        <v>Table 16a. National Capital shares by World Region PPP € (2025)</v>
      </c>
      <c r="C40" s="238"/>
      <c r="D40" s="243"/>
      <c r="E40" s="243"/>
      <c r="F40" s="243"/>
      <c r="G40" s="243"/>
      <c r="H40" s="244"/>
    </row>
    <row r="41" spans="1:10" x14ac:dyDescent="0.2">
      <c r="A41" s="245">
        <v>35</v>
      </c>
      <c r="B41" s="238" t="str">
        <f>T16b!A1</f>
        <v>Table 16b. National Capital shares by World Region PPP $ (2025)</v>
      </c>
      <c r="C41" s="238"/>
      <c r="D41" s="243"/>
      <c r="E41" s="243"/>
      <c r="F41" s="243"/>
      <c r="G41" s="243"/>
      <c r="H41" s="244"/>
    </row>
    <row r="42" spans="1:10" x14ac:dyDescent="0.2">
      <c r="A42" s="245">
        <v>36</v>
      </c>
      <c r="B42" s="238" t="str">
        <f>T16c!A1</f>
        <v>Table 16c. National Capital shares by World Region MER € (2025)</v>
      </c>
      <c r="C42" s="238"/>
      <c r="D42" s="243"/>
      <c r="E42" s="243"/>
      <c r="G42" s="243"/>
      <c r="H42" s="244"/>
    </row>
    <row r="43" spans="1:10" x14ac:dyDescent="0.2">
      <c r="A43" s="245">
        <v>37</v>
      </c>
      <c r="B43" s="238" t="str">
        <f>T16d!A1</f>
        <v>Table 16d. National Capital shares by World Region MER $ (2025)</v>
      </c>
      <c r="C43" s="238"/>
      <c r="D43" s="243"/>
      <c r="E43" s="243"/>
      <c r="F43" s="243"/>
      <c r="G43" s="243"/>
      <c r="H43" s="244"/>
      <c r="I43" s="52"/>
      <c r="J43" s="52"/>
    </row>
    <row r="44" spans="1:10" ht="16" thickBot="1" x14ac:dyDescent="0.25">
      <c r="A44" s="259">
        <v>38</v>
      </c>
      <c r="B44" s="253" t="s">
        <v>531</v>
      </c>
      <c r="C44" s="253"/>
      <c r="D44" s="253"/>
      <c r="E44" s="253"/>
      <c r="F44" s="253"/>
      <c r="G44" s="253"/>
      <c r="H44" s="247"/>
      <c r="J44" s="52"/>
    </row>
    <row r="45" spans="1:10" ht="16" thickBot="1" x14ac:dyDescent="0.25">
      <c r="A45" s="136" t="s">
        <v>532</v>
      </c>
      <c r="B45" s="137"/>
      <c r="C45" s="251"/>
      <c r="D45" s="251"/>
      <c r="E45" s="251"/>
      <c r="F45" s="251"/>
      <c r="G45" s="251"/>
      <c r="H45" s="252"/>
      <c r="I45" s="52"/>
      <c r="J45" s="52"/>
    </row>
    <row r="46" spans="1:10" x14ac:dyDescent="0.2">
      <c r="A46" s="258">
        <v>1</v>
      </c>
      <c r="B46" s="248" t="s">
        <v>661</v>
      </c>
      <c r="C46" s="238"/>
      <c r="D46" s="238"/>
      <c r="E46" s="238"/>
      <c r="F46" s="238"/>
      <c r="G46" s="238"/>
      <c r="H46" s="247"/>
      <c r="I46" s="52"/>
      <c r="J46" s="52"/>
    </row>
    <row r="47" spans="1:10" ht="16" thickBot="1" x14ac:dyDescent="0.25">
      <c r="A47" s="86">
        <v>2</v>
      </c>
      <c r="B47" s="89" t="s">
        <v>662</v>
      </c>
      <c r="C47" s="87"/>
      <c r="D47" s="87"/>
      <c r="E47" s="87"/>
      <c r="F47" s="87"/>
      <c r="G47" s="87"/>
      <c r="H47" s="88"/>
    </row>
  </sheetData>
  <mergeCells count="3">
    <mergeCell ref="A45:B45"/>
    <mergeCell ref="A4:H4"/>
    <mergeCell ref="A5:B5"/>
  </mergeCells>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8798-27D0-814C-8999-E758B02985C3}">
  <sheetPr>
    <tabColor rgb="FFFF0000"/>
  </sheetPr>
  <dimension ref="A1"/>
  <sheetViews>
    <sheetView topLeftCell="B6" workbookViewId="0">
      <selection activeCell="P24" sqref="P24"/>
    </sheetView>
  </sheetViews>
  <sheetFormatPr baseColWidth="10" defaultColWidth="10.83203125" defaultRowHeight="15" x14ac:dyDescent="0.2"/>
  <cols>
    <col min="1" max="16384" width="10.83203125" style="73"/>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58FC0-0F78-344B-96F5-307E7F8E5AAF}">
  <sheetPr>
    <tabColor rgb="FFFF0000"/>
  </sheetPr>
  <dimension ref="A1"/>
  <sheetViews>
    <sheetView topLeftCell="B1" workbookViewId="0">
      <selection activeCell="I60" sqref="I60"/>
    </sheetView>
  </sheetViews>
  <sheetFormatPr baseColWidth="10" defaultColWidth="10.83203125" defaultRowHeight="15" x14ac:dyDescent="0.2"/>
  <cols>
    <col min="1" max="16384" width="10.83203125" style="73"/>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A493-0B8D-8B4D-8C83-D1F63D5936E7}">
  <sheetPr>
    <tabColor theme="8"/>
  </sheetPr>
  <dimension ref="A1:I13"/>
  <sheetViews>
    <sheetView workbookViewId="0">
      <selection sqref="A1:I1"/>
    </sheetView>
  </sheetViews>
  <sheetFormatPr baseColWidth="10" defaultColWidth="14" defaultRowHeight="35" customHeight="1" x14ac:dyDescent="0.2"/>
  <cols>
    <col min="1" max="1" width="22.83203125" customWidth="1"/>
  </cols>
  <sheetData>
    <row r="1" spans="1:9" ht="17" thickBot="1" x14ac:dyDescent="0.25">
      <c r="A1" s="138" t="str">
        <f>DataT1!B2</f>
        <v>Table 1. Gross domestic product by World Region USD-EUR (2025)</v>
      </c>
      <c r="B1" s="139"/>
      <c r="C1" s="139"/>
      <c r="D1" s="139"/>
      <c r="E1" s="139"/>
      <c r="F1" s="139"/>
      <c r="G1" s="139"/>
      <c r="H1" s="139"/>
      <c r="I1" s="140"/>
    </row>
    <row r="2" spans="1:9" ht="17" thickBot="1" x14ac:dyDescent="0.25">
      <c r="B2" s="153" t="str">
        <f>DataT1!C3</f>
        <v>PPP 2025  billions €</v>
      </c>
      <c r="C2" s="154"/>
      <c r="D2" s="155" t="str">
        <f>DataT1!E3</f>
        <v xml:space="preserve"> 2025 MER billions €</v>
      </c>
      <c r="E2" s="156"/>
      <c r="F2" s="153" t="str">
        <f>DataT1!G3</f>
        <v>PPP 2025  billions $</v>
      </c>
      <c r="G2" s="154"/>
      <c r="H2" s="153" t="str">
        <f>DataT1!I3</f>
        <v xml:space="preserve"> 2025 MER billions $</v>
      </c>
      <c r="I2" s="154"/>
    </row>
    <row r="3" spans="1:9" ht="69" thickBot="1" x14ac:dyDescent="0.25">
      <c r="B3" s="1" t="str">
        <f>DataT1!C4</f>
        <v xml:space="preserve"> Gross domestic product</v>
      </c>
      <c r="C3" s="1" t="str">
        <f>DataT1!D4</f>
        <v xml:space="preserve"> Gross domestic product (% world total)</v>
      </c>
      <c r="D3" s="14" t="str">
        <f>DataT1!E4</f>
        <v xml:space="preserve"> Gross domestic product</v>
      </c>
      <c r="E3" s="1" t="str">
        <f>DataT1!F4</f>
        <v xml:space="preserve"> Gross domestic product (% world total)</v>
      </c>
      <c r="F3" s="1" t="str">
        <f>DataT1!G4</f>
        <v xml:space="preserve"> Gross domestic product</v>
      </c>
      <c r="G3" s="1" t="str">
        <f>DataT1!H4</f>
        <v xml:space="preserve"> Gross domestic product (% world total)</v>
      </c>
      <c r="H3" s="1" t="str">
        <f>DataT1!I4</f>
        <v xml:space="preserve"> Gross domestic product</v>
      </c>
      <c r="I3" s="1" t="str">
        <f>DataT1!J4</f>
        <v xml:space="preserve"> Gross domestic product  (% world total)</v>
      </c>
    </row>
    <row r="4" spans="1:9" ht="35" customHeight="1" thickBot="1" x14ac:dyDescent="0.25">
      <c r="A4" s="61" t="str">
        <f>DataT1!B5</f>
        <v>East Asia</v>
      </c>
      <c r="B4" s="62">
        <f>DataT1!C5</f>
        <v>37298.113445887997</v>
      </c>
      <c r="C4" s="54">
        <f>DataT1!D5/100</f>
        <v>0.26015704424313196</v>
      </c>
      <c r="D4" s="62">
        <f>DataT1!E5</f>
        <v>23215.60494592</v>
      </c>
      <c r="E4" s="54">
        <f>DataT1!F5/100</f>
        <v>0.22605070891669005</v>
      </c>
      <c r="F4" s="62">
        <f>DataT1!G5</f>
        <v>55011.573866496001</v>
      </c>
      <c r="G4" s="54">
        <f>DataT1!H5/100</f>
        <v>0.26015705042899306</v>
      </c>
      <c r="H4" s="62">
        <f>DataT1!I5</f>
        <v>27362.757697535999</v>
      </c>
      <c r="I4" s="54">
        <f>DataT1!J5/100</f>
        <v>0.22605071788477332</v>
      </c>
    </row>
    <row r="5" spans="1:9" ht="35" customHeight="1" thickBot="1" x14ac:dyDescent="0.25">
      <c r="A5" s="61" t="str">
        <f>DataT1!B6</f>
        <v>Europe</v>
      </c>
      <c r="B5" s="47">
        <f>DataT1!C6</f>
        <v>24116.731511168</v>
      </c>
      <c r="C5" s="54">
        <f>DataT1!D6/100</f>
        <v>0.16821595000651091</v>
      </c>
      <c r="D5" s="47">
        <f>DataT1!E6</f>
        <v>23800.626194048</v>
      </c>
      <c r="E5" s="54">
        <f>DataT1!F6/100</f>
        <v>0.23174706997119277</v>
      </c>
      <c r="F5" s="47">
        <f>DataT1!G6</f>
        <v>35570.144423168</v>
      </c>
      <c r="G5" s="54">
        <f>DataT1!H6/100</f>
        <v>0.1682159445014641</v>
      </c>
      <c r="H5" s="47">
        <f>DataT1!I6</f>
        <v>28052.285939712001</v>
      </c>
      <c r="I5" s="54">
        <f>DataT1!J6/100</f>
        <v>0.23174708649895528</v>
      </c>
    </row>
    <row r="6" spans="1:9" ht="35" customHeight="1" thickBot="1" x14ac:dyDescent="0.25">
      <c r="A6" s="61" t="str">
        <f>DataT1!B7</f>
        <v>Latin America</v>
      </c>
      <c r="B6" s="62">
        <f>DataT1!C7</f>
        <v>10322.067497984001</v>
      </c>
      <c r="C6" s="54">
        <f>DataT1!D7/100</f>
        <v>7.1997168828646763E-2</v>
      </c>
      <c r="D6" s="62">
        <f>DataT1!E7</f>
        <v>6496.2762719599996</v>
      </c>
      <c r="E6" s="54">
        <f>DataT1!F7/100</f>
        <v>6.3254343792290793E-2</v>
      </c>
      <c r="F6" s="62">
        <f>DataT1!G7</f>
        <v>15224.178621248</v>
      </c>
      <c r="G6" s="54">
        <f>DataT1!H7/100</f>
        <v>7.1997165813141861E-2</v>
      </c>
      <c r="H6" s="62">
        <f>DataT1!I7</f>
        <v>7656.7478709200004</v>
      </c>
      <c r="I6" s="54">
        <f>DataT1!J7/100</f>
        <v>6.3254346364366429E-2</v>
      </c>
    </row>
    <row r="7" spans="1:9" ht="35" customHeight="1" thickBot="1" x14ac:dyDescent="0.25">
      <c r="A7" s="21" t="str">
        <f>DataT1!B8</f>
        <v>MENA</v>
      </c>
      <c r="B7" s="62">
        <f>DataT1!C8</f>
        <v>10670.032951296</v>
      </c>
      <c r="C7" s="54">
        <f>DataT1!D8/100</f>
        <v>7.4424253082216479E-2</v>
      </c>
      <c r="D7" s="62">
        <f>DataT1!E8</f>
        <v>5608.5036984320004</v>
      </c>
      <c r="E7" s="54">
        <f>DataT1!F8/100</f>
        <v>5.4610088341257752E-2</v>
      </c>
      <c r="F7" s="62">
        <f>DataT1!G8</f>
        <v>15737.398941695999</v>
      </c>
      <c r="G7" s="54">
        <f>DataT1!H8/100</f>
        <v>7.4424252976872149E-2</v>
      </c>
      <c r="H7" s="62">
        <f>DataT1!I8</f>
        <v>6610.3872225280002</v>
      </c>
      <c r="I7" s="54">
        <f>DataT1!J8/100</f>
        <v>5.4610094262660766E-2</v>
      </c>
    </row>
    <row r="8" spans="1:9" ht="35" customHeight="1" thickBot="1" x14ac:dyDescent="0.25">
      <c r="A8" s="21" t="str">
        <f>DataT1!B9</f>
        <v>North America &amp; Oceania</v>
      </c>
      <c r="B8" s="62">
        <f>DataT1!C9</f>
        <v>24436.488458719999</v>
      </c>
      <c r="C8" s="54">
        <f>DataT1!D9/100</f>
        <v>0.17044627788816163</v>
      </c>
      <c r="D8" s="62">
        <f>DataT1!E9</f>
        <v>30016.639159840001</v>
      </c>
      <c r="E8" s="54">
        <f>DataT1!F9/100</f>
        <v>0.2922724855623795</v>
      </c>
      <c r="F8" s="62">
        <f>DataT1!G9</f>
        <v>36041.760261135998</v>
      </c>
      <c r="G8" s="54">
        <f>DataT1!H9/100</f>
        <v>0.17044627853333733</v>
      </c>
      <c r="H8" s="62">
        <f>DataT1!I9</f>
        <v>35378.703976996003</v>
      </c>
      <c r="I8" s="54">
        <f>DataT1!J9/100</f>
        <v>0.29227249388510979</v>
      </c>
    </row>
    <row r="9" spans="1:9" ht="35" customHeight="1" thickBot="1" x14ac:dyDescent="0.25">
      <c r="A9" s="21" t="str">
        <f>DataT1!B10</f>
        <v>Russia &amp; Central Asia</v>
      </c>
      <c r="B9" s="62">
        <f>DataT1!C10</f>
        <v>7011.3214709759995</v>
      </c>
      <c r="C9" s="54">
        <f>DataT1!D10/100</f>
        <v>4.8904475363716261E-2</v>
      </c>
      <c r="D9" s="62">
        <f>DataT1!E10</f>
        <v>3149.6041103359998</v>
      </c>
      <c r="E9" s="54">
        <f>DataT1!F10/100</f>
        <v>3.0667744545398889E-2</v>
      </c>
      <c r="F9" s="62">
        <f>DataT1!G10</f>
        <v>10341.107679232</v>
      </c>
      <c r="G9" s="54">
        <f>DataT1!H10/100</f>
        <v>4.8904473784490331E-2</v>
      </c>
      <c r="H9" s="62">
        <f>DataT1!I10</f>
        <v>3712.2382264319999</v>
      </c>
      <c r="I9" s="54">
        <f>DataT1!J10/100</f>
        <v>3.0667746479362226E-2</v>
      </c>
    </row>
    <row r="10" spans="1:9" ht="35" customHeight="1" thickBot="1" x14ac:dyDescent="0.25">
      <c r="A10" s="21" t="str">
        <f>DataT1!B11</f>
        <v>South &amp; South-East Asia</v>
      </c>
      <c r="B10" s="47">
        <f>DataT1!C11</f>
        <v>23742.553550847999</v>
      </c>
      <c r="C10" s="54">
        <f>DataT1!D11/100</f>
        <v>0.16560603161696549</v>
      </c>
      <c r="D10" s="47">
        <f>DataT1!E11</f>
        <v>8057.2831164159998</v>
      </c>
      <c r="E10" s="54">
        <f>DataT1!F11/100</f>
        <v>7.8453891882253365E-2</v>
      </c>
      <c r="F10" s="47">
        <f>DataT1!G11</f>
        <v>35018.264918016001</v>
      </c>
      <c r="G10" s="54">
        <f>DataT1!H11/100</f>
        <v>0.16560603291084153</v>
      </c>
      <c r="H10" s="47">
        <f>DataT1!I11</f>
        <v>9496.6075450879998</v>
      </c>
      <c r="I10" s="54">
        <f>DataT1!J11/100</f>
        <v>7.8453896232484194E-2</v>
      </c>
    </row>
    <row r="11" spans="1:9" ht="35" customHeight="1" thickBot="1" x14ac:dyDescent="0.25">
      <c r="A11" s="21" t="str">
        <f>DataT1!B12</f>
        <v>Sub-Saharan Africa</v>
      </c>
      <c r="B11" s="47">
        <f>DataT1!C12</f>
        <v>5298.7412680320003</v>
      </c>
      <c r="C11" s="54">
        <f>DataT1!D12/100</f>
        <v>3.695910433915757E-2</v>
      </c>
      <c r="D11" s="47">
        <f>DataT1!E12</f>
        <v>2356.3311228160001</v>
      </c>
      <c r="E11" s="54">
        <f>DataT1!F12/100</f>
        <v>2.2943633043196961E-2</v>
      </c>
      <c r="F11" s="47">
        <f>DataT1!G12</f>
        <v>7815.1966423040003</v>
      </c>
      <c r="G11" s="54">
        <f>DataT1!H12/100</f>
        <v>3.6959104495329784E-2</v>
      </c>
      <c r="H11" s="47">
        <f>DataT1!I12</f>
        <v>2777.2578089600001</v>
      </c>
      <c r="I11" s="54">
        <f>DataT1!J12/100</f>
        <v>2.2943634863346895E-2</v>
      </c>
    </row>
    <row r="12" spans="1:9" ht="35" customHeight="1" thickBot="1" x14ac:dyDescent="0.25">
      <c r="A12" s="22" t="str">
        <f>DataT1!B13</f>
        <v>World</v>
      </c>
      <c r="B12" s="63">
        <f>DataT1!C13</f>
        <v>143367.68606208</v>
      </c>
      <c r="C12" s="71">
        <f>DataT1!D13/100</f>
        <v>1</v>
      </c>
      <c r="D12" s="63">
        <f>DataT1!E13</f>
        <v>102700.872105984</v>
      </c>
      <c r="E12" s="71">
        <f>DataT1!F13/100</f>
        <v>1</v>
      </c>
      <c r="F12" s="63">
        <f>DataT1!G13</f>
        <v>211455.24895744</v>
      </c>
      <c r="G12" s="71">
        <f>DataT1!H13/100</f>
        <v>1</v>
      </c>
      <c r="H12" s="63">
        <f>DataT1!I13</f>
        <v>121046.9842944</v>
      </c>
      <c r="I12" s="71">
        <f>DataT1!J13/100</f>
        <v>1</v>
      </c>
    </row>
    <row r="13" spans="1:9" ht="35" customHeight="1" thickBot="1" x14ac:dyDescent="0.25">
      <c r="A13" s="163" t="s">
        <v>700</v>
      </c>
      <c r="B13" s="164"/>
      <c r="C13" s="164"/>
      <c r="D13" s="164"/>
      <c r="E13" s="164"/>
      <c r="F13" s="164"/>
      <c r="G13" s="164"/>
      <c r="H13" s="164"/>
      <c r="I13" s="165"/>
    </row>
  </sheetData>
  <mergeCells count="6">
    <mergeCell ref="A1:I1"/>
    <mergeCell ref="A13:I13"/>
    <mergeCell ref="B2:C2"/>
    <mergeCell ref="D2:E2"/>
    <mergeCell ref="F2:G2"/>
    <mergeCell ref="H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61A76-8A31-7E4A-827C-0276FE6B9D5A}">
  <sheetPr>
    <tabColor theme="8"/>
  </sheetPr>
  <dimension ref="A1:K13"/>
  <sheetViews>
    <sheetView zoomScale="90" zoomScaleNormal="90" workbookViewId="0">
      <selection activeCell="K10" sqref="K10"/>
    </sheetView>
  </sheetViews>
  <sheetFormatPr baseColWidth="10" defaultRowHeight="44" customHeight="1" x14ac:dyDescent="0.2"/>
  <cols>
    <col min="1" max="1" width="24.83203125" customWidth="1"/>
    <col min="2" max="2" width="15.5" customWidth="1"/>
    <col min="3" max="3" width="17.6640625" customWidth="1"/>
    <col min="4" max="4" width="15.33203125" customWidth="1"/>
    <col min="5" max="5" width="16.6640625" customWidth="1"/>
    <col min="6" max="6" width="16" customWidth="1"/>
    <col min="7" max="7" width="15.6640625" customWidth="1"/>
    <col min="8" max="8" width="16" customWidth="1"/>
    <col min="9" max="9" width="18.1640625" customWidth="1"/>
  </cols>
  <sheetData>
    <row r="1" spans="1:11" ht="17" thickBot="1" x14ac:dyDescent="0.25">
      <c r="A1" s="138" t="str">
        <f>DataT1a!B2</f>
        <v>Table 1a. Per capita gross domestic product by World Region USD-EUR (2025)</v>
      </c>
      <c r="B1" s="139"/>
      <c r="C1" s="139"/>
      <c r="D1" s="139"/>
      <c r="E1" s="139"/>
      <c r="F1" s="139"/>
      <c r="G1" s="139"/>
      <c r="H1" s="139"/>
      <c r="I1" s="140"/>
    </row>
    <row r="2" spans="1:11" ht="17" thickBot="1" x14ac:dyDescent="0.25">
      <c r="B2" s="153" t="str">
        <f>DataT1a!C3</f>
        <v>PPP 2025 €</v>
      </c>
      <c r="C2" s="154"/>
      <c r="D2" s="155" t="str">
        <f>DataT1a!E3</f>
        <v xml:space="preserve"> 2025 MER €</v>
      </c>
      <c r="E2" s="156"/>
      <c r="F2" s="153" t="str">
        <f>DataT1a!G3</f>
        <v>PPP 2025 $</v>
      </c>
      <c r="G2" s="154"/>
      <c r="H2" s="153" t="str">
        <f>DataT1a!I3</f>
        <v xml:space="preserve"> 2025 MER $</v>
      </c>
      <c r="I2" s="154"/>
    </row>
    <row r="3" spans="1:11" ht="69" thickBot="1" x14ac:dyDescent="0.25">
      <c r="B3" s="1" t="str">
        <f>DataT1a!C4</f>
        <v xml:space="preserve"> Per capita gross domestic product</v>
      </c>
      <c r="C3" s="1" t="str">
        <f>DataT1a!D4</f>
        <v xml:space="preserve"> Per capita gross domestic product (% world total)</v>
      </c>
      <c r="D3" s="14" t="str">
        <f>DataT1a!E4</f>
        <v xml:space="preserve"> Per capita gross domestic product</v>
      </c>
      <c r="E3" s="1" t="str">
        <f>DataT1a!F4</f>
        <v xml:space="preserve"> Per capita gross domestic product (% world total)</v>
      </c>
      <c r="F3" s="1" t="str">
        <f>DataT1a!G4</f>
        <v xml:space="preserve"> Per capita gross domestic product</v>
      </c>
      <c r="G3" s="1" t="str">
        <f>DataT1a!H4</f>
        <v xml:space="preserve"> Per capita gross domestic product (% world total)</v>
      </c>
      <c r="H3" s="1" t="str">
        <f>DataT1a!I4</f>
        <v xml:space="preserve"> Per capita gross domestic product</v>
      </c>
      <c r="I3" s="1" t="str">
        <f>DataT1a!J4</f>
        <v xml:space="preserve"> Per capita gross domestic product  (% world total)</v>
      </c>
    </row>
    <row r="4" spans="1:11" ht="44" customHeight="1" thickBot="1" x14ac:dyDescent="0.25">
      <c r="A4" s="61" t="str">
        <f>DataT1a!B5</f>
        <v>East Asia</v>
      </c>
      <c r="B4" s="62">
        <f>DataT1a!C5</f>
        <v>22575.014047960351</v>
      </c>
      <c r="C4" s="54">
        <f>DataT1a!D5/100</f>
        <v>1.2959992167443668</v>
      </c>
      <c r="D4" s="62">
        <f>DataT1a!E5</f>
        <v>14051.450847410659</v>
      </c>
      <c r="E4" s="54">
        <f>DataT1a!F5/100</f>
        <v>1.1260949806408065</v>
      </c>
      <c r="F4" s="62">
        <f>DataT1a!G5</f>
        <v>33296.243109943942</v>
      </c>
      <c r="G4" s="54">
        <f>DataT1a!H5/100</f>
        <v>1.2959992475598736</v>
      </c>
      <c r="H4" s="62">
        <f>DataT1a!I5</f>
        <v>16561.551841194036</v>
      </c>
      <c r="I4" s="54">
        <f>DataT1a!J5/100</f>
        <v>1.1260950253162405</v>
      </c>
    </row>
    <row r="5" spans="1:11" ht="44" customHeight="1" thickBot="1" x14ac:dyDescent="0.25">
      <c r="A5" s="61" t="str">
        <f>DataT1a!B6</f>
        <v>Europe</v>
      </c>
      <c r="B5" s="47">
        <f>DataT1a!C6</f>
        <v>43376.585292347903</v>
      </c>
      <c r="C5" s="54">
        <f>DataT1a!D6/100</f>
        <v>2.4901876226742465</v>
      </c>
      <c r="D5" s="47">
        <f>DataT1a!E6</f>
        <v>42808.035228129178</v>
      </c>
      <c r="E5" s="54">
        <f>DataT1a!F6/100</f>
        <v>3.4306716171144895</v>
      </c>
      <c r="F5" s="47">
        <f>DataT1a!G6</f>
        <v>63976.803934570773</v>
      </c>
      <c r="G5" s="54">
        <f>DataT1a!H6/100</f>
        <v>2.4901875411801941</v>
      </c>
      <c r="H5" s="47">
        <f>DataT1a!I6</f>
        <v>50455.111346484358</v>
      </c>
      <c r="I5" s="54">
        <f>DataT1a!J6/100</f>
        <v>3.4306718617834968</v>
      </c>
    </row>
    <row r="6" spans="1:11" ht="44" customHeight="1" thickBot="1" x14ac:dyDescent="0.25">
      <c r="A6" s="61" t="str">
        <f>DataT1a!B7</f>
        <v>Latin America</v>
      </c>
      <c r="B6" s="62">
        <f>DataT1a!C7</f>
        <v>15481.475080574273</v>
      </c>
      <c r="C6" s="54">
        <f>DataT1a!D7/100</f>
        <v>0.88876930644853658</v>
      </c>
      <c r="D6" s="62">
        <f>DataT1a!E7</f>
        <v>9743.3909670245193</v>
      </c>
      <c r="E6" s="54">
        <f>DataT1a!F7/100</f>
        <v>0.78084347171944557</v>
      </c>
      <c r="F6" s="62">
        <f>DataT1a!G7</f>
        <v>22833.869473639425</v>
      </c>
      <c r="G6" s="54">
        <f>DataT1a!H7/100</f>
        <v>0.88876926922362576</v>
      </c>
      <c r="H6" s="62">
        <f>DataT1a!I7</f>
        <v>11483.915541633465</v>
      </c>
      <c r="I6" s="54">
        <f>DataT1a!J7/100</f>
        <v>0.7808435034704424</v>
      </c>
    </row>
    <row r="7" spans="1:11" ht="44" customHeight="1" thickBot="1" x14ac:dyDescent="0.25">
      <c r="A7" s="21" t="str">
        <f>DataT1a!B8</f>
        <v>MENA</v>
      </c>
      <c r="B7" s="62">
        <f>DataT1a!C8</f>
        <v>17428.240846751294</v>
      </c>
      <c r="C7" s="54">
        <f>DataT1a!D8/100</f>
        <v>1.0005303402529926</v>
      </c>
      <c r="D7" s="62">
        <f>DataT1a!E8</f>
        <v>9160.8295581032708</v>
      </c>
      <c r="E7" s="54">
        <f>DataT1a!F8/100</f>
        <v>0.73415651493290535</v>
      </c>
      <c r="F7" s="62">
        <f>DataT1a!G8</f>
        <v>25705.185758022693</v>
      </c>
      <c r="G7" s="54">
        <f>DataT1a!H8/100</f>
        <v>1.0005303388367852</v>
      </c>
      <c r="H7" s="62">
        <f>DataT1a!I8</f>
        <v>10797.288174308031</v>
      </c>
      <c r="I7" s="54">
        <f>DataT1a!J8/100</f>
        <v>0.73415659453791482</v>
      </c>
    </row>
    <row r="8" spans="1:11" ht="44" customHeight="1" thickBot="1" x14ac:dyDescent="0.25">
      <c r="A8" s="21" t="str">
        <f>DataT1a!B9</f>
        <v>North America &amp; Oceania</v>
      </c>
      <c r="B8" s="62">
        <f>DataT1a!C9</f>
        <v>56325.386690033658</v>
      </c>
      <c r="C8" s="54">
        <f>DataT1a!D9/100</f>
        <v>3.2335597611600391</v>
      </c>
      <c r="D8" s="62">
        <f>DataT1a!E9</f>
        <v>69187.469822812462</v>
      </c>
      <c r="E8" s="54">
        <f>DataT1a!F9/100</f>
        <v>5.5447414887455269</v>
      </c>
      <c r="F8" s="62">
        <f>DataT1a!G9</f>
        <v>83075.196631763101</v>
      </c>
      <c r="G8" s="54">
        <f>DataT1a!H9/100</f>
        <v>3.2335597733997563</v>
      </c>
      <c r="H8" s="62">
        <f>DataT1a!I9</f>
        <v>81546.871411691827</v>
      </c>
      <c r="I8" s="54">
        <f>DataT1a!J9/100</f>
        <v>5.5447416466371848</v>
      </c>
    </row>
    <row r="9" spans="1:11" ht="44" customHeight="1" thickBot="1" x14ac:dyDescent="0.25">
      <c r="A9" s="21" t="str">
        <f>DataT1a!B10</f>
        <v>Russia &amp; Central Asia</v>
      </c>
      <c r="B9" s="62">
        <f>DataT1a!C10</f>
        <v>23951.502869535871</v>
      </c>
      <c r="C9" s="54">
        <f>DataT1a!D10/100</f>
        <v>1.375021468107281</v>
      </c>
      <c r="D9" s="62">
        <f>DataT1a!E10</f>
        <v>10759.419918041995</v>
      </c>
      <c r="E9" s="54">
        <f>DataT1a!F10/100</f>
        <v>0.86226887855829604</v>
      </c>
      <c r="F9" s="62">
        <f>DataT1a!G10</f>
        <v>35326.446131249213</v>
      </c>
      <c r="G9" s="54">
        <f>DataT1a!H10/100</f>
        <v>1.3750214237050142</v>
      </c>
      <c r="H9" s="62">
        <f>DataT1a!I10</f>
        <v>12681.44456089384</v>
      </c>
      <c r="I9" s="54">
        <f>DataT1a!J10/100</f>
        <v>0.862268932934528</v>
      </c>
    </row>
    <row r="10" spans="1:11" ht="44" customHeight="1" thickBot="1" x14ac:dyDescent="0.25">
      <c r="A10" s="21" t="str">
        <f>DataT1a!B11</f>
        <v>South &amp; South-East Asia</v>
      </c>
      <c r="B10" s="47">
        <f>DataT1a!C11</f>
        <v>8816.9793236108817</v>
      </c>
      <c r="C10" s="54">
        <f>DataT1a!D11/100</f>
        <v>0.50617015223888151</v>
      </c>
      <c r="D10" s="47">
        <f>DataT1a!E11</f>
        <v>2992.1338700900428</v>
      </c>
      <c r="E10" s="54">
        <f>DataT1a!F11/100</f>
        <v>0.23979210183371574</v>
      </c>
      <c r="F10" s="47">
        <f>DataT1a!G11</f>
        <v>13004.301204149446</v>
      </c>
      <c r="G10" s="54">
        <f>DataT1a!H11/100</f>
        <v>0.50617015619357708</v>
      </c>
      <c r="H10" s="47">
        <f>DataT1a!I11</f>
        <v>3526.6380336961438</v>
      </c>
      <c r="I10" s="54">
        <f>DataT1a!J11/100</f>
        <v>0.2397921151300732</v>
      </c>
      <c r="K10">
        <f>B8/B11</f>
        <v>14.074092216411326</v>
      </c>
    </row>
    <row r="11" spans="1:11" ht="44" customHeight="1" thickBot="1" x14ac:dyDescent="0.25">
      <c r="A11" s="21" t="str">
        <f>DataT1a!B12</f>
        <v>Sub-Saharan Africa</v>
      </c>
      <c r="B11" s="47">
        <f>DataT1a!C12</f>
        <v>4002.0617901277151</v>
      </c>
      <c r="C11" s="54">
        <f>DataT1a!D12/100</f>
        <v>0.22975263423309772</v>
      </c>
      <c r="D11" s="47">
        <f>DataT1a!E12</f>
        <v>1779.7024377099101</v>
      </c>
      <c r="E11" s="54">
        <f>DataT1a!F12/100</f>
        <v>0.14262683646711449</v>
      </c>
      <c r="F11" s="47">
        <f>DataT1a!G12</f>
        <v>5902.7037332803711</v>
      </c>
      <c r="G11" s="54">
        <f>DataT1a!H12/100</f>
        <v>0.22975263520392697</v>
      </c>
      <c r="H11" s="47">
        <f>DataT1a!I12</f>
        <v>2097.6222080571138</v>
      </c>
      <c r="I11" s="54">
        <f>DataT1a!J12/100</f>
        <v>0.14262684778189738</v>
      </c>
    </row>
    <row r="12" spans="1:11" ht="44" customHeight="1" thickBot="1" x14ac:dyDescent="0.25">
      <c r="A12" s="22" t="str">
        <f>DataT1a!B13</f>
        <v>World</v>
      </c>
      <c r="B12" s="63">
        <f>DataT1a!C13</f>
        <v>17419.00284837381</v>
      </c>
      <c r="C12" s="71">
        <f>DataT1a!D13/100</f>
        <v>1</v>
      </c>
      <c r="D12" s="63">
        <f>DataT1a!E13</f>
        <v>12478.033459854918</v>
      </c>
      <c r="E12" s="71">
        <f>DataT1a!F13/100</f>
        <v>1</v>
      </c>
      <c r="F12" s="63">
        <f>DataT1a!G13</f>
        <v>25691.560525698296</v>
      </c>
      <c r="G12" s="71">
        <f>DataT1a!H13/100</f>
        <v>1</v>
      </c>
      <c r="H12" s="63">
        <f>DataT1a!I13</f>
        <v>14707.064207608115</v>
      </c>
      <c r="I12" s="71">
        <f>DataT1a!J13/100</f>
        <v>1</v>
      </c>
    </row>
    <row r="13" spans="1:11" ht="44" customHeight="1" thickBot="1" x14ac:dyDescent="0.25">
      <c r="A13" s="163" t="s">
        <v>701</v>
      </c>
      <c r="B13" s="164"/>
      <c r="C13" s="164"/>
      <c r="D13" s="164"/>
      <c r="E13" s="164"/>
      <c r="F13" s="164"/>
      <c r="G13" s="164"/>
      <c r="H13" s="164"/>
      <c r="I13" s="165"/>
    </row>
  </sheetData>
  <mergeCells count="6">
    <mergeCell ref="A13:I13"/>
    <mergeCell ref="A1:I1"/>
    <mergeCell ref="B2:C2"/>
    <mergeCell ref="D2:E2"/>
    <mergeCell ref="F2:G2"/>
    <mergeCell ref="H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A07F-A3E5-4D46-AEA8-C7E7BC825886}">
  <sheetPr>
    <tabColor theme="8"/>
  </sheetPr>
  <dimension ref="A1:M14"/>
  <sheetViews>
    <sheetView zoomScale="87" workbookViewId="0">
      <selection activeCell="C21" sqref="C21"/>
    </sheetView>
  </sheetViews>
  <sheetFormatPr baseColWidth="10" defaultRowHeight="15" x14ac:dyDescent="0.2"/>
  <cols>
    <col min="1" max="1" width="25" customWidth="1"/>
    <col min="2" max="13" width="17.83203125" customWidth="1"/>
  </cols>
  <sheetData>
    <row r="1" spans="1:13" ht="17" thickBot="1" x14ac:dyDescent="0.25">
      <c r="A1" s="138" t="str">
        <f>DataT2!B2</f>
        <v>Table 2. Consumption of Fixed Capital by World Region USD-EUR (2025)</v>
      </c>
      <c r="B1" s="139"/>
      <c r="C1" s="139"/>
      <c r="D1" s="139"/>
      <c r="E1" s="139"/>
      <c r="F1" s="139"/>
      <c r="G1" s="139"/>
      <c r="H1" s="139"/>
      <c r="I1" s="139"/>
      <c r="J1" s="139"/>
      <c r="K1" s="139"/>
      <c r="L1" s="139"/>
      <c r="M1" s="140"/>
    </row>
    <row r="2" spans="1:13" ht="17" thickBot="1" x14ac:dyDescent="0.25">
      <c r="B2" s="153" t="str">
        <f>DataT2!C3</f>
        <v>PPP 2025  billions €</v>
      </c>
      <c r="C2" s="172"/>
      <c r="D2" s="154"/>
      <c r="E2" s="153" t="str">
        <f>DataT2!F3</f>
        <v xml:space="preserve"> 2025 MER billions €</v>
      </c>
      <c r="F2" s="172"/>
      <c r="G2" s="154"/>
      <c r="H2" s="153" t="str">
        <f>DataT2!I3</f>
        <v>PPP 2025  billions $</v>
      </c>
      <c r="I2" s="172"/>
      <c r="J2" s="154"/>
      <c r="K2" s="153" t="str">
        <f>DataT2!L3</f>
        <v xml:space="preserve"> 2025 MER billions $</v>
      </c>
      <c r="L2" s="172"/>
      <c r="M2" s="154"/>
    </row>
    <row r="3" spans="1:13" ht="86" thickBot="1" x14ac:dyDescent="0.25">
      <c r="B3" s="1" t="str">
        <f>DataT2!C4</f>
        <v>Consumption of Fixed Capital</v>
      </c>
      <c r="C3" s="1" t="str">
        <f>DataT2!D4</f>
        <v>Consumption of Fixed Capital
(% regional GDP)</v>
      </c>
      <c r="D3" s="14" t="str">
        <f>DataT2!E4</f>
        <v>Consumption of Fixed Capital
(% world Consumption of Fixed capital total)</v>
      </c>
      <c r="E3" s="14" t="str">
        <f>DataT2!F4</f>
        <v>Consumption of Fixed Capital</v>
      </c>
      <c r="F3" s="14" t="str">
        <f>DataT2!G4</f>
        <v>Consumption of Fixed Capital
(% regional GDP)</v>
      </c>
      <c r="G3" s="14" t="str">
        <f>DataT2!H4</f>
        <v>Consumption of Fixed Capital
(% world Consumption of Fixed capital total)</v>
      </c>
      <c r="H3" s="14" t="str">
        <f>DataT2!I4</f>
        <v>Consumption of Fixed Capital</v>
      </c>
      <c r="I3" s="14" t="str">
        <f>DataT2!J4</f>
        <v>Consumption of Fixed Capital
(% regional GDP)</v>
      </c>
      <c r="J3" s="14" t="str">
        <f>DataT2!K4</f>
        <v>Consumption of Fixed Capital
(% world Consumption of Fixed capital total)</v>
      </c>
      <c r="K3" s="14" t="str">
        <f>DataT2!L4</f>
        <v>Consumption of Fixed Capital</v>
      </c>
      <c r="L3" s="1" t="str">
        <f>DataT2!M4</f>
        <v>Consumption of Fixed Capital
(% regional GDP)</v>
      </c>
      <c r="M3" s="1" t="str">
        <f>DataT2!N4</f>
        <v>Consumption of Fixed Capital
(% world Consumption of Fixed capital total)</v>
      </c>
    </row>
    <row r="4" spans="1:13" ht="17" thickBot="1" x14ac:dyDescent="0.25">
      <c r="A4" s="61" t="str">
        <f>DataT2!B5</f>
        <v>East Asia</v>
      </c>
      <c r="B4" s="62">
        <f>DataT2!C5</f>
        <v>7030.8739297279999</v>
      </c>
      <c r="C4" s="54">
        <f>DataT2!D5</f>
        <v>0.18850481378712017</v>
      </c>
      <c r="D4" s="54">
        <f>DataT2!E5</f>
        <v>0.32014002972583289</v>
      </c>
      <c r="E4" s="62">
        <f>DataT2!F5</f>
        <v>4453.0427537920004</v>
      </c>
      <c r="F4" s="54">
        <f>DataT2!G5</f>
        <v>0.19181247975942126</v>
      </c>
      <c r="G4" s="54">
        <f>DataT2!H5</f>
        <v>0.26679831059460168</v>
      </c>
      <c r="H4" s="62">
        <f>DataT2!I5</f>
        <v>10369.946540032</v>
      </c>
      <c r="I4" s="54">
        <f>DataT2!J5</f>
        <v>0.32014004180895983</v>
      </c>
      <c r="J4" s="54">
        <f>DataT2!K5</f>
        <v>0.1885048147358617</v>
      </c>
      <c r="K4" s="62">
        <f>DataT2!L5</f>
        <v>5248.5185233920001</v>
      </c>
      <c r="L4" s="115">
        <f>DataT2!M5</f>
        <v>0.19181248401233425</v>
      </c>
      <c r="M4" s="54">
        <f>DataT2!N5</f>
        <v>0.26679830113417807</v>
      </c>
    </row>
    <row r="5" spans="1:13" ht="17" thickBot="1" x14ac:dyDescent="0.25">
      <c r="A5" s="61" t="str">
        <f>DataT2!B6</f>
        <v>Europe</v>
      </c>
      <c r="B5" s="47">
        <f>DataT2!C6</f>
        <v>4134.1909587199998</v>
      </c>
      <c r="C5" s="49">
        <f>DataT2!D6</f>
        <v>0.17142418145699118</v>
      </c>
      <c r="D5" s="49">
        <f>DataT2!E6</f>
        <v>0.1882440262256406</v>
      </c>
      <c r="E5" s="47">
        <f>DataT2!F6</f>
        <v>4127.6796395519996</v>
      </c>
      <c r="F5" s="49">
        <f>DataT2!G6</f>
        <v>0.1734273546375952</v>
      </c>
      <c r="G5" s="54">
        <f>DataT2!H6</f>
        <v>0.2473045994383119</v>
      </c>
      <c r="H5" s="62">
        <f>DataT2!I6</f>
        <v>6097.583010368</v>
      </c>
      <c r="I5" s="54">
        <f>DataT2!J6</f>
        <v>0.18824402539945889</v>
      </c>
      <c r="J5" s="54">
        <f>DataT2!K6</f>
        <v>0.1714241847833613</v>
      </c>
      <c r="K5" s="62">
        <f>DataT2!L6</f>
        <v>4865.0337751999996</v>
      </c>
      <c r="L5" s="115">
        <f>DataT2!M6</f>
        <v>0.17342735581890148</v>
      </c>
      <c r="M5" s="49">
        <f>DataT2!N6</f>
        <v>0.24730459469635246</v>
      </c>
    </row>
    <row r="6" spans="1:13" ht="17" thickBot="1" x14ac:dyDescent="0.25">
      <c r="A6" s="61" t="str">
        <f>DataT2!B7</f>
        <v>Latin America</v>
      </c>
      <c r="B6" s="62">
        <f>DataT2!C7</f>
        <v>1322.601754328</v>
      </c>
      <c r="C6" s="54">
        <f>DataT2!D7</f>
        <v>0.12813341460771469</v>
      </c>
      <c r="D6" s="54">
        <f>DataT2!E7</f>
        <v>6.0222636499810661E-2</v>
      </c>
      <c r="E6" s="62">
        <f>DataT2!F7</f>
        <v>842.22538140799998</v>
      </c>
      <c r="F6" s="54">
        <f>DataT2!G7</f>
        <v>0.12964740816878637</v>
      </c>
      <c r="G6" s="54">
        <f>DataT2!H7</f>
        <v>5.0460846958678064E-2</v>
      </c>
      <c r="H6" s="62">
        <f>DataT2!I7</f>
        <v>1950.7260406400001</v>
      </c>
      <c r="I6" s="54">
        <f>DataT2!J7</f>
        <v>6.0222636037464965E-2</v>
      </c>
      <c r="J6" s="54">
        <f>DataT2!K7</f>
        <v>0.12813341784609786</v>
      </c>
      <c r="K6" s="62">
        <f>DataT2!L7</f>
        <v>992.67754847799995</v>
      </c>
      <c r="L6" s="115">
        <f>DataT2!M7</f>
        <v>0.12964741234958863</v>
      </c>
      <c r="M6" s="54">
        <f>DataT2!N7</f>
        <v>5.0460845727721262E-2</v>
      </c>
    </row>
    <row r="7" spans="1:13" ht="18" thickBot="1" x14ac:dyDescent="0.25">
      <c r="A7" s="21" t="str">
        <f>DataT2!B8</f>
        <v>MENA</v>
      </c>
      <c r="B7" s="62">
        <f>DataT2!C8</f>
        <v>1172.9157190400001</v>
      </c>
      <c r="C7" s="54">
        <f>DataT2!D8</f>
        <v>0.10992615715376358</v>
      </c>
      <c r="D7" s="54">
        <f>DataT2!E8</f>
        <v>5.3406913125220688E-2</v>
      </c>
      <c r="E7" s="62">
        <f>DataT2!F8</f>
        <v>645.51662758400005</v>
      </c>
      <c r="F7" s="54">
        <f>DataT2!G8</f>
        <v>0.11509605097781617</v>
      </c>
      <c r="G7" s="54">
        <f>DataT2!H8</f>
        <v>3.8675295797121895E-2</v>
      </c>
      <c r="H7" s="62">
        <f>DataT2!I8</f>
        <v>1729.9517822719999</v>
      </c>
      <c r="I7" s="54">
        <f>DataT2!J8</f>
        <v>5.3406913311081897E-2</v>
      </c>
      <c r="J7" s="54">
        <f>DataT2!K8</f>
        <v>0.1099261567099579</v>
      </c>
      <c r="K7" s="62">
        <f>DataT2!L8</f>
        <v>760.82946003200004</v>
      </c>
      <c r="L7" s="116">
        <f>DataT2!M8</f>
        <v>0.11509605026451646</v>
      </c>
      <c r="M7" s="54">
        <f>DataT2!N8</f>
        <v>3.8675295987749519E-2</v>
      </c>
    </row>
    <row r="8" spans="1:13" ht="18" thickBot="1" x14ac:dyDescent="0.25">
      <c r="A8" s="21" t="str">
        <f>DataT2!B9</f>
        <v>North America &amp; Oceania</v>
      </c>
      <c r="B8" s="62">
        <f>DataT2!C9</f>
        <v>4061.7376749195</v>
      </c>
      <c r="C8" s="54">
        <f>DataT2!D9</f>
        <v>0.16621609450068492</v>
      </c>
      <c r="D8" s="54">
        <f>DataT2!E9</f>
        <v>0.18494497739309759</v>
      </c>
      <c r="E8" s="62">
        <f>DataT2!F9</f>
        <v>4998.6313867464996</v>
      </c>
      <c r="F8" s="54">
        <f>DataT2!G9</f>
        <v>0.16652868297908222</v>
      </c>
      <c r="G8" s="54">
        <f>DataT2!H9</f>
        <v>0.29948654953592441</v>
      </c>
      <c r="H8" s="62">
        <f>DataT2!I9</f>
        <v>5990.7204617930001</v>
      </c>
      <c r="I8" s="54">
        <f>DataT2!J9</f>
        <v>0.18494497456669473</v>
      </c>
      <c r="J8" s="54">
        <f>DataT2!K9</f>
        <v>0.16621608984655564</v>
      </c>
      <c r="K8" s="62">
        <f>DataT2!L9</f>
        <v>5891.5691998524999</v>
      </c>
      <c r="L8" s="116">
        <f>DataT2!M9</f>
        <v>0.16652868922737604</v>
      </c>
      <c r="M8" s="54">
        <f>DataT2!N9</f>
        <v>0.29948654015976256</v>
      </c>
    </row>
    <row r="9" spans="1:13" ht="18" thickBot="1" x14ac:dyDescent="0.25">
      <c r="A9" s="21" t="str">
        <f>DataT2!B10</f>
        <v>Russia &amp; Central Asia</v>
      </c>
      <c r="B9" s="62">
        <f>DataT2!C10</f>
        <v>966.72875008000005</v>
      </c>
      <c r="C9" s="54">
        <f>DataT2!D10</f>
        <v>0.13788110473636978</v>
      </c>
      <c r="D9" s="54">
        <f>DataT2!E10</f>
        <v>4.4018506643796633E-2</v>
      </c>
      <c r="E9" s="62">
        <f>DataT2!F10</f>
        <v>431.073410432</v>
      </c>
      <c r="F9" s="54">
        <f>DataT2!G10</f>
        <v>0.13686590292962664</v>
      </c>
      <c r="G9" s="54">
        <f>DataT2!H10</f>
        <v>2.582720714899361E-2</v>
      </c>
      <c r="H9" s="62">
        <f>DataT2!I10</f>
        <v>1425.8434339840001</v>
      </c>
      <c r="I9" s="54">
        <f>DataT2!J10</f>
        <v>4.4018508177117374E-2</v>
      </c>
      <c r="J9" s="54">
        <f>DataT2!K10</f>
        <v>0.13788111276004938</v>
      </c>
      <c r="K9" s="62">
        <f>DataT2!L10</f>
        <v>508.07886195200001</v>
      </c>
      <c r="L9" s="116">
        <f>DataT2!M10</f>
        <v>0.13686590971839044</v>
      </c>
      <c r="M9" s="54">
        <f>DataT2!N10</f>
        <v>2.5827207545677921E-2</v>
      </c>
    </row>
    <row r="10" spans="1:13" ht="18" thickBot="1" x14ac:dyDescent="0.25">
      <c r="A10" s="21" t="str">
        <f>DataT2!B11</f>
        <v>South &amp; South-East Asia</v>
      </c>
      <c r="B10" s="47">
        <f>DataT2!C11</f>
        <v>2755.6008141759999</v>
      </c>
      <c r="C10" s="49">
        <f>DataT2!D11</f>
        <v>0.1160616868052754</v>
      </c>
      <c r="D10" s="49">
        <f>DataT2!E11</f>
        <v>0.12547204449688695</v>
      </c>
      <c r="E10" s="47">
        <f>DataT2!F11</f>
        <v>962.99038563199997</v>
      </c>
      <c r="F10" s="49">
        <f>DataT2!G11</f>
        <v>0.11951800274586262</v>
      </c>
      <c r="G10" s="54">
        <f>DataT2!H11</f>
        <v>5.769632635722554E-2</v>
      </c>
      <c r="H10" s="62">
        <f>DataT2!I11</f>
        <v>4064.2788352960001</v>
      </c>
      <c r="I10" s="54">
        <f>DataT2!J11</f>
        <v>0.12547204474314647</v>
      </c>
      <c r="J10" s="54">
        <f>DataT2!K11</f>
        <v>0.11606168508951546</v>
      </c>
      <c r="K10" s="62">
        <f>DataT2!L11</f>
        <v>1135.0155657119999</v>
      </c>
      <c r="L10" s="116">
        <f>DataT2!M11</f>
        <v>0.11951800264706869</v>
      </c>
      <c r="M10" s="49">
        <f>DataT2!N11</f>
        <v>5.7696323894671851E-2</v>
      </c>
    </row>
    <row r="11" spans="1:13" ht="18" thickBot="1" x14ac:dyDescent="0.25">
      <c r="A11" s="21" t="str">
        <f>DataT2!B12</f>
        <v>Sub-Saharan Africa</v>
      </c>
      <c r="B11" s="47">
        <f>DataT2!C12</f>
        <v>517.22055436799997</v>
      </c>
      <c r="C11" s="49">
        <f>DataT2!D12</f>
        <v>9.7611966352925988E-2</v>
      </c>
      <c r="D11" s="49">
        <f>DataT2!E12</f>
        <v>2.3550842371111769E-2</v>
      </c>
      <c r="E11" s="47">
        <f>DataT2!F12</f>
        <v>229.51139354399999</v>
      </c>
      <c r="F11" s="49">
        <f>DataT2!G12</f>
        <v>9.7402012527728246E-2</v>
      </c>
      <c r="G11" s="54">
        <f>DataT2!H12</f>
        <v>1.3750878993382364E-2</v>
      </c>
      <c r="H11" s="62">
        <f>DataT2!I12</f>
        <v>762.85670167199999</v>
      </c>
      <c r="I11" s="54">
        <f>DataT2!J12</f>
        <v>2.355084237172602E-2</v>
      </c>
      <c r="J11" s="54">
        <f>DataT2!K12</f>
        <v>9.7611965071054435E-2</v>
      </c>
      <c r="K11" s="62">
        <f>DataT2!L12</f>
        <v>270.51049729599998</v>
      </c>
      <c r="L11" s="116">
        <f>DataT2!M12</f>
        <v>9.7402011589733578E-2</v>
      </c>
      <c r="M11" s="49">
        <f>DataT2!N12</f>
        <v>1.37508786138172E-2</v>
      </c>
    </row>
    <row r="12" spans="1:13" ht="18" thickBot="1" x14ac:dyDescent="0.25">
      <c r="A12" s="22" t="str">
        <f>DataT2!B13</f>
        <v>World</v>
      </c>
      <c r="B12" s="63">
        <f>DataT2!C13</f>
        <v>21961.870155359498</v>
      </c>
      <c r="C12" s="118">
        <f>DataT2!D13</f>
        <v>0.15369123311351771</v>
      </c>
      <c r="D12" s="118">
        <f>DataT2!E13</f>
        <v>0.99999997648139782</v>
      </c>
      <c r="E12" s="63">
        <f>DataT2!F13</f>
        <v>16690.670978690501</v>
      </c>
      <c r="F12" s="118">
        <f>DataT2!G13</f>
        <v>0.16251733021348427</v>
      </c>
      <c r="G12" s="71">
        <f>DataT2!H13</f>
        <v>1.0000000148242394</v>
      </c>
      <c r="H12" s="114">
        <f>DataT2!I13</f>
        <v>32391.906806056999</v>
      </c>
      <c r="I12" s="71">
        <f>DataT2!J13</f>
        <v>0.99999998641565013</v>
      </c>
      <c r="J12" s="260">
        <f>DataT2!K13</f>
        <v>0.15369123356410652</v>
      </c>
      <c r="K12" s="114">
        <f>DataT2!L13</f>
        <v>19672.233431914501</v>
      </c>
      <c r="L12" s="117">
        <f>DataT2!M13</f>
        <v>0.16251733343514688</v>
      </c>
      <c r="M12" s="118">
        <f>DataT2!N13</f>
        <v>0.99999998775993082</v>
      </c>
    </row>
    <row r="13" spans="1:13" ht="30" customHeight="1" x14ac:dyDescent="0.2">
      <c r="A13" s="166" t="s">
        <v>702</v>
      </c>
      <c r="B13" s="167"/>
      <c r="C13" s="167"/>
      <c r="D13" s="167"/>
      <c r="E13" s="167"/>
      <c r="F13" s="167"/>
      <c r="G13" s="167"/>
      <c r="H13" s="167"/>
      <c r="I13" s="167"/>
      <c r="J13" s="167"/>
      <c r="K13" s="167"/>
      <c r="L13" s="167"/>
      <c r="M13" s="168"/>
    </row>
    <row r="14" spans="1:13" ht="30" customHeight="1" thickBot="1" x14ac:dyDescent="0.25">
      <c r="A14" s="169"/>
      <c r="B14" s="170"/>
      <c r="C14" s="170"/>
      <c r="D14" s="170"/>
      <c r="E14" s="170"/>
      <c r="F14" s="170"/>
      <c r="G14" s="170"/>
      <c r="H14" s="170"/>
      <c r="I14" s="170"/>
      <c r="J14" s="170"/>
      <c r="K14" s="170"/>
      <c r="L14" s="170"/>
      <c r="M14" s="171"/>
    </row>
  </sheetData>
  <mergeCells count="6">
    <mergeCell ref="A13:M14"/>
    <mergeCell ref="A1:M1"/>
    <mergeCell ref="B2:D2"/>
    <mergeCell ref="E2:G2"/>
    <mergeCell ref="H2:J2"/>
    <mergeCell ref="K2:M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CF94-6E9C-E94B-812B-DD1EA60463A0}">
  <sheetPr>
    <tabColor theme="8"/>
  </sheetPr>
  <dimension ref="A1:I14"/>
  <sheetViews>
    <sheetView tabSelected="1" workbookViewId="0">
      <selection activeCell="H16" sqref="H16"/>
    </sheetView>
  </sheetViews>
  <sheetFormatPr baseColWidth="10" defaultRowHeight="38" customHeight="1" x14ac:dyDescent="0.2"/>
  <cols>
    <col min="1" max="1" width="22.1640625" customWidth="1"/>
  </cols>
  <sheetData>
    <row r="1" spans="1:9" ht="17" thickBot="1" x14ac:dyDescent="0.25">
      <c r="A1" s="138" t="str">
        <f>DataT3!B2</f>
        <v>Table 3. National Income by World Region USD-EUR (2025)</v>
      </c>
      <c r="B1" s="139"/>
      <c r="C1" s="139"/>
      <c r="D1" s="139"/>
      <c r="E1" s="139"/>
      <c r="F1" s="139"/>
      <c r="G1" s="139"/>
      <c r="H1" s="139"/>
      <c r="I1" s="139"/>
    </row>
    <row r="2" spans="1:9" ht="17" thickBot="1" x14ac:dyDescent="0.25">
      <c r="B2" s="153" t="str">
        <f>DataT3!C3</f>
        <v>PPP 2025  billions €</v>
      </c>
      <c r="C2" s="154"/>
      <c r="D2" s="155" t="str">
        <f>DataT3!E3</f>
        <v xml:space="preserve"> 2025 MER billions €</v>
      </c>
      <c r="E2" s="156"/>
      <c r="F2" s="153" t="str">
        <f>DataT3!G3</f>
        <v>PPP 2025  billions $</v>
      </c>
      <c r="G2" s="154"/>
      <c r="H2" s="153" t="str">
        <f>DataT3!I3</f>
        <v xml:space="preserve"> 2025 MER billions $</v>
      </c>
      <c r="I2" s="154"/>
    </row>
    <row r="3" spans="1:9" ht="69" thickBot="1" x14ac:dyDescent="0.25">
      <c r="B3" s="1" t="str">
        <f>DataT3!C4</f>
        <v>National income</v>
      </c>
      <c r="C3" s="1" t="str">
        <f>DataT3!D4</f>
        <v>National income      (% world total)</v>
      </c>
      <c r="D3" s="14" t="str">
        <f>DataT3!E4</f>
        <v>National income</v>
      </c>
      <c r="E3" s="1" t="str">
        <f>DataT3!F4</f>
        <v>National income      (% world total)</v>
      </c>
      <c r="F3" s="1" t="str">
        <f>DataT3!G4</f>
        <v>National income</v>
      </c>
      <c r="G3" s="1" t="str">
        <f>DataT3!H4</f>
        <v>National income      (% world total)</v>
      </c>
      <c r="H3" s="1" t="str">
        <f>DataT3!I4</f>
        <v>National income</v>
      </c>
      <c r="I3" s="1" t="str">
        <f>DataT3!J4</f>
        <v>National income      (% world total)</v>
      </c>
    </row>
    <row r="4" spans="1:9" ht="38" customHeight="1" thickBot="1" x14ac:dyDescent="0.25">
      <c r="A4" s="61" t="str">
        <f>DataT3!B5</f>
        <v>East Asia</v>
      </c>
      <c r="B4" s="62">
        <f>DataT3!C5</f>
        <v>30310.741852160001</v>
      </c>
      <c r="C4" s="54">
        <f>DataT3!D5/100</f>
        <v>0.2524465678712382</v>
      </c>
      <c r="D4" s="62">
        <f>DataT3!E5</f>
        <v>18893.618067455998</v>
      </c>
      <c r="E4" s="54">
        <f>DataT3!F5/100</f>
        <v>0.2196671977065176</v>
      </c>
      <c r="F4" s="62">
        <f>DataT3!G5</f>
        <v>44705.789251583999</v>
      </c>
      <c r="G4" s="54">
        <f>DataT3!H5/100</f>
        <v>0.25244656335809956</v>
      </c>
      <c r="H4" s="62">
        <f>DataT3!I5</f>
        <v>22268.707115008001</v>
      </c>
      <c r="I4" s="54">
        <f>DataT3!J5/100</f>
        <v>0.21966719502086846</v>
      </c>
    </row>
    <row r="5" spans="1:9" ht="38" customHeight="1" thickBot="1" x14ac:dyDescent="0.25">
      <c r="A5" s="61" t="str">
        <f>DataT3!B6</f>
        <v>Europe</v>
      </c>
      <c r="B5" s="47">
        <f>DataT3!C6</f>
        <v>20201.059437568001</v>
      </c>
      <c r="C5" s="54">
        <f>DataT3!D6/100</f>
        <v>0.16824689238061372</v>
      </c>
      <c r="D5" s="47">
        <f>DataT3!E6</f>
        <v>19982.903249792002</v>
      </c>
      <c r="E5" s="54">
        <f>DataT3!F6/100</f>
        <v>0.2323318034296078</v>
      </c>
      <c r="F5" s="47">
        <f>DataT3!G6</f>
        <v>29794.858881536002</v>
      </c>
      <c r="G5" s="54">
        <f>DataT3!H6/100</f>
        <v>0.16824688382202779</v>
      </c>
      <c r="H5" s="47">
        <f>DataT3!I6</f>
        <v>23552.578794112</v>
      </c>
      <c r="I5" s="54">
        <f>DataT3!J6/100</f>
        <v>0.23233180500738349</v>
      </c>
    </row>
    <row r="6" spans="1:9" ht="38" customHeight="1" thickBot="1" x14ac:dyDescent="0.25">
      <c r="A6" s="61" t="str">
        <f>DataT3!B7</f>
        <v>Latin America</v>
      </c>
      <c r="B6" s="62">
        <f>DataT3!C7</f>
        <v>8669.1455288159996</v>
      </c>
      <c r="C6" s="54">
        <f>DataT3!D7/100</f>
        <v>7.2201995114478959E-2</v>
      </c>
      <c r="D6" s="62">
        <f>DataT3!E7</f>
        <v>5460.5569157199998</v>
      </c>
      <c r="E6" s="54">
        <f>DataT3!F7/100</f>
        <v>6.348732314321992E-2</v>
      </c>
      <c r="F6" s="62">
        <f>DataT3!G7</f>
        <v>12786.25848656</v>
      </c>
      <c r="G6" s="54">
        <f>DataT3!H7/100</f>
        <v>7.2201991446242925E-2</v>
      </c>
      <c r="H6" s="62">
        <f>DataT3!I7</f>
        <v>6436.0114317999996</v>
      </c>
      <c r="I6" s="54">
        <f>DataT3!J7/100</f>
        <v>6.3487321964593613E-2</v>
      </c>
    </row>
    <row r="7" spans="1:9" ht="38" customHeight="1" thickBot="1" x14ac:dyDescent="0.25">
      <c r="A7" s="21" t="str">
        <f>DataT3!B8</f>
        <v>MENA</v>
      </c>
      <c r="B7" s="62">
        <f>DataT3!C8</f>
        <v>9423.3005813759992</v>
      </c>
      <c r="C7" s="54">
        <f>DataT3!D8/100</f>
        <v>7.848306390488069E-2</v>
      </c>
      <c r="D7" s="62">
        <f>DataT3!E8</f>
        <v>4949.6984770560002</v>
      </c>
      <c r="E7" s="54">
        <f>DataT3!F8/100</f>
        <v>5.7547812709305556E-2</v>
      </c>
      <c r="F7" s="62">
        <f>DataT3!G8</f>
        <v>13898.573740031999</v>
      </c>
      <c r="G7" s="54">
        <f>DataT3!H8/100</f>
        <v>7.8483060806848193E-2</v>
      </c>
      <c r="H7" s="62">
        <f>DataT3!I8</f>
        <v>5833.8952980479999</v>
      </c>
      <c r="I7" s="54">
        <f>DataT3!J8/100</f>
        <v>5.7547814049068002E-2</v>
      </c>
    </row>
    <row r="8" spans="1:9" ht="38" customHeight="1" thickBot="1" x14ac:dyDescent="0.25">
      <c r="A8" s="21" t="str">
        <f>DataT3!B9</f>
        <v>North America &amp; Oceania</v>
      </c>
      <c r="B8" s="62">
        <f>DataT3!C9</f>
        <v>20396.535609375998</v>
      </c>
      <c r="C8" s="54">
        <f>DataT3!D9/100</f>
        <v>0.16987493859981315</v>
      </c>
      <c r="D8" s="62">
        <f>DataT3!E9</f>
        <v>25039.376816119999</v>
      </c>
      <c r="E8" s="54">
        <f>DataT3!F9/100</f>
        <v>0.29112103980702719</v>
      </c>
      <c r="F8" s="62">
        <f>DataT3!G9</f>
        <v>30083.169122791998</v>
      </c>
      <c r="G8" s="54">
        <f>DataT3!H9/100</f>
        <v>0.16987492642690019</v>
      </c>
      <c r="H8" s="62">
        <f>DataT3!I9</f>
        <v>29512.321401231999</v>
      </c>
      <c r="I8" s="54">
        <f>DataT3!J9/100</f>
        <v>0.29112102589888728</v>
      </c>
    </row>
    <row r="9" spans="1:9" ht="38" customHeight="1" thickBot="1" x14ac:dyDescent="0.25">
      <c r="A9" s="21" t="str">
        <f>DataT3!B10</f>
        <v>Russia &amp; Central Asia</v>
      </c>
      <c r="B9" s="62">
        <f>DataT3!C10</f>
        <v>5964.8477102079996</v>
      </c>
      <c r="C9" s="54">
        <f>DataT3!D10/100</f>
        <v>4.9678933615718075E-2</v>
      </c>
      <c r="D9" s="62">
        <f>DataT3!E10</f>
        <v>2684.9708349440002</v>
      </c>
      <c r="E9" s="54">
        <f>DataT3!F10/100</f>
        <v>3.121689118146195E-2</v>
      </c>
      <c r="F9" s="62">
        <f>DataT3!G10</f>
        <v>8797.6471060479998</v>
      </c>
      <c r="G9" s="54">
        <f>DataT3!H10/100</f>
        <v>4.9678930061176733E-2</v>
      </c>
      <c r="H9" s="62">
        <f>DataT3!I10</f>
        <v>3164.6046515200001</v>
      </c>
      <c r="I9" s="54">
        <f>DataT3!J10/100</f>
        <v>3.1216892097022018E-2</v>
      </c>
    </row>
    <row r="10" spans="1:9" ht="38" customHeight="1" thickBot="1" x14ac:dyDescent="0.25">
      <c r="A10" s="21" t="str">
        <f>DataT3!B11</f>
        <v>South &amp; South-East Asia</v>
      </c>
      <c r="B10" s="47">
        <f>DataT3!C11</f>
        <v>20456.393640959999</v>
      </c>
      <c r="C10" s="54">
        <f>DataT3!D11/100</f>
        <v>0.17037347323504615</v>
      </c>
      <c r="D10" s="47">
        <f>DataT3!E11</f>
        <v>6950.255974144</v>
      </c>
      <c r="E10" s="54">
        <f>DataT3!F11/100</f>
        <v>8.0807352394456924E-2</v>
      </c>
      <c r="F10" s="47">
        <f>DataT3!G11</f>
        <v>30171.455315456002</v>
      </c>
      <c r="G10" s="54">
        <f>DataT3!H11/100</f>
        <v>0.17037346467671324</v>
      </c>
      <c r="H10" s="47">
        <f>DataT3!I11</f>
        <v>8191.8249675520001</v>
      </c>
      <c r="I10" s="54">
        <f>DataT3!J11/100</f>
        <v>8.0807350127269306E-2</v>
      </c>
    </row>
    <row r="11" spans="1:9" ht="38" customHeight="1" thickBot="1" x14ac:dyDescent="0.25">
      <c r="A11" s="21" t="str">
        <f>DataT3!B12</f>
        <v>Sub-Saharan Africa</v>
      </c>
      <c r="B11" s="47">
        <f>DataT3!C12</f>
        <v>4645.92921088</v>
      </c>
      <c r="C11" s="54">
        <f>DataT3!D12/100</f>
        <v>3.8694166232549898E-2</v>
      </c>
      <c r="D11" s="47">
        <f>DataT3!E12</f>
        <v>2048.81714496</v>
      </c>
      <c r="E11" s="54">
        <f>DataT3!F12/100</f>
        <v>2.3820631878954404E-2</v>
      </c>
      <c r="F11" s="47">
        <f>DataT3!G12</f>
        <v>6852.3539773439998</v>
      </c>
      <c r="G11" s="54">
        <f>DataT3!H12/100</f>
        <v>3.8694165598080921E-2</v>
      </c>
      <c r="H11" s="47">
        <f>DataT3!I12</f>
        <v>2414.8106117759999</v>
      </c>
      <c r="I11" s="54">
        <f>DataT3!J12/100</f>
        <v>2.3820631833536537E-2</v>
      </c>
    </row>
    <row r="12" spans="1:9" ht="38" customHeight="1" thickBot="1" x14ac:dyDescent="0.25">
      <c r="A12" s="22" t="str">
        <f>DataT3!B13</f>
        <v>World</v>
      </c>
      <c r="B12" s="63">
        <f>DataT3!C13</f>
        <v>120067.94985472001</v>
      </c>
      <c r="C12" s="54">
        <f>DataT3!D13/100</f>
        <v>1</v>
      </c>
      <c r="D12" s="63">
        <f>DataT3!E13</f>
        <v>86010.192986112001</v>
      </c>
      <c r="E12" s="54">
        <f>DataT3!F13/100</f>
        <v>1</v>
      </c>
      <c r="F12" s="63">
        <f>DataT3!G13</f>
        <v>177090.108325888</v>
      </c>
      <c r="G12" s="54">
        <f>DataT3!H13/100</f>
        <v>1</v>
      </c>
      <c r="H12" s="63">
        <f>DataT3!I13</f>
        <v>101374.750621696</v>
      </c>
      <c r="I12" s="54">
        <f>DataT3!J13/100</f>
        <v>1</v>
      </c>
    </row>
    <row r="13" spans="1:9" ht="19" customHeight="1" x14ac:dyDescent="0.2">
      <c r="A13" s="147" t="s">
        <v>642</v>
      </c>
      <c r="B13" s="148"/>
      <c r="C13" s="148"/>
      <c r="D13" s="148"/>
      <c r="E13" s="148"/>
      <c r="F13" s="148"/>
      <c r="G13" s="148"/>
      <c r="H13" s="148"/>
      <c r="I13" s="149"/>
    </row>
    <row r="14" spans="1:9" ht="28" customHeight="1" thickBot="1" x14ac:dyDescent="0.25">
      <c r="A14" s="150"/>
      <c r="B14" s="151"/>
      <c r="C14" s="151"/>
      <c r="D14" s="151"/>
      <c r="E14" s="151"/>
      <c r="F14" s="151"/>
      <c r="G14" s="151"/>
      <c r="H14" s="151"/>
      <c r="I14" s="152"/>
    </row>
  </sheetData>
  <mergeCells count="6">
    <mergeCell ref="A13:I14"/>
    <mergeCell ref="A1:I1"/>
    <mergeCell ref="H2:I2"/>
    <mergeCell ref="F2:G2"/>
    <mergeCell ref="D2:E2"/>
    <mergeCell ref="B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756C-ECE6-D346-AFDF-AB44D132DEF5}">
  <sheetPr>
    <tabColor theme="8"/>
  </sheetPr>
  <dimension ref="A1:G13"/>
  <sheetViews>
    <sheetView zoomScale="90" zoomScaleNormal="90" workbookViewId="0">
      <selection activeCell="H15" sqref="H15"/>
    </sheetView>
  </sheetViews>
  <sheetFormatPr baseColWidth="10" defaultColWidth="17.5" defaultRowHeight="45" customHeight="1" x14ac:dyDescent="0.2"/>
  <sheetData>
    <row r="1" spans="1:7" ht="17" thickBot="1" x14ac:dyDescent="0.25">
      <c r="A1" s="138" t="str">
        <f>'DataT4-'!B3</f>
        <v>Table 4. Per Capita National Income by World Region (2025)</v>
      </c>
      <c r="B1" s="139"/>
      <c r="C1" s="139"/>
      <c r="D1" s="139"/>
      <c r="E1" s="139"/>
      <c r="F1" s="139"/>
      <c r="G1" s="140"/>
    </row>
    <row r="2" spans="1:7" ht="55" customHeight="1" thickBot="1" x14ac:dyDescent="0.25">
      <c r="A2" s="20"/>
      <c r="B2" s="1" t="str">
        <f>'DataT4-'!C4</f>
        <v>Population (millions)</v>
      </c>
      <c r="C2" s="1" t="str">
        <f>'DataT4-'!D4</f>
        <v>Population (% world total)</v>
      </c>
      <c r="D2" s="14" t="str">
        <f>'DataT4-'!E4</f>
        <v>National income        (PPP 2025 billions €)</v>
      </c>
      <c r="E2" s="1" t="str">
        <f>'DataT4-'!F4</f>
        <v>National income      (% world total)</v>
      </c>
      <c r="F2" s="1" t="str">
        <f>'DataT4-'!G4</f>
        <v>Per capita national income   (PPP 2025 €)</v>
      </c>
      <c r="G2" s="1" t="str">
        <f>'DataT4-'!H4</f>
        <v>Per capita national income      (% world average)</v>
      </c>
    </row>
    <row r="3" spans="1:7" ht="45" customHeight="1" thickBot="1" x14ac:dyDescent="0.25">
      <c r="A3" s="61" t="str">
        <f>'DataT4-'!B5</f>
        <v>East Asia</v>
      </c>
      <c r="B3" s="62">
        <f>'DataT4-'!C5</f>
        <v>1652.185614</v>
      </c>
      <c r="C3" s="54">
        <f>'DataT4-'!D5/100</f>
        <v>0.20073858138329992</v>
      </c>
      <c r="D3" s="62">
        <f>'DataT4-'!E5</f>
        <v>30310.741852160001</v>
      </c>
      <c r="E3" s="54">
        <f>'DataT4-'!F5/100</f>
        <v>0.25244656787123826</v>
      </c>
      <c r="F3" s="62">
        <f>'DataT4-'!G5</f>
        <v>18345.845403396666</v>
      </c>
      <c r="G3" s="54">
        <f>'DataT4-'!H5/100</f>
        <v>1.2575886814164772</v>
      </c>
    </row>
    <row r="4" spans="1:7" ht="45" customHeight="1" thickBot="1" x14ac:dyDescent="0.25">
      <c r="A4" s="61" t="str">
        <f>'DataT4-'!B6</f>
        <v>Europe</v>
      </c>
      <c r="B4" s="47">
        <f>'DataT4-'!C6</f>
        <v>555.98501699999997</v>
      </c>
      <c r="C4" s="54">
        <f>'DataT4-'!D6/100</f>
        <v>6.7551516389701388E-2</v>
      </c>
      <c r="D4" s="47">
        <f>'DataT4-'!E6</f>
        <v>20201.059437568001</v>
      </c>
      <c r="E4" s="54">
        <f>'DataT4-'!F6/100</f>
        <v>0.16824689238061374</v>
      </c>
      <c r="F4" s="47">
        <f>'DataT4-'!G6</f>
        <v>36333.819833076544</v>
      </c>
      <c r="G4" s="54">
        <f>'DataT4-'!H6/100</f>
        <v>2.490645678625564</v>
      </c>
    </row>
    <row r="5" spans="1:7" ht="45" customHeight="1" thickBot="1" x14ac:dyDescent="0.25">
      <c r="A5" s="61" t="str">
        <f>'DataT4-'!B7</f>
        <v>Latin America</v>
      </c>
      <c r="B5" s="62">
        <f>'DataT4-'!C7</f>
        <v>666.73669299999995</v>
      </c>
      <c r="C5" s="54">
        <f>'DataT4-'!D7/100</f>
        <v>8.1007712919725708E-2</v>
      </c>
      <c r="D5" s="62">
        <f>'DataT4-'!E7</f>
        <v>8669.1455288159996</v>
      </c>
      <c r="E5" s="54">
        <f>'DataT4-'!F7/100</f>
        <v>7.2201995114478987E-2</v>
      </c>
      <c r="F5" s="62">
        <f>'DataT4-'!G7</f>
        <v>13002.35253261515</v>
      </c>
      <c r="G5" s="54">
        <f>'DataT4-'!H7/100</f>
        <v>0.89129778526184666</v>
      </c>
    </row>
    <row r="6" spans="1:7" ht="45" customHeight="1" thickBot="1" x14ac:dyDescent="0.25">
      <c r="A6" s="21" t="str">
        <f>'DataT4-'!B8</f>
        <v>MENA</v>
      </c>
      <c r="B6" s="62">
        <f>'DataT4-'!C8</f>
        <v>612.22661800000003</v>
      </c>
      <c r="C6" s="54">
        <f>'DataT4-'!D8/100</f>
        <v>7.4384803826536297E-2</v>
      </c>
      <c r="D6" s="62">
        <f>'DataT4-'!E8</f>
        <v>9423.3005813759992</v>
      </c>
      <c r="E6" s="54">
        <f>'DataT4-'!F8/100</f>
        <v>7.8483063904880704E-2</v>
      </c>
      <c r="F6" s="62">
        <f>'DataT4-'!G8</f>
        <v>15391.850508165915</v>
      </c>
      <c r="G6" s="54">
        <f>'DataT4-'!H8/100</f>
        <v>1.0550953940525467</v>
      </c>
    </row>
    <row r="7" spans="1:7" ht="45" customHeight="1" thickBot="1" x14ac:dyDescent="0.25">
      <c r="A7" s="21" t="str">
        <f>'DataT4-'!B9</f>
        <v>North America &amp; Oceania</v>
      </c>
      <c r="B7" s="62">
        <f>'DataT4-'!C9</f>
        <v>433.84501899999998</v>
      </c>
      <c r="C7" s="54">
        <f>'DataT4-'!D9/100</f>
        <v>5.2711652320603465E-2</v>
      </c>
      <c r="D7" s="62">
        <f>'DataT4-'!E9</f>
        <v>20396.535609375998</v>
      </c>
      <c r="E7" s="54">
        <f>'DataT4-'!F9/100</f>
        <v>0.16987493859981315</v>
      </c>
      <c r="F7" s="62">
        <f>'DataT4-'!G9</f>
        <v>47013.414274962553</v>
      </c>
      <c r="G7" s="54">
        <f>'DataT4-'!H9/100</f>
        <v>3.2227208050052703</v>
      </c>
    </row>
    <row r="8" spans="1:7" ht="45" customHeight="1" thickBot="1" x14ac:dyDescent="0.25">
      <c r="A8" s="21" t="str">
        <f>'DataT4-'!B10</f>
        <v>Russia &amp; Central Asia</v>
      </c>
      <c r="B8" s="62">
        <f>'DataT4-'!C10</f>
        <v>292.729918</v>
      </c>
      <c r="C8" s="54">
        <f>'DataT4-'!D10/100</f>
        <v>3.5566335870401602E-2</v>
      </c>
      <c r="D8" s="62">
        <f>'DataT4-'!E10</f>
        <v>5964.8477102079996</v>
      </c>
      <c r="E8" s="54">
        <f>'DataT4-'!F10/100</f>
        <v>4.9678933615718061E-2</v>
      </c>
      <c r="F8" s="62">
        <f>'DataT4-'!G10</f>
        <v>20376.62481157119</v>
      </c>
      <c r="G8" s="54">
        <f>'DataT4-'!H10/100</f>
        <v>1.3967965043332171</v>
      </c>
    </row>
    <row r="9" spans="1:7" ht="45" customHeight="1" thickBot="1" x14ac:dyDescent="0.25">
      <c r="A9" s="21" t="str">
        <f>'DataT4-'!B11</f>
        <v>South &amp; South-East Asia</v>
      </c>
      <c r="B9" s="47">
        <f>'DataT4-'!C11</f>
        <v>2692.8217340000001</v>
      </c>
      <c r="C9" s="54">
        <f>'DataT4-'!D11/100</f>
        <v>0.32717462869839364</v>
      </c>
      <c r="D9" s="47">
        <f>'DataT4-'!E11</f>
        <v>20456.393640959999</v>
      </c>
      <c r="E9" s="54">
        <f>'DataT4-'!F11/100</f>
        <v>0.17037347323504612</v>
      </c>
      <c r="F9" s="47">
        <f>'DataT4-'!G11</f>
        <v>7596.6386421627121</v>
      </c>
      <c r="G9" s="54">
        <f>'DataT4-'!H11/100</f>
        <v>0.52074170271957465</v>
      </c>
    </row>
    <row r="10" spans="1:7" ht="45" customHeight="1" thickBot="1" x14ac:dyDescent="0.25">
      <c r="A10" s="21" t="str">
        <f>'DataT4-'!B12</f>
        <v>Sub-Saharan Africa</v>
      </c>
      <c r="B10" s="47">
        <f>'DataT4-'!C12</f>
        <v>1324.0028629999999</v>
      </c>
      <c r="C10" s="54">
        <f>'DataT4-'!D12/100</f>
        <v>0.16086476859133791</v>
      </c>
      <c r="D10" s="47">
        <f>'DataT4-'!E12</f>
        <v>4645.92921088</v>
      </c>
      <c r="E10" s="54">
        <f>'DataT4-'!F12/100</f>
        <v>3.8694166232549905E-2</v>
      </c>
      <c r="F10" s="47">
        <f>'DataT4-'!G12</f>
        <v>3509.002390185919</v>
      </c>
      <c r="G10" s="54">
        <f>'DataT4-'!H12/100</f>
        <v>0.24053847571091752</v>
      </c>
    </row>
    <row r="11" spans="1:7" ht="45" customHeight="1" thickBot="1" x14ac:dyDescent="0.25">
      <c r="A11" s="22" t="str">
        <f>'DataT4-'!B13</f>
        <v>World</v>
      </c>
      <c r="B11" s="63">
        <f>'DataT4-'!C13</f>
        <v>8230.5334760000005</v>
      </c>
      <c r="C11" s="71">
        <f>'DataT4-'!D13/100</f>
        <v>1</v>
      </c>
      <c r="D11" s="63">
        <f>'DataT4-'!E13</f>
        <v>120067.94985472001</v>
      </c>
      <c r="E11" s="71">
        <f>'DataT4-'!F13/100</f>
        <v>1</v>
      </c>
      <c r="F11" s="63">
        <f>'DataT4-'!G13</f>
        <v>14588.112690973763</v>
      </c>
      <c r="G11" s="71">
        <f>'DataT4-'!H13/100</f>
        <v>1.0000000000000002</v>
      </c>
    </row>
    <row r="12" spans="1:7" ht="45" customHeight="1" x14ac:dyDescent="0.2">
      <c r="A12" s="141" t="s">
        <v>703</v>
      </c>
      <c r="B12" s="142"/>
      <c r="C12" s="142"/>
      <c r="D12" s="142"/>
      <c r="E12" s="142"/>
      <c r="F12" s="142"/>
      <c r="G12" s="143"/>
    </row>
    <row r="13" spans="1:7" ht="16" thickBot="1" x14ac:dyDescent="0.25">
      <c r="A13" s="144"/>
      <c r="B13" s="145"/>
      <c r="C13" s="145"/>
      <c r="D13" s="145"/>
      <c r="E13" s="145"/>
      <c r="F13" s="145"/>
      <c r="G13" s="146"/>
    </row>
  </sheetData>
  <mergeCells count="2">
    <mergeCell ref="A1:G1"/>
    <mergeCell ref="A12:G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23C4-1977-9645-8012-C903BBF5F241}">
  <sheetPr>
    <tabColor theme="8"/>
  </sheetPr>
  <dimension ref="A1:K14"/>
  <sheetViews>
    <sheetView workbookViewId="0">
      <selection activeCell="B12" sqref="B12"/>
    </sheetView>
  </sheetViews>
  <sheetFormatPr baseColWidth="10" defaultRowHeight="43" customHeight="1" x14ac:dyDescent="0.2"/>
  <cols>
    <col min="1" max="1" width="15.33203125" customWidth="1"/>
    <col min="2" max="2" width="16.5" customWidth="1"/>
    <col min="3" max="3" width="20.83203125" customWidth="1"/>
    <col min="4" max="4" width="15.6640625" customWidth="1"/>
    <col min="5" max="5" width="16.5" customWidth="1"/>
    <col min="6" max="6" width="15.1640625" customWidth="1"/>
    <col min="7" max="7" width="20.6640625" customWidth="1"/>
    <col min="8" max="9" width="17.5" customWidth="1"/>
  </cols>
  <sheetData>
    <row r="1" spans="1:11" ht="17" thickBot="1" x14ac:dyDescent="0.25">
      <c r="A1" s="138" t="str">
        <f>DataT4a!B2</f>
        <v>Table 4a. Per capita national Income by World Region USD-EUR (2025)</v>
      </c>
      <c r="B1" s="139"/>
      <c r="C1" s="139"/>
      <c r="D1" s="139"/>
      <c r="E1" s="139"/>
      <c r="F1" s="139"/>
      <c r="G1" s="139"/>
      <c r="H1" s="139"/>
      <c r="I1" s="139"/>
    </row>
    <row r="2" spans="1:11" ht="17" thickBot="1" x14ac:dyDescent="0.25">
      <c r="B2" s="153" t="str">
        <f>DataT4a!C3</f>
        <v>PPP 2025   €</v>
      </c>
      <c r="C2" s="154"/>
      <c r="D2" s="155" t="str">
        <f>DataT4a!E3</f>
        <v>2025 MER €</v>
      </c>
      <c r="E2" s="156"/>
      <c r="F2" s="153" t="str">
        <f>DataT4a!G3</f>
        <v>PPP 2025  $</v>
      </c>
      <c r="G2" s="154"/>
      <c r="H2" s="153" t="str">
        <f>DataT4a!I3</f>
        <v>2025 MER $</v>
      </c>
      <c r="I2" s="154"/>
    </row>
    <row r="3" spans="1:11" ht="52" thickBot="1" x14ac:dyDescent="0.25">
      <c r="B3" s="1" t="str">
        <f>DataT4a!C4</f>
        <v>Per capita national income</v>
      </c>
      <c r="C3" s="1" t="str">
        <f>DataT4a!D4</f>
        <v>Per capita national income      (% world total)</v>
      </c>
      <c r="D3" s="14" t="str">
        <f>DataT4a!E4</f>
        <v>Per capita national income</v>
      </c>
      <c r="E3" s="1" t="str">
        <f>DataT4a!F4</f>
        <v>Per capita national income      (% world total)</v>
      </c>
      <c r="F3" s="1" t="str">
        <f>DataT4a!G4</f>
        <v>Per capita national income</v>
      </c>
      <c r="G3" s="1" t="str">
        <f>DataT4a!H4</f>
        <v>Per capita national income      (% world total)</v>
      </c>
      <c r="H3" s="1" t="str">
        <f>DataT4a!I4</f>
        <v>Per capita national income</v>
      </c>
      <c r="I3" s="1" t="str">
        <f>DataT4a!J4</f>
        <v>Per capita national income      (% world total)</v>
      </c>
    </row>
    <row r="4" spans="1:11" ht="43" customHeight="1" thickBot="1" x14ac:dyDescent="0.25">
      <c r="A4" s="61" t="str">
        <f>DataT4a!B5</f>
        <v>East Asia</v>
      </c>
      <c r="B4" s="62">
        <f>DataT4a!C5</f>
        <v>18345.845403396666</v>
      </c>
      <c r="C4" s="54">
        <f>DataT4a!D5/100</f>
        <v>1.2575886814164767</v>
      </c>
      <c r="D4" s="62">
        <f>DataT4a!E5</f>
        <v>11435.529947336776</v>
      </c>
      <c r="E4" s="54">
        <f>DataT4a!F5/100</f>
        <v>1.0942948594773345</v>
      </c>
      <c r="F4" s="62">
        <f>DataT4a!G5</f>
        <v>27058.575545485895</v>
      </c>
      <c r="G4" s="54">
        <f>DataT4a!H5/100</f>
        <v>1.2575886589338099</v>
      </c>
      <c r="H4" s="62">
        <f>DataT4a!I5</f>
        <v>13478.332534983567</v>
      </c>
      <c r="I4" s="54">
        <f>DataT4a!J5/100</f>
        <v>1.0942948460984956</v>
      </c>
      <c r="K4" s="79">
        <f>B4/12</f>
        <v>1528.8204502830556</v>
      </c>
    </row>
    <row r="5" spans="1:11" ht="43" customHeight="1" thickBot="1" x14ac:dyDescent="0.25">
      <c r="A5" s="61" t="str">
        <f>DataT4a!B6</f>
        <v>Europe</v>
      </c>
      <c r="B5" s="47">
        <f>DataT4a!C6</f>
        <v>36333.819833076544</v>
      </c>
      <c r="C5" s="54">
        <f>DataT4a!D6/100</f>
        <v>2.4906456786255635</v>
      </c>
      <c r="D5" s="47">
        <f>DataT4a!E6</f>
        <v>35941.442015139772</v>
      </c>
      <c r="E5" s="54">
        <f>DataT4a!F6/100</f>
        <v>3.4393277286226551</v>
      </c>
      <c r="F5" s="47">
        <f>DataT4a!G6</f>
        <v>53589.319802724109</v>
      </c>
      <c r="G5" s="54">
        <f>DataT4a!H6/100</f>
        <v>2.4906455519283943</v>
      </c>
      <c r="H5" s="47">
        <f>DataT4a!I6</f>
        <v>42361.894788456142</v>
      </c>
      <c r="I5" s="54">
        <f>DataT4a!J6/100</f>
        <v>3.4393277519792842</v>
      </c>
      <c r="K5" s="79">
        <f t="shared" ref="K5:K12" si="0">B5/12</f>
        <v>3027.8183194230455</v>
      </c>
    </row>
    <row r="6" spans="1:11" ht="43" customHeight="1" thickBot="1" x14ac:dyDescent="0.25">
      <c r="A6" s="61" t="str">
        <f>DataT4a!B7</f>
        <v>Latin America</v>
      </c>
      <c r="B6" s="62">
        <f>DataT4a!C7</f>
        <v>13002.35253261515</v>
      </c>
      <c r="C6" s="54">
        <f>DataT4a!D7/100</f>
        <v>0.89129778526184655</v>
      </c>
      <c r="D6" s="62">
        <f>DataT4a!E7</f>
        <v>8189.9751026902013</v>
      </c>
      <c r="E6" s="54">
        <f>DataT4a!F7/100</f>
        <v>0.78371948614488673</v>
      </c>
      <c r="F6" s="62">
        <f>DataT4a!G7</f>
        <v>19177.373348132198</v>
      </c>
      <c r="G6" s="54">
        <f>DataT4a!H7/100</f>
        <v>0.89129773997929351</v>
      </c>
      <c r="H6" s="62">
        <f>DataT4a!I7</f>
        <v>9653.0032010702616</v>
      </c>
      <c r="I6" s="54">
        <f>DataT4a!J7/100</f>
        <v>0.78371947159533006</v>
      </c>
      <c r="K6" s="79">
        <f t="shared" si="0"/>
        <v>1083.5293777179293</v>
      </c>
    </row>
    <row r="7" spans="1:11" ht="43" customHeight="1" thickBot="1" x14ac:dyDescent="0.25">
      <c r="A7" s="21" t="str">
        <f>DataT4a!B8</f>
        <v>MENA</v>
      </c>
      <c r="B7" s="62">
        <f>DataT4a!C8</f>
        <v>15391.850508165915</v>
      </c>
      <c r="C7" s="54">
        <f>DataT4a!D8/100</f>
        <v>1.0550953940525463</v>
      </c>
      <c r="D7" s="62">
        <f>DataT4a!E8</f>
        <v>8084.7489010286708</v>
      </c>
      <c r="E7" s="54">
        <f>DataT4a!F8/100</f>
        <v>0.77365012406977318</v>
      </c>
      <c r="F7" s="62">
        <f>DataT4a!G8</f>
        <v>22701.681585546481</v>
      </c>
      <c r="G7" s="54">
        <f>DataT4a!H8/100</f>
        <v>1.0550953524038178</v>
      </c>
      <c r="H7" s="62">
        <f>DataT4a!I8</f>
        <v>9528.9801627801808</v>
      </c>
      <c r="I7" s="54">
        <f>DataT4a!J8/100</f>
        <v>0.77365014208101146</v>
      </c>
      <c r="K7" s="79">
        <f t="shared" si="0"/>
        <v>1282.6542090138262</v>
      </c>
    </row>
    <row r="8" spans="1:11" ht="43" customHeight="1" thickBot="1" x14ac:dyDescent="0.25">
      <c r="A8" s="21" t="str">
        <f>DataT4a!B9</f>
        <v>North America &amp; Oceania</v>
      </c>
      <c r="B8" s="62">
        <f>DataT4a!C9</f>
        <v>47013.414274962553</v>
      </c>
      <c r="C8" s="54">
        <f>DataT4a!D9/100</f>
        <v>3.2227208050052694</v>
      </c>
      <c r="D8" s="62">
        <f>DataT4a!E9</f>
        <v>57715.026609813402</v>
      </c>
      <c r="E8" s="54">
        <f>DataT4a!F9/100</f>
        <v>5.5228972530848992</v>
      </c>
      <c r="F8" s="62">
        <f>DataT4a!G9</f>
        <v>69340.819429327137</v>
      </c>
      <c r="G8" s="54">
        <f>DataT4a!H9/100</f>
        <v>3.2227205740712646</v>
      </c>
      <c r="H8" s="62">
        <f>DataT4a!I9</f>
        <v>68025.032232148325</v>
      </c>
      <c r="I8" s="54">
        <f>DataT4a!J9/100</f>
        <v>5.5228969892316657</v>
      </c>
      <c r="K8" s="79">
        <f t="shared" si="0"/>
        <v>3917.784522913546</v>
      </c>
    </row>
    <row r="9" spans="1:11" ht="43" customHeight="1" thickBot="1" x14ac:dyDescent="0.25">
      <c r="A9" s="21" t="str">
        <f>DataT4a!B10</f>
        <v>Russia &amp; Central Asia</v>
      </c>
      <c r="B9" s="62">
        <f>DataT4a!C10</f>
        <v>20376.62481157119</v>
      </c>
      <c r="C9" s="54">
        <f>DataT4a!D10/100</f>
        <v>1.3967965043332169</v>
      </c>
      <c r="D9" s="62">
        <f>DataT4a!E10</f>
        <v>9172.1777305454652</v>
      </c>
      <c r="E9" s="54">
        <f>DataT4a!F10/100</f>
        <v>0.87770894632530105</v>
      </c>
      <c r="F9" s="62">
        <f>DataT4a!G10</f>
        <v>30053.802379188313</v>
      </c>
      <c r="G9" s="54">
        <f>DataT4a!H10/100</f>
        <v>1.3967964043920436</v>
      </c>
      <c r="H9" s="62">
        <f>DataT4a!I10</f>
        <v>10810.66353976159</v>
      </c>
      <c r="I9" s="54">
        <f>DataT4a!J10/100</f>
        <v>0.87770897206762311</v>
      </c>
      <c r="K9" s="79">
        <f t="shared" si="0"/>
        <v>1698.0520676309325</v>
      </c>
    </row>
    <row r="10" spans="1:11" ht="43" customHeight="1" thickBot="1" x14ac:dyDescent="0.25">
      <c r="A10" s="21" t="str">
        <f>DataT4a!B11</f>
        <v>South &amp; South-East Asia</v>
      </c>
      <c r="B10" s="47">
        <f>DataT4a!C11</f>
        <v>7596.6386421627121</v>
      </c>
      <c r="C10" s="54">
        <f>DataT4a!D11/100</f>
        <v>0.52074170271957454</v>
      </c>
      <c r="D10" s="47">
        <f>DataT4a!E11</f>
        <v>2581.0308519085952</v>
      </c>
      <c r="E10" s="54">
        <f>DataT4a!F11/100</f>
        <v>0.24698538733255282</v>
      </c>
      <c r="F10" s="47">
        <f>DataT4a!G11</f>
        <v>11204.401291963131</v>
      </c>
      <c r="G10" s="54">
        <f>DataT4a!H11/100</f>
        <v>0.52074167656127202</v>
      </c>
      <c r="H10" s="47">
        <f>DataT4a!I11</f>
        <v>3042.0970182023939</v>
      </c>
      <c r="I10" s="54">
        <f>DataT4a!J11/100</f>
        <v>0.24698538040295795</v>
      </c>
      <c r="K10" s="79">
        <f t="shared" si="0"/>
        <v>633.05322018022605</v>
      </c>
    </row>
    <row r="11" spans="1:11" ht="43" customHeight="1" thickBot="1" x14ac:dyDescent="0.25">
      <c r="A11" s="21" t="str">
        <f>DataT4a!B12</f>
        <v>Sub-Saharan Africa</v>
      </c>
      <c r="B11" s="47">
        <f>DataT4a!C12</f>
        <v>3509.002390185919</v>
      </c>
      <c r="C11" s="54">
        <f>DataT4a!D12/100</f>
        <v>0.24053847571091744</v>
      </c>
      <c r="D11" s="47">
        <f>DataT4a!E12</f>
        <v>1547.4416273675383</v>
      </c>
      <c r="E11" s="54">
        <f>DataT4a!F12/100</f>
        <v>0.14807861340644773</v>
      </c>
      <c r="F11" s="47">
        <f>DataT4a!G12</f>
        <v>5175.4827491970464</v>
      </c>
      <c r="G11" s="54">
        <f>DataT4a!H12/100</f>
        <v>0.2405384717668036</v>
      </c>
      <c r="H11" s="47">
        <f>DataT4a!I12</f>
        <v>1823.8711405082513</v>
      </c>
      <c r="I11" s="54">
        <f>DataT4a!J12/100</f>
        <v>0.14807861312411208</v>
      </c>
      <c r="K11" s="79">
        <f t="shared" si="0"/>
        <v>292.4168658488266</v>
      </c>
    </row>
    <row r="12" spans="1:11" s="72" customFormat="1" ht="43" customHeight="1" thickBot="1" x14ac:dyDescent="0.25">
      <c r="A12" s="22" t="str">
        <f>DataT4a!B13</f>
        <v>World</v>
      </c>
      <c r="B12" s="63">
        <f>DataT4a!C13</f>
        <v>14588.112690973763</v>
      </c>
      <c r="C12" s="71">
        <f>DataT4a!D13/100</f>
        <v>1</v>
      </c>
      <c r="D12" s="63">
        <f>DataT4a!E13</f>
        <v>10450.135855338571</v>
      </c>
      <c r="E12" s="71">
        <f>DataT4a!F13/100</f>
        <v>1</v>
      </c>
      <c r="F12" s="63">
        <f>DataT4a!G13</f>
        <v>21516.236929511033</v>
      </c>
      <c r="G12" s="71">
        <f>DataT4a!H13/100</f>
        <v>1</v>
      </c>
      <c r="H12" s="63">
        <f>DataT4a!I13</f>
        <v>12316.911281304167</v>
      </c>
      <c r="I12" s="71">
        <f>DataT4a!J13/100</f>
        <v>1</v>
      </c>
      <c r="K12">
        <f t="shared" si="0"/>
        <v>1215.676057581147</v>
      </c>
    </row>
    <row r="13" spans="1:11" ht="18" customHeight="1" x14ac:dyDescent="0.2">
      <c r="A13" s="157" t="s">
        <v>641</v>
      </c>
      <c r="B13" s="158"/>
      <c r="C13" s="158"/>
      <c r="D13" s="158"/>
      <c r="E13" s="158"/>
      <c r="F13" s="158"/>
      <c r="G13" s="158"/>
      <c r="H13" s="158"/>
      <c r="I13" s="159"/>
    </row>
    <row r="14" spans="1:11" ht="29" customHeight="1" thickBot="1" x14ac:dyDescent="0.25">
      <c r="A14" s="160"/>
      <c r="B14" s="161"/>
      <c r="C14" s="161"/>
      <c r="D14" s="161"/>
      <c r="E14" s="161"/>
      <c r="F14" s="161"/>
      <c r="G14" s="161"/>
      <c r="H14" s="161"/>
      <c r="I14" s="162"/>
    </row>
  </sheetData>
  <mergeCells count="6">
    <mergeCell ref="A13:I14"/>
    <mergeCell ref="A1:I1"/>
    <mergeCell ref="B2:C2"/>
    <mergeCell ref="D2:E2"/>
    <mergeCell ref="F2:G2"/>
    <mergeCell ref="H2:I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CF5B5-C018-A649-800A-4F4778CD04D2}">
  <sheetPr>
    <tabColor theme="8"/>
  </sheetPr>
  <dimension ref="A1:L13"/>
  <sheetViews>
    <sheetView zoomScaleNormal="130" workbookViewId="0">
      <selection activeCell="H16" sqref="H16"/>
    </sheetView>
  </sheetViews>
  <sheetFormatPr baseColWidth="10" defaultRowHeight="26" customHeight="1" x14ac:dyDescent="0.2"/>
  <cols>
    <col min="1" max="1" width="22.6640625" customWidth="1"/>
    <col min="2" max="2" width="16.83203125" customWidth="1"/>
    <col min="3" max="3" width="17" customWidth="1"/>
    <col min="4" max="4" width="16.33203125" customWidth="1"/>
    <col min="5" max="5" width="15.5" customWidth="1"/>
    <col min="6" max="6" width="17" customWidth="1"/>
    <col min="7" max="7" width="15.83203125" customWidth="1"/>
    <col min="8" max="8" width="17.6640625" customWidth="1"/>
    <col min="9" max="10" width="16.83203125" customWidth="1"/>
    <col min="11" max="11" width="17.1640625" customWidth="1"/>
  </cols>
  <sheetData>
    <row r="1" spans="1:12" ht="26" customHeight="1" thickBot="1" x14ac:dyDescent="0.25">
      <c r="A1" s="138" t="str">
        <f>DataT5a!B3</f>
        <v xml:space="preserve">Table 5a. Per Capita National Income Growth PPP 2025  € by World Regions (1800-2025) </v>
      </c>
      <c r="B1" s="139"/>
      <c r="C1" s="139"/>
      <c r="D1" s="139"/>
      <c r="E1" s="139"/>
      <c r="F1" s="139"/>
      <c r="G1" s="139"/>
      <c r="H1" s="139"/>
      <c r="I1" s="139"/>
      <c r="J1" s="139"/>
      <c r="K1" s="140"/>
    </row>
    <row r="2" spans="1:12" ht="69" thickBot="1" x14ac:dyDescent="0.25">
      <c r="A2" s="20"/>
      <c r="B2" s="1" t="str">
        <f>DataT5a!C4</f>
        <v>1800 Per capita national income   (PPP 2025 €)</v>
      </c>
      <c r="C2" s="1" t="str">
        <f>DataT5a!D4</f>
        <v>1980 Per capita national income   (PPP 2025 €)</v>
      </c>
      <c r="D2" s="14" t="str">
        <f>DataT5a!E4</f>
        <v>2000 Per capita national income   (PPP 2025 €)</v>
      </c>
      <c r="E2" s="14" t="str">
        <f>DataT5a!F4</f>
        <v>2020 Per capita national income   (PPP 2025 €)</v>
      </c>
      <c r="F2" s="14" t="str">
        <f>DataT5a!G4</f>
        <v>2025 Per capita national income   (PPP 2025 €)</v>
      </c>
      <c r="G2" s="14" t="str">
        <f>DataT5a!H4</f>
        <v>Annual growth rate 1800-2025</v>
      </c>
      <c r="H2" s="14" t="str">
        <f>DataT5a!I4</f>
        <v>Annual growth rate 1980-2025</v>
      </c>
      <c r="I2" s="14" t="str">
        <f>DataT5a!J4</f>
        <v>Annual growth rate 1980-2000</v>
      </c>
      <c r="J2" s="14" t="str">
        <f>DataT5a!K4</f>
        <v>Annual growth rate 2000-2025</v>
      </c>
      <c r="K2" s="14" t="str">
        <f>DataT5a!L4</f>
        <v>Annual growth rate 2020-2025</v>
      </c>
    </row>
    <row r="3" spans="1:12" ht="26" customHeight="1" thickBot="1" x14ac:dyDescent="0.25">
      <c r="A3" s="61" t="str">
        <f>DataT5a!B5</f>
        <v>East Asia</v>
      </c>
      <c r="B3" s="62">
        <f>DataT5a!C5</f>
        <v>756.8795166015625</v>
      </c>
      <c r="C3" s="62">
        <f>DataT5a!D5</f>
        <v>3203.6240234375</v>
      </c>
      <c r="D3" s="62">
        <f>DataT5a!E5</f>
        <v>5852.9658203125</v>
      </c>
      <c r="E3" s="62">
        <f>DataT5a!F5</f>
        <v>14669.65625</v>
      </c>
      <c r="F3" s="62">
        <f>DataT5a!G5</f>
        <v>18345.845703125</v>
      </c>
      <c r="G3" s="59">
        <f>DataT5a!H5</f>
        <v>1.4269537925720215</v>
      </c>
      <c r="H3" s="59">
        <f>DataT5a!I5</f>
        <v>3.9542231559753418</v>
      </c>
      <c r="I3" s="59">
        <f>DataT5a!J5</f>
        <v>3.0591890811920166</v>
      </c>
      <c r="J3" s="59">
        <f>DataT5a!K5</f>
        <v>4.6758437156677246</v>
      </c>
      <c r="K3" s="59">
        <f>DataT5a!L5</f>
        <v>4.5739617347717285</v>
      </c>
    </row>
    <row r="4" spans="1:12" ht="26" customHeight="1" thickBot="1" x14ac:dyDescent="0.25">
      <c r="A4" s="61" t="str">
        <f>DataT5a!B6</f>
        <v>Europe</v>
      </c>
      <c r="B4" s="47">
        <f>DataT5a!C6</f>
        <v>1516.144775390625</v>
      </c>
      <c r="C4" s="47">
        <f>DataT5a!D6</f>
        <v>18521.828125</v>
      </c>
      <c r="D4" s="47">
        <f>DataT5a!E6</f>
        <v>26905.697265625</v>
      </c>
      <c r="E4" s="47">
        <f>DataT5a!F6</f>
        <v>31373.44140625</v>
      </c>
      <c r="F4" s="47">
        <f>DataT5a!G6</f>
        <v>36333.8203125</v>
      </c>
      <c r="G4" s="59">
        <f>DataT5a!H6</f>
        <v>1.421825647354126</v>
      </c>
      <c r="H4" s="59">
        <f>DataT5a!I6</f>
        <v>1.5085974931716919</v>
      </c>
      <c r="I4" s="59">
        <f>DataT5a!J6</f>
        <v>1.8844773769378662</v>
      </c>
      <c r="J4" s="59">
        <f>DataT5a!K6</f>
        <v>1.2088923454284668</v>
      </c>
      <c r="K4" s="59">
        <f>DataT5a!L6</f>
        <v>2.9792633056640625</v>
      </c>
    </row>
    <row r="5" spans="1:12" ht="26" customHeight="1" thickBot="1" x14ac:dyDescent="0.25">
      <c r="A5" s="61" t="str">
        <f>DataT5a!B7</f>
        <v>Latin America</v>
      </c>
      <c r="B5" s="62">
        <f>DataT5a!C7</f>
        <v>770.73651123046875</v>
      </c>
      <c r="C5" s="62">
        <f>DataT5a!D7</f>
        <v>9067.3466796875</v>
      </c>
      <c r="D5" s="62">
        <f>DataT5a!E7</f>
        <v>9728.6865234375</v>
      </c>
      <c r="E5" s="62">
        <f>DataT5a!F7</f>
        <v>11199.8955078125</v>
      </c>
      <c r="F5" s="62">
        <f>DataT5a!G7</f>
        <v>13002.3525390625</v>
      </c>
      <c r="G5" s="59">
        <f>DataT5a!H7</f>
        <v>1.2637133598327637</v>
      </c>
      <c r="H5" s="59">
        <f>DataT5a!I7</f>
        <v>0.8042178750038147</v>
      </c>
      <c r="I5" s="59">
        <f>DataT5a!J7</f>
        <v>0.35261595249176025</v>
      </c>
      <c r="J5" s="59">
        <f>DataT5a!K7</f>
        <v>1.1669622659683228</v>
      </c>
      <c r="K5" s="59">
        <f>DataT5a!L7</f>
        <v>3.0295007228851318</v>
      </c>
    </row>
    <row r="6" spans="1:12" ht="26" customHeight="1" thickBot="1" x14ac:dyDescent="0.25">
      <c r="A6" s="21" t="str">
        <f>DataT5a!B8</f>
        <v>MENA</v>
      </c>
      <c r="B6" s="62">
        <f>DataT5a!C8</f>
        <v>696.9930419921875</v>
      </c>
      <c r="C6" s="62">
        <f>DataT5a!D8</f>
        <v>10019.8681640625</v>
      </c>
      <c r="D6" s="62">
        <f>DataT5a!E8</f>
        <v>9918.3544921875</v>
      </c>
      <c r="E6" s="62">
        <f>DataT5a!F8</f>
        <v>13260.6669921875</v>
      </c>
      <c r="F6" s="62">
        <f>DataT5a!G8</f>
        <v>15391.8505859375</v>
      </c>
      <c r="G6" s="59">
        <f>DataT5a!H8</f>
        <v>1.3849778175354004</v>
      </c>
      <c r="H6" s="59">
        <f>DataT5a!I8</f>
        <v>0.95849382877349854</v>
      </c>
      <c r="I6" s="59">
        <f>DataT5a!J8</f>
        <v>-5.0901554524898529E-2</v>
      </c>
      <c r="J6" s="59">
        <f>DataT5a!K8</f>
        <v>1.773344874382019</v>
      </c>
      <c r="K6" s="59">
        <f>DataT5a!L8</f>
        <v>3.0255858898162842</v>
      </c>
    </row>
    <row r="7" spans="1:12" ht="29" customHeight="1" thickBot="1" x14ac:dyDescent="0.25">
      <c r="A7" s="21" t="str">
        <f>DataT5a!B9</f>
        <v>North America &amp; Oceania</v>
      </c>
      <c r="B7" s="62">
        <f>DataT5a!C9</f>
        <v>1351.02490234375</v>
      </c>
      <c r="C7" s="62">
        <f>DataT5a!D9</f>
        <v>23183.150390625</v>
      </c>
      <c r="D7" s="62">
        <f>DataT5a!E9</f>
        <v>35849.44921875</v>
      </c>
      <c r="E7" s="62">
        <f>DataT5a!F9</f>
        <v>41591.25</v>
      </c>
      <c r="F7" s="62">
        <f>DataT5a!G9</f>
        <v>47013.4140625</v>
      </c>
      <c r="G7" s="59">
        <f>DataT5a!H9</f>
        <v>1.5900959968566895</v>
      </c>
      <c r="H7" s="59">
        <f>DataT5a!I9</f>
        <v>1.5835343599319458</v>
      </c>
      <c r="I7" s="59">
        <f>DataT5a!J9</f>
        <v>2.203437328338623</v>
      </c>
      <c r="J7" s="59">
        <f>DataT5a!K9</f>
        <v>1.0903201103210449</v>
      </c>
      <c r="K7" s="59">
        <f>DataT5a!L9</f>
        <v>2.4811434745788574</v>
      </c>
    </row>
    <row r="8" spans="1:12" ht="26" customHeight="1" thickBot="1" x14ac:dyDescent="0.25">
      <c r="A8" s="21" t="str">
        <f>DataT5a!B10</f>
        <v>Russia &amp; Central Asia</v>
      </c>
      <c r="B8" s="62">
        <f>DataT5a!C10</f>
        <v>749.38873291015625</v>
      </c>
      <c r="C8" s="62">
        <f>DataT5a!D10</f>
        <v>11946.080078125</v>
      </c>
      <c r="D8" s="62">
        <f>DataT5a!E10</f>
        <v>10243.37109375</v>
      </c>
      <c r="E8" s="62">
        <f>DataT5a!F10</f>
        <v>17544.98828125</v>
      </c>
      <c r="F8" s="62">
        <f>DataT5a!G10</f>
        <v>20376.625</v>
      </c>
      <c r="G8" s="59">
        <f>DataT5a!H10</f>
        <v>1.4787765741348267</v>
      </c>
      <c r="H8" s="59">
        <f>DataT5a!I10</f>
        <v>1.1937023401260376</v>
      </c>
      <c r="I8" s="59">
        <f>DataT5a!J10</f>
        <v>-0.76591354608535767</v>
      </c>
      <c r="J8" s="59">
        <f>DataT5a!K10</f>
        <v>2.7892205715179443</v>
      </c>
      <c r="K8" s="59">
        <f>DataT5a!L10</f>
        <v>3.0376236438751221</v>
      </c>
    </row>
    <row r="9" spans="1:12" ht="30" customHeight="1" thickBot="1" x14ac:dyDescent="0.25">
      <c r="A9" s="21" t="str">
        <f>DataT5a!B11</f>
        <v>South &amp; South-East Asia</v>
      </c>
      <c r="B9" s="47">
        <f>DataT5a!C11</f>
        <v>833.7974853515625</v>
      </c>
      <c r="C9" s="47">
        <f>DataT5a!D11</f>
        <v>1616.8258056640625</v>
      </c>
      <c r="D9" s="47">
        <f>DataT5a!E11</f>
        <v>2820.215087890625</v>
      </c>
      <c r="E9" s="47">
        <f>DataT5a!F11</f>
        <v>5935.775390625</v>
      </c>
      <c r="F9" s="47">
        <f>DataT5a!G11</f>
        <v>7596.638671875</v>
      </c>
      <c r="G9" s="59">
        <f>DataT5a!H11</f>
        <v>0.98682427406311035</v>
      </c>
      <c r="H9" s="59">
        <f>DataT5a!I11</f>
        <v>3.4981067180633545</v>
      </c>
      <c r="I9" s="59">
        <f>DataT5a!J11</f>
        <v>2.8207933902740479</v>
      </c>
      <c r="J9" s="59">
        <f>DataT5a!K11</f>
        <v>4.0431685447692871</v>
      </c>
      <c r="K9" s="59">
        <f>DataT5a!L11</f>
        <v>5.0579214096069336</v>
      </c>
    </row>
    <row r="10" spans="1:12" ht="26" customHeight="1" thickBot="1" x14ac:dyDescent="0.25">
      <c r="A10" s="21" t="str">
        <f>DataT5a!B12</f>
        <v>Sub-Saharan Africa</v>
      </c>
      <c r="B10" s="47">
        <f>DataT5a!C12</f>
        <v>505.86181640625</v>
      </c>
      <c r="C10" s="47">
        <f>DataT5a!D12</f>
        <v>2422.375</v>
      </c>
      <c r="D10" s="47">
        <f>DataT5a!E12</f>
        <v>2135.56103515625</v>
      </c>
      <c r="E10" s="47">
        <f>DataT5a!F12</f>
        <v>3225.89599609375</v>
      </c>
      <c r="F10" s="47">
        <f>DataT5a!G12</f>
        <v>3509.00244140625</v>
      </c>
      <c r="G10" s="59">
        <f>DataT5a!H12</f>
        <v>0.86452609300613403</v>
      </c>
      <c r="H10" s="59">
        <f>DataT5a!I12</f>
        <v>0.82691872119903564</v>
      </c>
      <c r="I10" s="59">
        <f>DataT5a!J12</f>
        <v>-0.62811458110809326</v>
      </c>
      <c r="J10" s="59">
        <f>DataT5a!K12</f>
        <v>2.006270170211792</v>
      </c>
      <c r="K10" s="59">
        <f>DataT5a!L12</f>
        <v>1.6966536045074463</v>
      </c>
    </row>
    <row r="11" spans="1:12" ht="26" customHeight="1" thickBot="1" x14ac:dyDescent="0.25">
      <c r="A11" s="22" t="str">
        <f>DataT5a!B13</f>
        <v>World</v>
      </c>
      <c r="B11" s="63">
        <f>DataT5a!C13</f>
        <v>730.1724853515625</v>
      </c>
      <c r="C11" s="63">
        <f>DataT5a!D13</f>
        <v>7915.16943359375</v>
      </c>
      <c r="D11" s="63">
        <f>DataT5a!E13</f>
        <v>10036.2080078125</v>
      </c>
      <c r="E11" s="63">
        <f>DataT5a!F13</f>
        <v>12714.9208984375</v>
      </c>
      <c r="F11" s="63">
        <f>DataT5a!G13</f>
        <v>14588.1123046875</v>
      </c>
      <c r="G11" s="64">
        <f>DataT5a!H13</f>
        <v>1.3398663997650146</v>
      </c>
      <c r="H11" s="64">
        <f>DataT5a!I13</f>
        <v>1.3679968118667603</v>
      </c>
      <c r="I11" s="64">
        <f>DataT5a!J13</f>
        <v>1.1941653490066528</v>
      </c>
      <c r="J11" s="64">
        <f>DataT5a!K13</f>
        <v>1.5072770118713379</v>
      </c>
      <c r="K11" s="64">
        <f>DataT5a!L13</f>
        <v>2.7867393493652344</v>
      </c>
    </row>
    <row r="12" spans="1:12" ht="15" x14ac:dyDescent="0.2">
      <c r="A12" s="173" t="s">
        <v>656</v>
      </c>
      <c r="B12" s="174"/>
      <c r="C12" s="174"/>
      <c r="D12" s="174"/>
      <c r="E12" s="174"/>
      <c r="F12" s="174"/>
      <c r="G12" s="174"/>
      <c r="H12" s="174"/>
      <c r="I12" s="174"/>
      <c r="J12" s="174"/>
      <c r="K12" s="175"/>
      <c r="L12" s="67"/>
    </row>
    <row r="13" spans="1:12" ht="16" thickBot="1" x14ac:dyDescent="0.25">
      <c r="A13" s="176"/>
      <c r="B13" s="177"/>
      <c r="C13" s="177"/>
      <c r="D13" s="177"/>
      <c r="E13" s="177"/>
      <c r="F13" s="177"/>
      <c r="G13" s="177"/>
      <c r="H13" s="177"/>
      <c r="I13" s="177"/>
      <c r="J13" s="177"/>
      <c r="K13" s="178"/>
      <c r="L13" s="67"/>
    </row>
  </sheetData>
  <mergeCells count="2">
    <mergeCell ref="A12:K13"/>
    <mergeCell ref="A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C21E-C87C-4745-A0DC-B54BA5893B98}">
  <sheetPr>
    <tabColor theme="8"/>
  </sheetPr>
  <dimension ref="A1:L22"/>
  <sheetViews>
    <sheetView zoomScaleNormal="100" workbookViewId="0">
      <selection activeCell="H19" sqref="H19"/>
    </sheetView>
  </sheetViews>
  <sheetFormatPr baseColWidth="10" defaultRowHeight="15" x14ac:dyDescent="0.2"/>
  <cols>
    <col min="1" max="1" width="24.83203125" customWidth="1"/>
    <col min="2" max="2" width="19" customWidth="1"/>
    <col min="3" max="3" width="17.1640625" customWidth="1"/>
    <col min="4" max="4" width="17.83203125" customWidth="1"/>
    <col min="5" max="5" width="14.6640625" customWidth="1"/>
    <col min="6" max="6" width="16" customWidth="1"/>
    <col min="7" max="7" width="15.33203125" customWidth="1"/>
    <col min="8" max="8" width="15" customWidth="1"/>
    <col min="9" max="9" width="15.5" customWidth="1"/>
    <col min="10" max="10" width="15.6640625" customWidth="1"/>
    <col min="11" max="11" width="15.83203125" customWidth="1"/>
  </cols>
  <sheetData>
    <row r="1" spans="1:12" ht="25" customHeight="1" thickBot="1" x14ac:dyDescent="0.25">
      <c r="A1" s="138" t="str">
        <f>DataT5b!B3</f>
        <v xml:space="preserve">Table 5b. Per Capita National Income Growth PPP 2025  $  by World Regions (1800-2025) </v>
      </c>
      <c r="B1" s="139"/>
      <c r="C1" s="139"/>
      <c r="D1" s="139"/>
      <c r="E1" s="139"/>
      <c r="F1" s="139"/>
      <c r="G1" s="139"/>
      <c r="H1" s="139"/>
      <c r="I1" s="139"/>
      <c r="J1" s="139"/>
      <c r="K1" s="140"/>
      <c r="L1" s="52"/>
    </row>
    <row r="2" spans="1:12" ht="69" thickBot="1" x14ac:dyDescent="0.25">
      <c r="A2" s="20"/>
      <c r="B2" s="1" t="str">
        <f>DataT5b!C4</f>
        <v>1800 Per capita national income   (PPP 2025 $)</v>
      </c>
      <c r="C2" s="1" t="str">
        <f>DataT5b!D4</f>
        <v>1980 Per capita national income   (PPP 2025 $)</v>
      </c>
      <c r="D2" s="14" t="str">
        <f>DataT5b!E4</f>
        <v>2000 Per capita national income   (PPP 2025 $)</v>
      </c>
      <c r="E2" s="14" t="str">
        <f>DataT5b!F4</f>
        <v>2020 Per capita national income   (PPP 2025 $)</v>
      </c>
      <c r="F2" s="14" t="str">
        <f>DataT5b!G4</f>
        <v>2025 Per capita national income   (PPP 2025 $)</v>
      </c>
      <c r="G2" s="14" t="str">
        <f>DataT5b!H4</f>
        <v>Annual growth rate 1800-2025</v>
      </c>
      <c r="H2" s="14" t="str">
        <f>DataT5b!I4</f>
        <v>Annual growth rate 1980-2025</v>
      </c>
      <c r="I2" s="14" t="str">
        <f>DataT5b!J4</f>
        <v>Annual growth rate 1980-2000</v>
      </c>
      <c r="J2" s="14" t="str">
        <f>DataT5b!K4</f>
        <v>Annual growth rate 2000-2025</v>
      </c>
      <c r="K2" s="14" t="str">
        <f>DataT5b!L4</f>
        <v>Annual growth rate 2020-2025</v>
      </c>
      <c r="L2" s="52"/>
    </row>
    <row r="3" spans="1:12" ht="17" thickBot="1" x14ac:dyDescent="0.25">
      <c r="A3" s="61" t="str">
        <f>DataT5b!B5</f>
        <v>East Asia</v>
      </c>
      <c r="B3" s="62">
        <f>DataT5b!C5</f>
        <v>1116.33349609375</v>
      </c>
      <c r="C3" s="62">
        <f>DataT5b!D5</f>
        <v>4725.07568359375</v>
      </c>
      <c r="D3" s="62">
        <f>DataT5b!E5</f>
        <v>8632.630859375</v>
      </c>
      <c r="E3" s="62">
        <f>DataT5b!F5</f>
        <v>21636.505859375</v>
      </c>
      <c r="F3" s="62">
        <f>DataT5b!G5</f>
        <v>27058.576171875</v>
      </c>
      <c r="G3" s="59">
        <f>DataT5b!H5</f>
        <v>1.4269537925720215</v>
      </c>
      <c r="H3" s="59">
        <f>DataT5b!I5</f>
        <v>3.9542231559753418</v>
      </c>
      <c r="I3" s="59">
        <f>DataT5b!J5</f>
        <v>3.0591888427734375</v>
      </c>
      <c r="J3" s="59">
        <f>DataT5b!K5</f>
        <v>4.6758441925048828</v>
      </c>
      <c r="K3" s="59">
        <f>DataT5b!L5</f>
        <v>4.5739622116088867</v>
      </c>
      <c r="L3" s="52"/>
    </row>
    <row r="4" spans="1:12" ht="17" thickBot="1" x14ac:dyDescent="0.25">
      <c r="A4" s="61" t="str">
        <f>DataT5b!B6</f>
        <v>Europe</v>
      </c>
      <c r="B4" s="47">
        <f>DataT5b!C6</f>
        <v>2236.185791015625</v>
      </c>
      <c r="C4" s="47">
        <f>DataT5b!D6</f>
        <v>27318.1328125</v>
      </c>
      <c r="D4" s="47">
        <f>DataT5b!E6</f>
        <v>39683.63671875</v>
      </c>
      <c r="E4" s="47">
        <f>DataT5b!F6</f>
        <v>46273.1796875</v>
      </c>
      <c r="F4" s="47">
        <f>DataT5b!G6</f>
        <v>53589.3203125</v>
      </c>
      <c r="G4" s="59">
        <f>DataT5b!H6</f>
        <v>1.421825647354126</v>
      </c>
      <c r="H4" s="59">
        <f>DataT5b!I6</f>
        <v>1.5085974931716919</v>
      </c>
      <c r="I4" s="59">
        <f>DataT5b!J6</f>
        <v>1.8844772577285767</v>
      </c>
      <c r="J4" s="59">
        <f>DataT5b!K6</f>
        <v>1.2088923454284668</v>
      </c>
      <c r="K4" s="59">
        <f>DataT5b!L6</f>
        <v>2.9792635440826416</v>
      </c>
      <c r="L4" s="52"/>
    </row>
    <row r="5" spans="1:12" ht="17" thickBot="1" x14ac:dyDescent="0.25">
      <c r="A5" s="61" t="str">
        <f>DataT5b!B7</f>
        <v>Latin America</v>
      </c>
      <c r="B5" s="62">
        <f>DataT5b!C7</f>
        <v>1136.7713623046875</v>
      </c>
      <c r="C5" s="62">
        <f>DataT5b!D7</f>
        <v>13373.572265625</v>
      </c>
      <c r="D5" s="62">
        <f>DataT5b!E7</f>
        <v>14348.9921875</v>
      </c>
      <c r="E5" s="62">
        <f>DataT5b!F7</f>
        <v>16518.900390625</v>
      </c>
      <c r="F5" s="62">
        <f>DataT5b!G7</f>
        <v>19177.373046875</v>
      </c>
      <c r="G5" s="59">
        <f>DataT5b!H7</f>
        <v>1.2637133598327637</v>
      </c>
      <c r="H5" s="59">
        <f>DataT5b!I7</f>
        <v>0.8042178750038147</v>
      </c>
      <c r="I5" s="59">
        <f>DataT5b!J7</f>
        <v>0.35261595249176025</v>
      </c>
      <c r="J5" s="59">
        <f>DataT5b!K7</f>
        <v>1.1669621467590332</v>
      </c>
      <c r="K5" s="59">
        <f>DataT5b!L7</f>
        <v>3.0295016765594482</v>
      </c>
      <c r="L5" s="52"/>
    </row>
    <row r="6" spans="1:12" ht="18" thickBot="1" x14ac:dyDescent="0.25">
      <c r="A6" s="21" t="str">
        <f>DataT5b!B8</f>
        <v>MENA</v>
      </c>
      <c r="B6" s="62">
        <f>DataT5b!C8</f>
        <v>1028.0059814453125</v>
      </c>
      <c r="C6" s="62">
        <f>DataT5b!D8</f>
        <v>14778.4609375</v>
      </c>
      <c r="D6" s="62">
        <f>DataT5b!E8</f>
        <v>14628.7373046875</v>
      </c>
      <c r="E6" s="62">
        <f>DataT5b!F8</f>
        <v>19558.365234375</v>
      </c>
      <c r="F6" s="62">
        <f>DataT5b!G8</f>
        <v>22701.681640625</v>
      </c>
      <c r="G6" s="59">
        <f>DataT5b!H8</f>
        <v>1.3849778175354004</v>
      </c>
      <c r="H6" s="59">
        <f>DataT5b!I8</f>
        <v>0.95849376916885376</v>
      </c>
      <c r="I6" s="59">
        <f>DataT5b!J8</f>
        <v>-5.0901547074317932E-2</v>
      </c>
      <c r="J6" s="59">
        <f>DataT5b!K8</f>
        <v>1.7733447551727295</v>
      </c>
      <c r="K6" s="59">
        <f>DataT5b!L8</f>
        <v>3.0255858898162842</v>
      </c>
      <c r="L6" s="52"/>
    </row>
    <row r="7" spans="1:12" ht="18" thickBot="1" x14ac:dyDescent="0.25">
      <c r="A7" s="21" t="str">
        <f>DataT5b!B9</f>
        <v>North America &amp; Oceania</v>
      </c>
      <c r="B7" s="62">
        <f>DataT5b!C9</f>
        <v>1992.6475830078125</v>
      </c>
      <c r="C7" s="62">
        <f>DataT5b!D9</f>
        <v>34193.19140625</v>
      </c>
      <c r="D7" s="62">
        <f>DataT5b!E9</f>
        <v>52874.91796875</v>
      </c>
      <c r="E7" s="62">
        <f>DataT5b!F9</f>
        <v>61343.58984375</v>
      </c>
      <c r="F7" s="62">
        <f>DataT5b!G9</f>
        <v>69340.8203125</v>
      </c>
      <c r="G7" s="59">
        <f>DataT5b!H9</f>
        <v>1.5900959968566895</v>
      </c>
      <c r="H7" s="59">
        <f>DataT5b!I9</f>
        <v>1.5835343599319458</v>
      </c>
      <c r="I7" s="59">
        <f>DataT5b!J9</f>
        <v>2.2034375667572021</v>
      </c>
      <c r="J7" s="59">
        <f>DataT5b!K9</f>
        <v>1.0903199911117554</v>
      </c>
      <c r="K7" s="59">
        <f>DataT5b!L9</f>
        <v>2.481142520904541</v>
      </c>
      <c r="L7" s="52"/>
    </row>
    <row r="8" spans="1:12" ht="18" thickBot="1" x14ac:dyDescent="0.25">
      <c r="A8" s="21" t="str">
        <f>DataT5b!B10</f>
        <v>Russia &amp; Central Asia</v>
      </c>
      <c r="B8" s="62">
        <f>DataT5b!C10</f>
        <v>1105.28515625</v>
      </c>
      <c r="C8" s="62">
        <f>DataT5b!D10</f>
        <v>17619.4609375</v>
      </c>
      <c r="D8" s="62">
        <f>DataT5b!E10</f>
        <v>15108.1083984375</v>
      </c>
      <c r="E8" s="62">
        <f>DataT5b!F10</f>
        <v>25877.37890625</v>
      </c>
      <c r="F8" s="62">
        <f>DataT5b!G10</f>
        <v>30053.802734375</v>
      </c>
      <c r="G8" s="59">
        <f>DataT5b!H10</f>
        <v>1.4787765741348267</v>
      </c>
      <c r="H8" s="59">
        <f>DataT5b!I10</f>
        <v>1.193702220916748</v>
      </c>
      <c r="I8" s="59">
        <f>DataT5b!J10</f>
        <v>-0.76591384410858154</v>
      </c>
      <c r="J8" s="59">
        <f>DataT5b!K10</f>
        <v>2.7892205715179443</v>
      </c>
      <c r="K8" s="59">
        <f>DataT5b!L10</f>
        <v>3.0376226902008057</v>
      </c>
      <c r="L8" s="52"/>
    </row>
    <row r="9" spans="1:12" ht="18" thickBot="1" x14ac:dyDescent="0.25">
      <c r="A9" s="21" t="str">
        <f>DataT5b!B11</f>
        <v>South &amp; South-East Asia</v>
      </c>
      <c r="B9" s="47">
        <f>DataT5b!C11</f>
        <v>1229.781005859375</v>
      </c>
      <c r="C9" s="47">
        <f>DataT5b!D11</f>
        <v>2384.681640625</v>
      </c>
      <c r="D9" s="47">
        <f>DataT5b!E11</f>
        <v>4159.57958984375</v>
      </c>
      <c r="E9" s="47">
        <f>DataT5b!F11</f>
        <v>8754.7685546875</v>
      </c>
      <c r="F9" s="47">
        <f>DataT5b!G11</f>
        <v>11204.4013671875</v>
      </c>
      <c r="G9" s="59">
        <f>DataT5b!H11</f>
        <v>0.98682421445846558</v>
      </c>
      <c r="H9" s="59">
        <f>DataT5b!I11</f>
        <v>3.4981067180633545</v>
      </c>
      <c r="I9" s="59">
        <f>DataT5b!J11</f>
        <v>2.820793628692627</v>
      </c>
      <c r="J9" s="59">
        <f>DataT5b!K11</f>
        <v>4.0431680679321289</v>
      </c>
      <c r="K9" s="59">
        <f>DataT5b!L11</f>
        <v>5.0579204559326172</v>
      </c>
      <c r="L9" s="52"/>
    </row>
    <row r="10" spans="1:12" ht="18" thickBot="1" x14ac:dyDescent="0.25">
      <c r="A10" s="21" t="str">
        <f>DataT5b!B12</f>
        <v>Sub-Saharan Africa</v>
      </c>
      <c r="B10" s="47">
        <f>DataT5b!C12</f>
        <v>746.10357666015625</v>
      </c>
      <c r="C10" s="47">
        <f>DataT5b!D12</f>
        <v>3572.798828125</v>
      </c>
      <c r="D10" s="47">
        <f>DataT5b!E12</f>
        <v>3149.7724609375</v>
      </c>
      <c r="E10" s="47">
        <f>DataT5b!F12</f>
        <v>4757.9248046875</v>
      </c>
      <c r="F10" s="47">
        <f>DataT5b!G12</f>
        <v>5175.48291015625</v>
      </c>
      <c r="G10" s="59">
        <f>DataT5b!H12</f>
        <v>0.86452609300613403</v>
      </c>
      <c r="H10" s="59">
        <f>DataT5b!I12</f>
        <v>0.82691878080368042</v>
      </c>
      <c r="I10" s="59">
        <f>DataT5b!J12</f>
        <v>-0.62811458110809326</v>
      </c>
      <c r="J10" s="59">
        <f>DataT5b!K12</f>
        <v>2.006270170211792</v>
      </c>
      <c r="K10" s="59">
        <f>DataT5b!L12</f>
        <v>1.6966533660888672</v>
      </c>
      <c r="L10" s="52"/>
    </row>
    <row r="11" spans="1:12" ht="18" thickBot="1" x14ac:dyDescent="0.25">
      <c r="A11" s="22" t="str">
        <f>DataT5b!B13</f>
        <v>World</v>
      </c>
      <c r="B11" s="63">
        <f>DataT5b!C13</f>
        <v>1076.94287109375</v>
      </c>
      <c r="C11" s="63">
        <f>DataT5b!D13</f>
        <v>11674.2080078125</v>
      </c>
      <c r="D11" s="63">
        <f>DataT5b!E13</f>
        <v>14802.560546875</v>
      </c>
      <c r="E11" s="63">
        <f>DataT5b!F13</f>
        <v>18753.435546875</v>
      </c>
      <c r="F11" s="63">
        <f>DataT5b!G13</f>
        <v>21516.236328125</v>
      </c>
      <c r="G11" s="64">
        <f>DataT5b!H13</f>
        <v>1.3398663997650146</v>
      </c>
      <c r="H11" s="64">
        <f>DataT5b!I13</f>
        <v>1.3679968118667603</v>
      </c>
      <c r="I11" s="64">
        <f>DataT5b!J13</f>
        <v>1.1941649913787842</v>
      </c>
      <c r="J11" s="64">
        <f>DataT5b!K13</f>
        <v>1.5072771310806274</v>
      </c>
      <c r="K11" s="64">
        <f>DataT5b!L13</f>
        <v>2.7867400646209717</v>
      </c>
      <c r="L11" s="52"/>
    </row>
    <row r="12" spans="1:12" ht="15" customHeight="1" x14ac:dyDescent="0.2">
      <c r="A12" s="173" t="s">
        <v>657</v>
      </c>
      <c r="B12" s="174"/>
      <c r="C12" s="174"/>
      <c r="D12" s="174"/>
      <c r="E12" s="174"/>
      <c r="F12" s="174"/>
      <c r="G12" s="174"/>
      <c r="H12" s="174"/>
      <c r="I12" s="174"/>
      <c r="J12" s="174"/>
      <c r="K12" s="175"/>
      <c r="L12" s="52"/>
    </row>
    <row r="13" spans="1:12" ht="16" thickBot="1" x14ac:dyDescent="0.25">
      <c r="A13" s="176"/>
      <c r="B13" s="177"/>
      <c r="C13" s="177"/>
      <c r="D13" s="177"/>
      <c r="E13" s="177"/>
      <c r="F13" s="177"/>
      <c r="G13" s="177"/>
      <c r="H13" s="177"/>
      <c r="I13" s="177"/>
      <c r="J13" s="177"/>
      <c r="K13" s="178"/>
      <c r="L13" s="52"/>
    </row>
    <row r="14" spans="1:12" x14ac:dyDescent="0.2">
      <c r="A14" s="52"/>
      <c r="B14" s="52"/>
      <c r="C14" s="52"/>
      <c r="D14" s="52"/>
      <c r="E14" s="52"/>
      <c r="F14" s="52"/>
      <c r="G14" s="52"/>
      <c r="H14" s="52"/>
      <c r="I14" s="52"/>
      <c r="J14" s="52"/>
      <c r="K14" s="52"/>
      <c r="L14" s="52"/>
    </row>
    <row r="15" spans="1:12" x14ac:dyDescent="0.2">
      <c r="A15" s="52"/>
      <c r="B15" s="52"/>
      <c r="C15" s="52"/>
      <c r="D15" s="52"/>
      <c r="E15" s="52"/>
      <c r="F15" s="52"/>
      <c r="G15" s="52"/>
      <c r="H15" s="52"/>
      <c r="I15" s="52"/>
      <c r="J15" s="52"/>
      <c r="K15" s="52"/>
      <c r="L15" s="52"/>
    </row>
    <row r="16" spans="1:12" x14ac:dyDescent="0.2">
      <c r="A16" s="52"/>
      <c r="B16" s="52"/>
      <c r="C16" s="52"/>
      <c r="D16" s="52"/>
      <c r="E16" s="52"/>
      <c r="F16" s="52"/>
      <c r="G16" s="52"/>
      <c r="H16" s="52"/>
      <c r="I16" s="52"/>
      <c r="J16" s="52"/>
      <c r="K16" s="52"/>
      <c r="L16" s="52"/>
    </row>
    <row r="17" spans="1:12" x14ac:dyDescent="0.2">
      <c r="A17" s="52"/>
      <c r="B17" s="52"/>
      <c r="C17" s="52"/>
      <c r="D17" s="52"/>
      <c r="E17" s="52"/>
      <c r="F17" s="52"/>
      <c r="G17" s="52"/>
      <c r="H17" s="52"/>
      <c r="I17" s="52"/>
      <c r="J17" s="52"/>
      <c r="K17" s="52"/>
      <c r="L17" s="52"/>
    </row>
    <row r="18" spans="1:12" x14ac:dyDescent="0.2">
      <c r="A18" s="52"/>
      <c r="B18" s="52"/>
      <c r="C18" s="52"/>
      <c r="D18" s="52"/>
      <c r="E18" s="52"/>
      <c r="F18" s="52"/>
      <c r="G18" s="52"/>
      <c r="H18" s="52"/>
      <c r="I18" s="52"/>
      <c r="J18" s="52"/>
      <c r="K18" s="52"/>
      <c r="L18" s="52"/>
    </row>
    <row r="19" spans="1:12" x14ac:dyDescent="0.2">
      <c r="A19" s="52"/>
      <c r="B19" s="52"/>
      <c r="C19" s="52"/>
      <c r="D19" s="52"/>
      <c r="E19" s="52"/>
      <c r="F19" s="52"/>
      <c r="G19" s="52"/>
      <c r="H19" s="52"/>
      <c r="I19" s="52"/>
      <c r="J19" s="52"/>
      <c r="K19" s="52"/>
      <c r="L19" s="52"/>
    </row>
    <row r="20" spans="1:12" x14ac:dyDescent="0.2">
      <c r="A20" s="52"/>
      <c r="B20" s="52"/>
      <c r="C20" s="52"/>
      <c r="D20" s="52"/>
      <c r="E20" s="52"/>
      <c r="F20" s="52"/>
      <c r="G20" s="52"/>
      <c r="H20" s="52"/>
      <c r="I20" s="52"/>
      <c r="J20" s="52"/>
      <c r="K20" s="52"/>
      <c r="L20" s="52"/>
    </row>
    <row r="21" spans="1:12" x14ac:dyDescent="0.2">
      <c r="A21" s="52"/>
      <c r="B21" s="52"/>
      <c r="C21" s="52"/>
      <c r="D21" s="52"/>
      <c r="E21" s="52"/>
      <c r="F21" s="52"/>
      <c r="G21" s="52"/>
      <c r="H21" s="52"/>
      <c r="I21" s="52"/>
      <c r="J21" s="52"/>
      <c r="K21" s="52"/>
      <c r="L21" s="52"/>
    </row>
    <row r="22" spans="1:12" x14ac:dyDescent="0.2">
      <c r="A22" s="52"/>
      <c r="B22" s="52"/>
      <c r="C22" s="52"/>
      <c r="D22" s="52"/>
      <c r="E22" s="52"/>
      <c r="F22" s="52"/>
      <c r="G22" s="52"/>
      <c r="H22" s="52"/>
      <c r="I22" s="52"/>
      <c r="J22" s="52"/>
      <c r="K22" s="52"/>
      <c r="L22" s="52"/>
    </row>
  </sheetData>
  <mergeCells count="2">
    <mergeCell ref="A1:K1"/>
    <mergeCell ref="A12:K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31372-7BE2-E349-87AD-197F20AF97F1}">
  <sheetPr>
    <tabColor theme="8"/>
  </sheetPr>
  <dimension ref="A1:K17"/>
  <sheetViews>
    <sheetView workbookViewId="0">
      <selection activeCell="C17" sqref="C17"/>
    </sheetView>
  </sheetViews>
  <sheetFormatPr baseColWidth="10" defaultRowHeight="44" customHeight="1" x14ac:dyDescent="0.2"/>
  <cols>
    <col min="1" max="1" width="25.1640625" customWidth="1"/>
    <col min="2" max="3" width="20" customWidth="1"/>
    <col min="4" max="4" width="20.5" customWidth="1"/>
    <col min="5" max="5" width="17.1640625" customWidth="1"/>
    <col min="6" max="6" width="16" customWidth="1"/>
    <col min="7" max="7" width="15.1640625" customWidth="1"/>
    <col min="8" max="8" width="17.1640625" customWidth="1"/>
    <col min="9" max="9" width="16.1640625" customWidth="1"/>
    <col min="10" max="10" width="16.5" customWidth="1"/>
    <col min="11" max="11" width="15.1640625" customWidth="1"/>
  </cols>
  <sheetData>
    <row r="1" spans="1:11" ht="17" thickBot="1" x14ac:dyDescent="0.25">
      <c r="A1" s="138" t="str">
        <f>DataT5c!B3</f>
        <v xml:space="preserve">Table 5c. Per Capita National Income Growth MER 2025 € by World Regions (1800-2025) </v>
      </c>
      <c r="B1" s="139"/>
      <c r="C1" s="139"/>
      <c r="D1" s="139"/>
      <c r="E1" s="139"/>
      <c r="F1" s="139"/>
      <c r="G1" s="139"/>
      <c r="H1" s="139"/>
      <c r="I1" s="139"/>
      <c r="J1" s="139"/>
      <c r="K1" s="140"/>
    </row>
    <row r="2" spans="1:11" ht="52" thickBot="1" x14ac:dyDescent="0.25">
      <c r="A2" s="20"/>
      <c r="B2" s="1" t="str">
        <f>DataT5c!C4</f>
        <v>1800 Per capita national income   (MER €)</v>
      </c>
      <c r="C2" s="1" t="str">
        <f>DataT5c!D4</f>
        <v>1980 Per capita national income   (MER €)</v>
      </c>
      <c r="D2" s="1" t="str">
        <f>DataT5c!E4</f>
        <v>2000 Per capita national income   (MER €)</v>
      </c>
      <c r="E2" s="1" t="str">
        <f>DataT5c!F4</f>
        <v>2020 Per capita national income   (MER €)</v>
      </c>
      <c r="F2" s="1" t="str">
        <f>DataT5c!G4</f>
        <v>2025 Per capita national income   (MER €)</v>
      </c>
      <c r="G2" s="1" t="str">
        <f>DataT5c!H4</f>
        <v>Annual growth rate 1800-2025</v>
      </c>
      <c r="H2" s="1" t="str">
        <f>DataT5c!I4</f>
        <v>Annual growth rate 1980-2025</v>
      </c>
      <c r="I2" s="1" t="str">
        <f>DataT5c!J4</f>
        <v>Annual growth rate 1980-2000</v>
      </c>
      <c r="J2" s="1" t="str">
        <f>DataT5c!K4</f>
        <v>Annual growth rate 2000-2025</v>
      </c>
      <c r="K2" s="1" t="str">
        <f>DataT5c!L4</f>
        <v>Annual growth rate 2020-2025</v>
      </c>
    </row>
    <row r="3" spans="1:11" ht="17" thickBot="1" x14ac:dyDescent="0.25">
      <c r="A3" s="61" t="str">
        <f>DataT5c!B5</f>
        <v>East Asia</v>
      </c>
      <c r="B3" s="62">
        <f>DataT5c!C5</f>
        <v>461.95916748046875</v>
      </c>
      <c r="C3" s="62">
        <f>DataT5c!D5</f>
        <v>2053.466552734375</v>
      </c>
      <c r="D3" s="62">
        <f>DataT5c!E5</f>
        <v>3870.86181640625</v>
      </c>
      <c r="E3" s="62">
        <f>DataT5c!F5</f>
        <v>9194.408203125</v>
      </c>
      <c r="F3" s="62">
        <f>DataT5c!G5</f>
        <v>11435.5302734375</v>
      </c>
      <c r="G3" s="65">
        <f>DataT5c!H5</f>
        <v>1.4364430904388428</v>
      </c>
      <c r="H3" s="65">
        <f>DataT5c!I5</f>
        <v>3.8897347450256348</v>
      </c>
      <c r="I3" s="65">
        <f>DataT5c!J5</f>
        <v>3.2205102443695068</v>
      </c>
      <c r="J3" s="65">
        <f>DataT5c!K5</f>
        <v>4.4282369613647461</v>
      </c>
      <c r="K3" s="65">
        <f>DataT5c!L5</f>
        <v>4.4591531753540039</v>
      </c>
    </row>
    <row r="4" spans="1:11" ht="17" thickBot="1" x14ac:dyDescent="0.25">
      <c r="A4" s="61" t="str">
        <f>DataT5c!B6</f>
        <v>Europe</v>
      </c>
      <c r="B4" s="47">
        <f>DataT5c!C6</f>
        <v>1511.7633056640625</v>
      </c>
      <c r="C4" s="47">
        <f>DataT5c!D6</f>
        <v>18245.85546875</v>
      </c>
      <c r="D4" s="47">
        <f>DataT5c!E6</f>
        <v>26990.40234375</v>
      </c>
      <c r="E4" s="47">
        <f>DataT5c!F6</f>
        <v>31119.236328125</v>
      </c>
      <c r="F4" s="47">
        <f>DataT5c!G6</f>
        <v>35941.44140625</v>
      </c>
      <c r="G4" s="48">
        <f>DataT5c!H6</f>
        <v>1.4182358980178833</v>
      </c>
      <c r="H4" s="48">
        <f>DataT5c!I6</f>
        <v>1.5179681777954102</v>
      </c>
      <c r="I4" s="48">
        <f>DataT5c!J6</f>
        <v>1.9770056009292603</v>
      </c>
      <c r="J4" s="48">
        <f>DataT5c!K6</f>
        <v>1.1522263288497925</v>
      </c>
      <c r="K4" s="48">
        <f>DataT5c!L6</f>
        <v>2.9232075214385986</v>
      </c>
    </row>
    <row r="5" spans="1:11" ht="17" thickBot="1" x14ac:dyDescent="0.25">
      <c r="A5" s="61" t="str">
        <f>DataT5c!B7</f>
        <v>Latin America</v>
      </c>
      <c r="B5" s="62">
        <f>DataT5c!C7</f>
        <v>509.26950073242188</v>
      </c>
      <c r="C5" s="62">
        <f>DataT5c!D7</f>
        <v>5863.76318359375</v>
      </c>
      <c r="D5" s="62">
        <f>DataT5c!E7</f>
        <v>6267.39892578125</v>
      </c>
      <c r="E5" s="62">
        <f>DataT5c!F7</f>
        <v>7080.09423828125</v>
      </c>
      <c r="F5" s="62">
        <f>DataT5c!G7</f>
        <v>8189.97509765625</v>
      </c>
      <c r="G5" s="65">
        <f>DataT5c!H7</f>
        <v>1.2421801090240479</v>
      </c>
      <c r="H5" s="65">
        <f>DataT5c!I7</f>
        <v>0.74525058269500732</v>
      </c>
      <c r="I5" s="65">
        <f>DataT5c!J7</f>
        <v>0.33340391516685486</v>
      </c>
      <c r="J5" s="65">
        <f>DataT5c!K7</f>
        <v>1.0759447813034058</v>
      </c>
      <c r="K5" s="65">
        <f>DataT5c!L7</f>
        <v>2.9553000926971436</v>
      </c>
    </row>
    <row r="6" spans="1:11" ht="18" thickBot="1" x14ac:dyDescent="0.25">
      <c r="A6" s="21" t="str">
        <f>DataT5c!B8</f>
        <v>MENA</v>
      </c>
      <c r="B6" s="62">
        <f>DataT5c!C8</f>
        <v>364.85006713867188</v>
      </c>
      <c r="C6" s="62">
        <f>DataT5c!D8</f>
        <v>5337.6904296875</v>
      </c>
      <c r="D6" s="62">
        <f>DataT5c!E8</f>
        <v>5180.88037109375</v>
      </c>
      <c r="E6" s="62">
        <f>DataT5c!F8</f>
        <v>6948.05859375</v>
      </c>
      <c r="F6" s="62">
        <f>DataT5c!G8</f>
        <v>8084.7490234375</v>
      </c>
      <c r="G6" s="65">
        <f>DataT5c!H8</f>
        <v>1.3865234851837158</v>
      </c>
      <c r="H6" s="65">
        <f>DataT5c!I8</f>
        <v>0.92690587043762207</v>
      </c>
      <c r="I6" s="65">
        <f>DataT5c!J8</f>
        <v>-0.14897924661636353</v>
      </c>
      <c r="J6" s="65">
        <f>DataT5c!K8</f>
        <v>1.795954704284668</v>
      </c>
      <c r="K6" s="65">
        <f>DataT5c!L8</f>
        <v>3.0767250061035156</v>
      </c>
    </row>
    <row r="7" spans="1:11" ht="18" thickBot="1" x14ac:dyDescent="0.25">
      <c r="A7" s="21" t="str">
        <f>DataT5c!B9</f>
        <v>North America &amp; Oceania</v>
      </c>
      <c r="B7" s="62">
        <f>DataT5c!C9</f>
        <v>1650.888671875</v>
      </c>
      <c r="C7" s="62">
        <f>DataT5c!D9</f>
        <v>28446.798828125</v>
      </c>
      <c r="D7" s="62">
        <f>DataT5c!E9</f>
        <v>44061.11328125</v>
      </c>
      <c r="E7" s="62">
        <f>DataT5c!F9</f>
        <v>51057.94140625</v>
      </c>
      <c r="F7" s="62">
        <f>DataT5c!G9</f>
        <v>57715.02734375</v>
      </c>
      <c r="G7" s="65">
        <f>DataT5c!H9</f>
        <v>1.5921884775161743</v>
      </c>
      <c r="H7" s="65">
        <f>DataT5c!I9</f>
        <v>1.5846059322357178</v>
      </c>
      <c r="I7" s="65">
        <f>DataT5c!J9</f>
        <v>2.2118155956268311</v>
      </c>
      <c r="J7" s="65">
        <f>DataT5c!K9</f>
        <v>1.0856103897094727</v>
      </c>
      <c r="K7" s="65">
        <f>DataT5c!L9</f>
        <v>2.4814159870147705</v>
      </c>
    </row>
    <row r="8" spans="1:11" ht="18" thickBot="1" x14ac:dyDescent="0.25">
      <c r="A8" s="21" t="str">
        <f>DataT5c!B10</f>
        <v>Russia &amp; Central Asia</v>
      </c>
      <c r="B8" s="62">
        <f>DataT5c!C10</f>
        <v>335.36236572265625</v>
      </c>
      <c r="C8" s="62">
        <f>DataT5c!D10</f>
        <v>5265.494140625</v>
      </c>
      <c r="D8" s="62">
        <f>DataT5c!E10</f>
        <v>4644.5849609375</v>
      </c>
      <c r="E8" s="62">
        <f>DataT5c!F10</f>
        <v>7884.38916015625</v>
      </c>
      <c r="F8" s="62">
        <f>DataT5c!G10</f>
        <v>9172.177734375</v>
      </c>
      <c r="G8" s="65">
        <f>DataT5c!H10</f>
        <v>1.4814071655273438</v>
      </c>
      <c r="H8" s="65">
        <f>DataT5c!I10</f>
        <v>1.2409697771072388</v>
      </c>
      <c r="I8" s="65">
        <f>DataT5c!J10</f>
        <v>-0.62540102005004883</v>
      </c>
      <c r="J8" s="65">
        <f>DataT5c!K10</f>
        <v>2.7592728137969971</v>
      </c>
      <c r="K8" s="65">
        <f>DataT5c!L10</f>
        <v>3.0720422267913818</v>
      </c>
    </row>
    <row r="9" spans="1:11" ht="18" thickBot="1" x14ac:dyDescent="0.25">
      <c r="A9" s="21" t="str">
        <f>DataT5c!B11</f>
        <v>South &amp; South-East Asia</v>
      </c>
      <c r="B9" s="47">
        <f>DataT5c!C11</f>
        <v>268.451171875</v>
      </c>
      <c r="C9" s="47">
        <f>DataT5c!D11</f>
        <v>561.2877197265625</v>
      </c>
      <c r="D9" s="47">
        <f>DataT5c!E11</f>
        <v>990.20025634765625</v>
      </c>
      <c r="E9" s="47">
        <f>DataT5c!F11</f>
        <v>2038.070068359375</v>
      </c>
      <c r="F9" s="47">
        <f>DataT5c!G11</f>
        <v>2581.03076171875</v>
      </c>
      <c r="G9" s="48">
        <f>DataT5c!H11</f>
        <v>1.0109761953353882</v>
      </c>
      <c r="H9" s="48">
        <f>DataT5c!I11</f>
        <v>3.4485993385314941</v>
      </c>
      <c r="I9" s="48">
        <f>DataT5c!J11</f>
        <v>2.879033088684082</v>
      </c>
      <c r="J9" s="48">
        <f>DataT5c!K11</f>
        <v>3.9065215587615967</v>
      </c>
      <c r="K9" s="48">
        <f>DataT5c!L11</f>
        <v>4.8370556831359863</v>
      </c>
    </row>
    <row r="10" spans="1:11" ht="18" thickBot="1" x14ac:dyDescent="0.25">
      <c r="A10" s="21" t="str">
        <f>DataT5c!B12</f>
        <v>Sub-Saharan Africa</v>
      </c>
      <c r="B10" s="47">
        <f>DataT5c!C12</f>
        <v>241.07955932617188</v>
      </c>
      <c r="C10" s="47">
        <f>DataT5c!D12</f>
        <v>1107.35595703125</v>
      </c>
      <c r="D10" s="47">
        <f>DataT5c!E12</f>
        <v>1175.5726318359375</v>
      </c>
      <c r="E10" s="47">
        <f>DataT5c!F12</f>
        <v>1484.6976318359375</v>
      </c>
      <c r="F10" s="47">
        <f>DataT5c!G12</f>
        <v>1547.441650390625</v>
      </c>
      <c r="G10" s="48">
        <f>DataT5c!H12</f>
        <v>0.82974851131439209</v>
      </c>
      <c r="H10" s="48">
        <f>DataT5c!I12</f>
        <v>0.74638915061950684</v>
      </c>
      <c r="I10" s="48">
        <f>DataT5c!J12</f>
        <v>0.29934847354888916</v>
      </c>
      <c r="J10" s="48">
        <f>DataT5c!K12</f>
        <v>1.1054558753967285</v>
      </c>
      <c r="K10" s="48">
        <f>DataT5c!L12</f>
        <v>0.83127367496490479</v>
      </c>
    </row>
    <row r="11" spans="1:11" ht="18" thickBot="1" x14ac:dyDescent="0.25">
      <c r="A11" s="22" t="str">
        <f>DataT5c!B13</f>
        <v>World</v>
      </c>
      <c r="B11" s="63">
        <f>DataT5c!C13</f>
        <v>523.05615234375</v>
      </c>
      <c r="C11" s="63">
        <f>DataT5c!D13</f>
        <v>5670.00048828125</v>
      </c>
      <c r="D11" s="63">
        <f>DataT5c!E13</f>
        <v>7189.39794921875</v>
      </c>
      <c r="E11" s="63">
        <f>DataT5c!F13</f>
        <v>9108.2822265625</v>
      </c>
      <c r="F11" s="63">
        <f>DataT5c!G13</f>
        <v>10450.1357421875</v>
      </c>
      <c r="G11" s="66">
        <f>DataT5c!H13</f>
        <v>1.3398663997650146</v>
      </c>
      <c r="H11" s="66">
        <f>DataT5c!I13</f>
        <v>1.3679966926574707</v>
      </c>
      <c r="I11" s="66">
        <f>DataT5c!J13</f>
        <v>1.1941652297973633</v>
      </c>
      <c r="J11" s="66">
        <f>DataT5c!K13</f>
        <v>1.5072767734527588</v>
      </c>
      <c r="K11" s="66">
        <f>DataT5c!L13</f>
        <v>2.7867393493652344</v>
      </c>
    </row>
    <row r="12" spans="1:11" ht="15" customHeight="1" x14ac:dyDescent="0.2">
      <c r="A12" s="173" t="s">
        <v>658</v>
      </c>
      <c r="B12" s="174"/>
      <c r="C12" s="174"/>
      <c r="D12" s="174"/>
      <c r="E12" s="174"/>
      <c r="F12" s="174"/>
      <c r="G12" s="174"/>
      <c r="H12" s="174"/>
      <c r="I12" s="174"/>
      <c r="J12" s="174"/>
      <c r="K12" s="175"/>
    </row>
    <row r="13" spans="1:11" ht="16" thickBot="1" x14ac:dyDescent="0.25">
      <c r="A13" s="176"/>
      <c r="B13" s="177"/>
      <c r="C13" s="177"/>
      <c r="D13" s="177"/>
      <c r="E13" s="177"/>
      <c r="F13" s="177"/>
      <c r="G13" s="177"/>
      <c r="H13" s="177"/>
      <c r="I13" s="177"/>
      <c r="J13" s="177"/>
      <c r="K13" s="178"/>
    </row>
    <row r="14" spans="1:11" ht="44" customHeight="1" x14ac:dyDescent="0.2">
      <c r="A14" s="52"/>
    </row>
    <row r="15" spans="1:11" ht="44" customHeight="1" x14ac:dyDescent="0.2">
      <c r="A15" s="52"/>
    </row>
    <row r="16" spans="1:11" ht="44" customHeight="1" x14ac:dyDescent="0.2">
      <c r="A16" s="52"/>
    </row>
    <row r="17" spans="1:1" ht="44" customHeight="1" x14ac:dyDescent="0.2">
      <c r="A17" s="52"/>
    </row>
  </sheetData>
  <mergeCells count="2">
    <mergeCell ref="A1:K1"/>
    <mergeCell ref="A12:K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A26B-1515-6145-86B3-467AB01FCADC}">
  <sheetPr>
    <tabColor theme="8"/>
  </sheetPr>
  <dimension ref="A1:K27"/>
  <sheetViews>
    <sheetView zoomScaleNormal="100" workbookViewId="0">
      <selection activeCell="A12" sqref="A12:K13"/>
    </sheetView>
  </sheetViews>
  <sheetFormatPr baseColWidth="10" defaultRowHeight="31" customHeight="1" x14ac:dyDescent="0.2"/>
  <cols>
    <col min="1" max="1" width="23.83203125" customWidth="1"/>
    <col min="2" max="2" width="19.6640625" customWidth="1"/>
    <col min="3" max="3" width="20.5" customWidth="1"/>
    <col min="4" max="4" width="19.5" customWidth="1"/>
    <col min="5" max="6" width="15.6640625" customWidth="1"/>
    <col min="7" max="7" width="16" customWidth="1"/>
    <col min="8" max="8" width="17.33203125" customWidth="1"/>
    <col min="9" max="10" width="16.33203125" customWidth="1"/>
    <col min="11" max="11" width="16.6640625" customWidth="1"/>
  </cols>
  <sheetData>
    <row r="1" spans="1:11" ht="17" thickBot="1" x14ac:dyDescent="0.25">
      <c r="A1" s="138" t="str">
        <f>DataT5d!B3</f>
        <v xml:space="preserve">Table 5d. Per Capita National Income Growth MER 2025 $  by World Regions (1800-2025) </v>
      </c>
      <c r="B1" s="139"/>
      <c r="C1" s="139"/>
      <c r="D1" s="139"/>
      <c r="E1" s="139"/>
      <c r="F1" s="139"/>
      <c r="G1" s="139"/>
      <c r="H1" s="139"/>
      <c r="I1" s="139"/>
      <c r="J1" s="139"/>
      <c r="K1" s="140"/>
    </row>
    <row r="2" spans="1:11" ht="52" thickBot="1" x14ac:dyDescent="0.25">
      <c r="A2" s="20"/>
      <c r="B2" s="1" t="str">
        <f>DataT5d!C4</f>
        <v>1800 Per capita national income   (MER $)</v>
      </c>
      <c r="C2" s="1" t="str">
        <f>DataT5d!D4</f>
        <v>1980 Per capita national income   (MER $)</v>
      </c>
      <c r="D2" s="14" t="str">
        <f>DataT5d!E4</f>
        <v>2000 Per capita national income   (MER $)</v>
      </c>
      <c r="E2" s="14" t="str">
        <f>DataT5d!F4</f>
        <v>2020 Per capita national income   (MER $)</v>
      </c>
      <c r="F2" s="14" t="str">
        <f>DataT5d!G4</f>
        <v>2025 Per capita national income   (MER $)</v>
      </c>
      <c r="G2" s="14" t="str">
        <f>DataT5d!H4</f>
        <v>Annual growth rate 1800-2025</v>
      </c>
      <c r="H2" s="14" t="str">
        <f>DataT5d!I4</f>
        <v>Annual growth rate 1980-2025</v>
      </c>
      <c r="I2" s="14" t="str">
        <f>DataT5d!J4</f>
        <v>Annual growth rate 1980-2000</v>
      </c>
      <c r="J2" s="14" t="str">
        <f>DataT5d!K4</f>
        <v>Annual growth rate 2000-2025</v>
      </c>
      <c r="K2" s="14" t="str">
        <f>DataT5d!L4</f>
        <v>Annual growth rate 2020-2025</v>
      </c>
    </row>
    <row r="3" spans="1:11" ht="17" thickBot="1" x14ac:dyDescent="0.25">
      <c r="A3" s="61" t="str">
        <f>DataT5d!B5</f>
        <v>East Asia</v>
      </c>
      <c r="B3" s="62">
        <f>DataT5d!C5</f>
        <v>544.48193359375</v>
      </c>
      <c r="C3" s="62">
        <f>DataT5d!D5</f>
        <v>2420.29052734375</v>
      </c>
      <c r="D3" s="62">
        <f>DataT5d!E5</f>
        <v>4562.3388671875</v>
      </c>
      <c r="E3" s="59">
        <f>DataT5d!F5</f>
        <v>10836.865234375</v>
      </c>
      <c r="F3" s="59">
        <f>DataT5d!G5</f>
        <v>13478.3330078125</v>
      </c>
      <c r="G3" s="59">
        <f>DataT5d!H5</f>
        <v>1.4364430904388428</v>
      </c>
      <c r="H3" s="59">
        <f>DataT5d!I5</f>
        <v>3.8897347450256348</v>
      </c>
      <c r="I3" s="59">
        <f>DataT5d!J5</f>
        <v>3.2205102443695068</v>
      </c>
      <c r="J3" s="59">
        <f>DataT5d!K5</f>
        <v>4.4282369613647461</v>
      </c>
      <c r="K3" s="59">
        <f>DataT5d!L5</f>
        <v>4.4591531753540039</v>
      </c>
    </row>
    <row r="4" spans="1:11" ht="17" thickBot="1" x14ac:dyDescent="0.25">
      <c r="A4" s="61" t="str">
        <f>DataT5d!B6</f>
        <v>Europe</v>
      </c>
      <c r="B4" s="47">
        <f>DataT5d!C6</f>
        <v>1781.8194580078125</v>
      </c>
      <c r="C4" s="47">
        <f>DataT5d!D6</f>
        <v>21505.23046875</v>
      </c>
      <c r="D4" s="47">
        <f>DataT5d!E6</f>
        <v>31811.87109375</v>
      </c>
      <c r="E4" s="59">
        <f>DataT5d!F6</f>
        <v>36678.26953125</v>
      </c>
      <c r="F4" s="59">
        <f>DataT5d!G6</f>
        <v>42361.89453125</v>
      </c>
      <c r="G4" s="59">
        <f>DataT5d!H6</f>
        <v>1.4182358980178833</v>
      </c>
      <c r="H4" s="59">
        <f>DataT5d!I6</f>
        <v>1.5179681777954102</v>
      </c>
      <c r="I4" s="59">
        <f>DataT5d!J6</f>
        <v>1.9770054817199707</v>
      </c>
      <c r="J4" s="59">
        <f>DataT5d!K6</f>
        <v>1.152226448059082</v>
      </c>
      <c r="K4" s="59">
        <f>DataT5d!L6</f>
        <v>2.9232072830200195</v>
      </c>
    </row>
    <row r="5" spans="1:11" ht="17" thickBot="1" x14ac:dyDescent="0.25">
      <c r="A5" s="61" t="str">
        <f>DataT5d!B7</f>
        <v>Latin America</v>
      </c>
      <c r="B5" s="62">
        <f>DataT5d!C7</f>
        <v>600.24359130859375</v>
      </c>
      <c r="C5" s="62">
        <f>DataT5d!D7</f>
        <v>6911.2451171875</v>
      </c>
      <c r="D5" s="62">
        <f>DataT5d!E7</f>
        <v>7386.9853515625</v>
      </c>
      <c r="E5" s="59">
        <f>DataT5d!F7</f>
        <v>8344.857421875</v>
      </c>
      <c r="F5" s="59">
        <f>DataT5d!G7</f>
        <v>9653.0029296875</v>
      </c>
      <c r="G5" s="59">
        <f>DataT5d!H7</f>
        <v>1.2421801090240479</v>
      </c>
      <c r="H5" s="59">
        <f>DataT5d!I7</f>
        <v>0.74525058269500732</v>
      </c>
      <c r="I5" s="59">
        <f>DataT5d!J7</f>
        <v>0.33340400457382202</v>
      </c>
      <c r="J5" s="59">
        <f>DataT5d!K7</f>
        <v>1.0759446620941162</v>
      </c>
      <c r="K5" s="59">
        <f>DataT5d!L7</f>
        <v>2.9552998542785645</v>
      </c>
    </row>
    <row r="6" spans="1:11" ht="18" thickBot="1" x14ac:dyDescent="0.25">
      <c r="A6" s="21" t="str">
        <f>DataT5d!B8</f>
        <v>MENA</v>
      </c>
      <c r="B6" s="62">
        <f>DataT5d!C8</f>
        <v>430.02560424804688</v>
      </c>
      <c r="C6" s="62">
        <f>DataT5d!D8</f>
        <v>6291.1962890625</v>
      </c>
      <c r="D6" s="62">
        <f>DataT5d!E8</f>
        <v>6106.37451171875</v>
      </c>
      <c r="E6" s="59">
        <f>DataT5d!F8</f>
        <v>8189.2353515625</v>
      </c>
      <c r="F6" s="59">
        <f>DataT5d!G8</f>
        <v>9528.98046875</v>
      </c>
      <c r="G6" s="59">
        <f>DataT5d!H8</f>
        <v>1.3865234851837158</v>
      </c>
      <c r="H6" s="59">
        <f>DataT5d!I8</f>
        <v>0.92690593004226685</v>
      </c>
      <c r="I6" s="59">
        <f>DataT5d!J8</f>
        <v>-0.14897923171520233</v>
      </c>
      <c r="J6" s="59">
        <f>DataT5d!K8</f>
        <v>1.795954704284668</v>
      </c>
      <c r="K6" s="59">
        <f>DataT5d!L8</f>
        <v>3.0767254829406738</v>
      </c>
    </row>
    <row r="7" spans="1:11" ht="35" thickBot="1" x14ac:dyDescent="0.25">
      <c r="A7" s="21" t="str">
        <f>DataT5d!B9</f>
        <v>North America &amp; Oceania</v>
      </c>
      <c r="B7" s="62">
        <f>DataT5d!C9</f>
        <v>1945.7974853515625</v>
      </c>
      <c r="C7" s="62">
        <f>DataT5d!D9</f>
        <v>33528.43359375</v>
      </c>
      <c r="D7" s="62">
        <f>DataT5d!E9</f>
        <v>51932.03125</v>
      </c>
      <c r="E7" s="59">
        <f>DataT5d!F9</f>
        <v>60178.75390625</v>
      </c>
      <c r="F7" s="59">
        <f>DataT5d!G9</f>
        <v>68025.03125</v>
      </c>
      <c r="G7" s="59">
        <f>DataT5d!H9</f>
        <v>1.5921884775161743</v>
      </c>
      <c r="H7" s="59">
        <f>DataT5d!I9</f>
        <v>1.5846058130264282</v>
      </c>
      <c r="I7" s="59">
        <f>DataT5d!J9</f>
        <v>2.2118155956268311</v>
      </c>
      <c r="J7" s="59">
        <f>DataT5d!K9</f>
        <v>1.0856103897094727</v>
      </c>
      <c r="K7" s="59">
        <f>DataT5d!L9</f>
        <v>2.481414794921875</v>
      </c>
    </row>
    <row r="8" spans="1:11" ht="18" thickBot="1" x14ac:dyDescent="0.25">
      <c r="A8" s="21" t="str">
        <f>DataT5d!B10</f>
        <v>Russia &amp; Central Asia</v>
      </c>
      <c r="B8" s="62">
        <f>DataT5d!C10</f>
        <v>395.27032470703125</v>
      </c>
      <c r="C8" s="62">
        <f>DataT5d!D10</f>
        <v>6206.103515625</v>
      </c>
      <c r="D8" s="62">
        <f>DataT5d!E10</f>
        <v>5474.27685546875</v>
      </c>
      <c r="E8" s="59">
        <f>DataT5d!F10</f>
        <v>9292.828125</v>
      </c>
      <c r="F8" s="59">
        <f>DataT5d!G10</f>
        <v>10810.6630859375</v>
      </c>
      <c r="G8" s="59">
        <f>DataT5d!H10</f>
        <v>1.4814071655273438</v>
      </c>
      <c r="H8" s="59">
        <f>DataT5d!I10</f>
        <v>1.2409697771072388</v>
      </c>
      <c r="I8" s="59">
        <f>DataT5d!J10</f>
        <v>-0.62540113925933838</v>
      </c>
      <c r="J8" s="59">
        <f>DataT5d!K10</f>
        <v>2.7592730522155762</v>
      </c>
      <c r="K8" s="59">
        <f>DataT5d!L10</f>
        <v>3.0720434188842773</v>
      </c>
    </row>
    <row r="9" spans="1:11" ht="18" thickBot="1" x14ac:dyDescent="0.25">
      <c r="A9" s="21" t="str">
        <f>DataT5d!B11</f>
        <v>South &amp; South-East Asia</v>
      </c>
      <c r="B9" s="47">
        <f>DataT5d!C11</f>
        <v>316.40631103515625</v>
      </c>
      <c r="C9" s="47">
        <f>DataT5d!D11</f>
        <v>661.55419921875</v>
      </c>
      <c r="D9" s="47">
        <f>DataT5d!E11</f>
        <v>1167.086181640625</v>
      </c>
      <c r="E9" s="59">
        <f>DataT5d!F11</f>
        <v>2402.143798828125</v>
      </c>
      <c r="F9" s="59">
        <f>DataT5d!G11</f>
        <v>3042.096923828125</v>
      </c>
      <c r="G9" s="59">
        <f>DataT5d!H11</f>
        <v>1.0109761953353882</v>
      </c>
      <c r="H9" s="59">
        <f>DataT5d!I11</f>
        <v>3.4485993385314941</v>
      </c>
      <c r="I9" s="59">
        <f>DataT5d!J11</f>
        <v>2.8790333271026611</v>
      </c>
      <c r="J9" s="59">
        <f>DataT5d!K11</f>
        <v>3.9065215587615967</v>
      </c>
      <c r="K9" s="59">
        <f>DataT5d!L11</f>
        <v>4.8370552062988281</v>
      </c>
    </row>
    <row r="10" spans="1:11" ht="18" thickBot="1" x14ac:dyDescent="0.25">
      <c r="A10" s="21" t="str">
        <f>DataT5d!B12</f>
        <v>Sub-Saharan Africa</v>
      </c>
      <c r="B10" s="47">
        <f>DataT5d!C12</f>
        <v>284.1451416015625</v>
      </c>
      <c r="C10" s="47">
        <f>DataT5d!D12</f>
        <v>1305.170166015625</v>
      </c>
      <c r="D10" s="47">
        <f>DataT5d!E12</f>
        <v>1385.5728759765625</v>
      </c>
      <c r="E10" s="59">
        <f>DataT5d!F12</f>
        <v>1749.918701171875</v>
      </c>
      <c r="F10" s="59">
        <f>DataT5d!G12</f>
        <v>1823.87109375</v>
      </c>
      <c r="G10" s="59">
        <f>DataT5d!H12</f>
        <v>0.82974851131439209</v>
      </c>
      <c r="H10" s="59">
        <f>DataT5d!I12</f>
        <v>0.74638915061950684</v>
      </c>
      <c r="I10" s="59">
        <f>DataT5d!J12</f>
        <v>0.29934847354888916</v>
      </c>
      <c r="J10" s="59">
        <f>DataT5d!K12</f>
        <v>1.1054558753967285</v>
      </c>
      <c r="K10" s="59">
        <f>DataT5d!L12</f>
        <v>0.83127379417419434</v>
      </c>
    </row>
    <row r="11" spans="1:11" ht="18" thickBot="1" x14ac:dyDescent="0.25">
      <c r="A11" s="22" t="str">
        <f>DataT5d!B13</f>
        <v>World</v>
      </c>
      <c r="B11" s="63">
        <f>DataT5d!C13</f>
        <v>616.4930419921875</v>
      </c>
      <c r="C11" s="63">
        <f>DataT5d!D13</f>
        <v>6682.869140625</v>
      </c>
      <c r="D11" s="63">
        <f>DataT5d!E13</f>
        <v>8473.6865234375</v>
      </c>
      <c r="E11" s="64">
        <f>DataT5d!F13</f>
        <v>10735.3544921875</v>
      </c>
      <c r="F11" s="64">
        <f>DataT5d!G13</f>
        <v>12316.9111328125</v>
      </c>
      <c r="G11" s="64">
        <f>DataT5d!H13</f>
        <v>1.3398663997650146</v>
      </c>
      <c r="H11" s="64">
        <f>DataT5d!I13</f>
        <v>1.3679966926574707</v>
      </c>
      <c r="I11" s="64">
        <f>DataT5d!J13</f>
        <v>1.1941651105880737</v>
      </c>
      <c r="J11" s="64">
        <f>DataT5d!K13</f>
        <v>1.5072767734527588</v>
      </c>
      <c r="K11" s="64">
        <f>DataT5d!L13</f>
        <v>2.786738395690918</v>
      </c>
    </row>
    <row r="12" spans="1:11" ht="15" customHeight="1" x14ac:dyDescent="0.2">
      <c r="A12" s="173" t="s">
        <v>659</v>
      </c>
      <c r="B12" s="174"/>
      <c r="C12" s="174"/>
      <c r="D12" s="174"/>
      <c r="E12" s="174"/>
      <c r="F12" s="174"/>
      <c r="G12" s="174"/>
      <c r="H12" s="174"/>
      <c r="I12" s="174"/>
      <c r="J12" s="174"/>
      <c r="K12" s="175"/>
    </row>
    <row r="13" spans="1:11" ht="16" thickBot="1" x14ac:dyDescent="0.25">
      <c r="A13" s="176"/>
      <c r="B13" s="177"/>
      <c r="C13" s="177"/>
      <c r="D13" s="177"/>
      <c r="E13" s="177"/>
      <c r="F13" s="177"/>
      <c r="G13" s="177"/>
      <c r="H13" s="177"/>
      <c r="I13" s="177"/>
      <c r="J13" s="177"/>
      <c r="K13" s="178"/>
    </row>
    <row r="14" spans="1:11" ht="31" customHeight="1" x14ac:dyDescent="0.2">
      <c r="A14" s="52"/>
    </row>
    <row r="15" spans="1:11" ht="31" customHeight="1" x14ac:dyDescent="0.2">
      <c r="A15" s="52"/>
    </row>
    <row r="16" spans="1:11" ht="31" customHeight="1" x14ac:dyDescent="0.2">
      <c r="A16" s="52"/>
    </row>
    <row r="17" spans="1:1" ht="31" customHeight="1" x14ac:dyDescent="0.2">
      <c r="A17" s="52"/>
    </row>
    <row r="18" spans="1:1" ht="31" customHeight="1" x14ac:dyDescent="0.2">
      <c r="A18" s="52"/>
    </row>
    <row r="19" spans="1:1" ht="31" customHeight="1" x14ac:dyDescent="0.2">
      <c r="A19" s="52"/>
    </row>
    <row r="20" spans="1:1" ht="31" customHeight="1" x14ac:dyDescent="0.2">
      <c r="A20" s="52"/>
    </row>
    <row r="21" spans="1:1" ht="31" customHeight="1" x14ac:dyDescent="0.2">
      <c r="A21" s="52"/>
    </row>
    <row r="22" spans="1:1" ht="31" customHeight="1" x14ac:dyDescent="0.2">
      <c r="A22" s="52"/>
    </row>
    <row r="23" spans="1:1" ht="31" customHeight="1" x14ac:dyDescent="0.2">
      <c r="A23" s="52"/>
    </row>
    <row r="24" spans="1:1" ht="31" customHeight="1" x14ac:dyDescent="0.2">
      <c r="A24" s="52"/>
    </row>
    <row r="25" spans="1:1" ht="31" customHeight="1" x14ac:dyDescent="0.2">
      <c r="A25" s="52"/>
    </row>
    <row r="26" spans="1:1" ht="31" customHeight="1" x14ac:dyDescent="0.2">
      <c r="A26" s="52"/>
    </row>
    <row r="27" spans="1:1" ht="31" customHeight="1" x14ac:dyDescent="0.2">
      <c r="A27" s="52"/>
    </row>
  </sheetData>
  <mergeCells count="2">
    <mergeCell ref="A1:K1"/>
    <mergeCell ref="A12: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00C1A-838E-3545-8DC8-797E6A3A59CA}">
  <sheetPr>
    <tabColor theme="8"/>
  </sheetPr>
  <dimension ref="A1:L78"/>
  <sheetViews>
    <sheetView workbookViewId="0">
      <pane ySplit="2" topLeftCell="A3" activePane="bottomLeft" state="frozen"/>
      <selection pane="bottomLeft" activeCell="C5" sqref="C5"/>
    </sheetView>
  </sheetViews>
  <sheetFormatPr baseColWidth="10" defaultRowHeight="23" customHeight="1" x14ac:dyDescent="0.2"/>
  <cols>
    <col min="1" max="1" width="10.83203125" style="70"/>
    <col min="2" max="2" width="21.83203125" style="70" customWidth="1"/>
    <col min="3" max="11" width="15.33203125" customWidth="1"/>
    <col min="12" max="12" width="15.1640625" customWidth="1"/>
  </cols>
  <sheetData>
    <row r="1" spans="1:12" ht="23" customHeight="1" thickBot="1" x14ac:dyDescent="0.25">
      <c r="A1" s="138" t="str">
        <f>DataT6!B3</f>
        <v xml:space="preserve">Table 6. Per Capita National Income Growth PPP 2025  € by  WID core Territories (1980-2025) </v>
      </c>
      <c r="B1" s="139"/>
      <c r="C1" s="139"/>
      <c r="D1" s="139"/>
      <c r="E1" s="139"/>
      <c r="F1" s="139"/>
      <c r="G1" s="139"/>
      <c r="H1" s="139"/>
      <c r="I1" s="139"/>
      <c r="J1" s="139"/>
      <c r="K1" s="139"/>
      <c r="L1" s="140"/>
    </row>
    <row r="2" spans="1:12" s="70" customFormat="1" ht="69" thickBot="1" x14ac:dyDescent="0.25">
      <c r="A2" s="68" t="str">
        <f>DataT6!B4</f>
        <v>Region</v>
      </c>
      <c r="B2" s="1" t="str">
        <f>DataT6!C4</f>
        <v>Country</v>
      </c>
      <c r="C2" s="1" t="str">
        <f>DataT6!D4</f>
        <v>1800 Per capita national income   (PPP 2025 €)</v>
      </c>
      <c r="D2" s="1" t="str">
        <f>DataT6!E4</f>
        <v>1980 Per capita national income   (PPP 2025 €)</v>
      </c>
      <c r="E2" s="1" t="str">
        <f>DataT6!F4</f>
        <v>2000 Per capita national income   (PPP 2025 €)</v>
      </c>
      <c r="F2" s="1" t="str">
        <f>DataT6!G4</f>
        <v>2020 Per capita national income   (PPP 2025 €)</v>
      </c>
      <c r="G2" s="1" t="str">
        <f>DataT6!H4</f>
        <v>2025 Per capita national income   (PPP 2025 €)</v>
      </c>
      <c r="H2" s="1" t="str">
        <f>DataT6!I4</f>
        <v>Annual growth rate 1800-2025</v>
      </c>
      <c r="I2" s="1" t="str">
        <f>DataT6!J4</f>
        <v>Annual growth rate 1980-2025</v>
      </c>
      <c r="J2" s="1" t="str">
        <f>DataT6!K4</f>
        <v>Annual growth rate 1980-2000</v>
      </c>
      <c r="K2" s="1" t="str">
        <f>DataT6!L4</f>
        <v>Annual growth rate 2000-2025</v>
      </c>
      <c r="L2" s="1" t="str">
        <f>DataT6!M4</f>
        <v>Annual growth rate 2020-2025</v>
      </c>
    </row>
    <row r="3" spans="1:12" ht="23" customHeight="1" thickBot="1" x14ac:dyDescent="0.25">
      <c r="A3" s="179" t="str">
        <f>DataT6!B5</f>
        <v>East Asia</v>
      </c>
      <c r="B3" s="42" t="str">
        <f>DataT6!C5</f>
        <v>Taiwan</v>
      </c>
      <c r="C3" s="62">
        <f>DataT6!D5</f>
        <v>762.37420654296875</v>
      </c>
      <c r="D3" s="62">
        <f>DataT6!E5</f>
        <v>6466.37744140625</v>
      </c>
      <c r="E3" s="62">
        <f>DataT6!F5</f>
        <v>22022.650390625</v>
      </c>
      <c r="F3" s="62">
        <f>DataT6!G5</f>
        <v>41774.19921875</v>
      </c>
      <c r="G3" s="62">
        <f>DataT6!H5</f>
        <v>55286.77734375</v>
      </c>
      <c r="H3" s="59">
        <f>DataT6!I5</f>
        <v>1.9221744537353516</v>
      </c>
      <c r="I3" s="59">
        <f>DataT6!J5</f>
        <v>4.8842377662658691</v>
      </c>
      <c r="J3" s="59">
        <f>DataT6!K5</f>
        <v>6.3188877105712891</v>
      </c>
      <c r="K3" s="59">
        <f>DataT6!L5</f>
        <v>3.7504687309265137</v>
      </c>
      <c r="L3" s="59">
        <f>DataT6!M5</f>
        <v>5.7651581764221191</v>
      </c>
    </row>
    <row r="4" spans="1:12" ht="23" customHeight="1" thickBot="1" x14ac:dyDescent="0.25">
      <c r="A4" s="181"/>
      <c r="B4" s="51" t="str">
        <f>DataT6!C6</f>
        <v>South Korea</v>
      </c>
      <c r="C4" s="62">
        <f>DataT6!D6</f>
        <v>564.92633056640625</v>
      </c>
      <c r="D4" s="62">
        <f>DataT6!E6</f>
        <v>4334.27685546875</v>
      </c>
      <c r="E4" s="62">
        <f>DataT6!F6</f>
        <v>17094.974609375</v>
      </c>
      <c r="F4" s="62">
        <f>DataT6!G6</f>
        <v>31462.212890625</v>
      </c>
      <c r="G4" s="62">
        <f>DataT6!H6</f>
        <v>35047.8359375</v>
      </c>
      <c r="H4" s="59">
        <f>DataT6!I6</f>
        <v>1.8514976501464844</v>
      </c>
      <c r="I4" s="59">
        <f>DataT6!J6</f>
        <v>4.7543582916259766</v>
      </c>
      <c r="J4" s="59">
        <f>DataT6!K6</f>
        <v>7.1020021438598633</v>
      </c>
      <c r="K4" s="59">
        <f>DataT6!L6</f>
        <v>2.913348913192749</v>
      </c>
      <c r="L4" s="59">
        <f>DataT6!M6</f>
        <v>2.1819987297058105</v>
      </c>
    </row>
    <row r="5" spans="1:12" ht="23" customHeight="1" thickBot="1" x14ac:dyDescent="0.25">
      <c r="A5" s="181"/>
      <c r="B5" s="42" t="str">
        <f>DataT6!C7</f>
        <v>Japan</v>
      </c>
      <c r="C5" s="62">
        <f>DataT6!D7</f>
        <v>807.8841552734375</v>
      </c>
      <c r="D5" s="62">
        <f>DataT6!E7</f>
        <v>15316.2529296875</v>
      </c>
      <c r="E5" s="62">
        <f>DataT6!F7</f>
        <v>23818.28515625</v>
      </c>
      <c r="F5" s="62">
        <f>DataT6!G7</f>
        <v>26677.4765625</v>
      </c>
      <c r="G5" s="62">
        <f>DataT6!H7</f>
        <v>30128.634765625</v>
      </c>
      <c r="H5" s="59">
        <f>DataT6!I7</f>
        <v>1.621364951133728</v>
      </c>
      <c r="I5" s="59">
        <f>DataT6!J7</f>
        <v>1.5148289203643799</v>
      </c>
      <c r="J5" s="59">
        <f>DataT6!K7</f>
        <v>2.2322447299957275</v>
      </c>
      <c r="K5" s="59">
        <f>DataT6!L7</f>
        <v>0.94452261924743652</v>
      </c>
      <c r="L5" s="59">
        <f>DataT6!M7</f>
        <v>2.4629695415496826</v>
      </c>
    </row>
    <row r="6" spans="1:12" ht="23" customHeight="1" thickBot="1" x14ac:dyDescent="0.25">
      <c r="A6" s="181"/>
      <c r="B6" s="42" t="str">
        <f>DataT6!C8</f>
        <v>Other East Asia</v>
      </c>
      <c r="C6" s="62">
        <f>DataT6!D8</f>
        <v>1452.4775390625</v>
      </c>
      <c r="D6" s="62">
        <f>DataT6!E8</f>
        <v>7102.361328125</v>
      </c>
      <c r="E6" s="62">
        <f>DataT6!F8</f>
        <v>12931.474609375</v>
      </c>
      <c r="F6" s="62">
        <f>DataT6!G8</f>
        <v>21507.3125</v>
      </c>
      <c r="G6" s="62">
        <f>DataT6!H8</f>
        <v>26422.28125</v>
      </c>
      <c r="H6" s="59">
        <f>DataT6!I8</f>
        <v>1.2976527214050293</v>
      </c>
      <c r="I6" s="59">
        <f>DataT6!J8</f>
        <v>2.9625473022460938</v>
      </c>
      <c r="J6" s="59">
        <f>DataT6!K8</f>
        <v>3.0415217876434326</v>
      </c>
      <c r="K6" s="59">
        <f>DataT6!L8</f>
        <v>2.8994112014770508</v>
      </c>
      <c r="L6" s="59">
        <f>DataT6!M8</f>
        <v>4.2021870613098145</v>
      </c>
    </row>
    <row r="7" spans="1:12" ht="23" customHeight="1" thickBot="1" x14ac:dyDescent="0.25">
      <c r="A7" s="180"/>
      <c r="B7" s="42" t="str">
        <f>DataT6!C9</f>
        <v>China</v>
      </c>
      <c r="C7" s="62">
        <f>DataT6!D9</f>
        <v>745.72698974609375</v>
      </c>
      <c r="D7" s="62">
        <f>DataT6!E9</f>
        <v>1160.7979736328125</v>
      </c>
      <c r="E7" s="62">
        <f>DataT6!F9</f>
        <v>3007.44921875</v>
      </c>
      <c r="F7" s="62">
        <f>DataT6!G9</f>
        <v>12333.228515625</v>
      </c>
      <c r="G7" s="62">
        <f>DataT6!H9</f>
        <v>15891.3349609375</v>
      </c>
      <c r="H7" s="59">
        <f>DataT6!I9</f>
        <v>1.3689160346984863</v>
      </c>
      <c r="I7" s="59">
        <f>DataT6!J9</f>
        <v>5.9871993064880371</v>
      </c>
      <c r="J7" s="59">
        <f>DataT6!K9</f>
        <v>4.8750267028808594</v>
      </c>
      <c r="K7" s="59">
        <f>DataT6!L9</f>
        <v>6.8854236602783203</v>
      </c>
      <c r="L7" s="59">
        <f>DataT6!M9</f>
        <v>5.2002367973327637</v>
      </c>
    </row>
    <row r="8" spans="1:12" ht="23" customHeight="1" thickBot="1" x14ac:dyDescent="0.25">
      <c r="A8" s="179" t="str">
        <f>DataT6!B10</f>
        <v>Europe</v>
      </c>
      <c r="B8" s="42" t="str">
        <f>DataT6!C10</f>
        <v>Norway</v>
      </c>
      <c r="C8" s="62">
        <f>DataT6!D10</f>
        <v>1622.7781982421875</v>
      </c>
      <c r="D8" s="62">
        <f>DataT6!E10</f>
        <v>29528.546875</v>
      </c>
      <c r="E8" s="62">
        <f>DataT6!F10</f>
        <v>51834.05859375</v>
      </c>
      <c r="F8" s="62">
        <f>DataT6!G10</f>
        <v>63179.25</v>
      </c>
      <c r="G8" s="62">
        <f>DataT6!H10</f>
        <v>70146.875</v>
      </c>
      <c r="H8" s="59">
        <f>DataT6!I10</f>
        <v>1.6880680322647095</v>
      </c>
      <c r="I8" s="59">
        <f>DataT6!J10</f>
        <v>1.9413455724716187</v>
      </c>
      <c r="J8" s="59">
        <f>DataT6!K10</f>
        <v>2.8534011840820312</v>
      </c>
      <c r="K8" s="59">
        <f>DataT6!L10</f>
        <v>1.2175277471542358</v>
      </c>
      <c r="L8" s="59">
        <f>DataT6!M10</f>
        <v>2.1143498420715332</v>
      </c>
    </row>
    <row r="9" spans="1:12" ht="23" customHeight="1" thickBot="1" x14ac:dyDescent="0.25">
      <c r="A9" s="181"/>
      <c r="B9" s="51" t="str">
        <f>DataT6!C11</f>
        <v>Denmark</v>
      </c>
      <c r="C9" s="62">
        <f>DataT6!D11</f>
        <v>1648.1160888671875</v>
      </c>
      <c r="D9" s="62">
        <f>DataT6!E11</f>
        <v>23564.9296875</v>
      </c>
      <c r="E9" s="62">
        <f>DataT6!F11</f>
        <v>37408.625</v>
      </c>
      <c r="F9" s="62">
        <f>DataT6!G11</f>
        <v>44730.328125</v>
      </c>
      <c r="G9" s="62">
        <f>DataT6!H11</f>
        <v>49726.015625</v>
      </c>
      <c r="H9" s="59">
        <f>DataT6!I11</f>
        <v>1.5256974697113037</v>
      </c>
      <c r="I9" s="59">
        <f>DataT6!J11</f>
        <v>1.6733318567276001</v>
      </c>
      <c r="J9" s="59">
        <f>DataT6!K11</f>
        <v>2.3376123905181885</v>
      </c>
      <c r="K9" s="59">
        <f>DataT6!L11</f>
        <v>1.1450134515762329</v>
      </c>
      <c r="L9" s="59">
        <f>DataT6!M11</f>
        <v>2.1401100158691406</v>
      </c>
    </row>
    <row r="10" spans="1:12" ht="23" customHeight="1" thickBot="1" x14ac:dyDescent="0.25">
      <c r="A10" s="181"/>
      <c r="B10" s="51" t="str">
        <f>DataT6!C12</f>
        <v>Netherlands</v>
      </c>
      <c r="C10" s="62">
        <f>DataT6!D12</f>
        <v>2572.52490234375</v>
      </c>
      <c r="D10" s="62">
        <f>DataT6!E12</f>
        <v>25348.95703125</v>
      </c>
      <c r="E10" s="62">
        <f>DataT6!F12</f>
        <v>36834.43359375</v>
      </c>
      <c r="F10" s="62">
        <f>DataT6!G12</f>
        <v>42004.16015625</v>
      </c>
      <c r="G10" s="62">
        <f>DataT6!H12</f>
        <v>47551.421875</v>
      </c>
      <c r="H10" s="59">
        <f>DataT6!I12</f>
        <v>1.3048504590988159</v>
      </c>
      <c r="I10" s="59">
        <f>DataT6!J12</f>
        <v>1.4077593088150024</v>
      </c>
      <c r="J10" s="59">
        <f>DataT6!K12</f>
        <v>1.8860430717468262</v>
      </c>
      <c r="K10" s="59">
        <f>DataT6!L12</f>
        <v>1.0267494916915894</v>
      </c>
      <c r="L10" s="59">
        <f>DataT6!M12</f>
        <v>2.511890172958374</v>
      </c>
    </row>
    <row r="11" spans="1:12" ht="23" customHeight="1" thickBot="1" x14ac:dyDescent="0.25">
      <c r="A11" s="181"/>
      <c r="B11" s="51" t="str">
        <f>DataT6!C13</f>
        <v>Sweden</v>
      </c>
      <c r="C11" s="62">
        <f>DataT6!D13</f>
        <v>1089.9888916015625</v>
      </c>
      <c r="D11" s="62">
        <f>DataT6!E13</f>
        <v>23006.529296875</v>
      </c>
      <c r="E11" s="62">
        <f>DataT6!F13</f>
        <v>31703.74609375</v>
      </c>
      <c r="F11" s="62">
        <f>DataT6!G13</f>
        <v>41712.2734375</v>
      </c>
      <c r="G11" s="62">
        <f>DataT6!H13</f>
        <v>45180.1484375</v>
      </c>
      <c r="H11" s="59">
        <f>DataT6!I13</f>
        <v>1.6691055297851562</v>
      </c>
      <c r="I11" s="59">
        <f>DataT6!J13</f>
        <v>1.5110350847244263</v>
      </c>
      <c r="J11" s="59">
        <f>DataT6!K13</f>
        <v>1.6162054538726807</v>
      </c>
      <c r="K11" s="59">
        <f>DataT6!L13</f>
        <v>1.4269771575927734</v>
      </c>
      <c r="L11" s="59">
        <f>DataT6!M13</f>
        <v>1.6100713014602661</v>
      </c>
    </row>
    <row r="12" spans="1:12" ht="23" customHeight="1" thickBot="1" x14ac:dyDescent="0.25">
      <c r="A12" s="181"/>
      <c r="B12" s="1" t="str">
        <f>DataT6!C14</f>
        <v>Germany</v>
      </c>
      <c r="C12" s="62">
        <f>DataT6!D14</f>
        <v>1810.455810546875</v>
      </c>
      <c r="D12" s="62">
        <f>DataT6!E14</f>
        <v>23004.826171875</v>
      </c>
      <c r="E12" s="62">
        <f>DataT6!F14</f>
        <v>33185.5</v>
      </c>
      <c r="F12" s="62">
        <f>DataT6!G14</f>
        <v>39611.57421875</v>
      </c>
      <c r="G12" s="62">
        <f>DataT6!H14</f>
        <v>41797.828125</v>
      </c>
      <c r="H12" s="59">
        <f>DataT6!I14</f>
        <v>1.4050079584121704</v>
      </c>
      <c r="I12" s="59">
        <f>DataT6!J14</f>
        <v>1.3358219861984253</v>
      </c>
      <c r="J12" s="59">
        <f>DataT6!K14</f>
        <v>1.848929762840271</v>
      </c>
      <c r="K12" s="59">
        <f>DataT6!L14</f>
        <v>0.92719751596450806</v>
      </c>
      <c r="L12" s="59">
        <f>DataT6!M14</f>
        <v>1.0802532434463501</v>
      </c>
    </row>
    <row r="13" spans="1:12" ht="23" customHeight="1" thickBot="1" x14ac:dyDescent="0.25">
      <c r="A13" s="181"/>
      <c r="B13" s="42" t="str">
        <f>DataT6!C15</f>
        <v>Other Western Europe</v>
      </c>
      <c r="C13" s="62">
        <f>DataT6!D15</f>
        <v>1593.211669921875</v>
      </c>
      <c r="D13" s="62">
        <f>DataT6!E15</f>
        <v>21152.529296875</v>
      </c>
      <c r="E13" s="62">
        <f>DataT6!F15</f>
        <v>31288.1015625</v>
      </c>
      <c r="F13" s="62">
        <f>DataT6!G15</f>
        <v>34622.328125</v>
      </c>
      <c r="G13" s="62">
        <f>DataT6!H15</f>
        <v>41160.83203125</v>
      </c>
      <c r="H13" s="59">
        <f>DataT6!I15</f>
        <v>1.4557093381881714</v>
      </c>
      <c r="I13" s="59">
        <f>DataT6!J15</f>
        <v>1.4903918504714966</v>
      </c>
      <c r="J13" s="59">
        <f>DataT6!K15</f>
        <v>1.9766743183135986</v>
      </c>
      <c r="K13" s="59">
        <f>DataT6!L15</f>
        <v>1.1030360460281372</v>
      </c>
      <c r="L13" s="59">
        <f>DataT6!M15</f>
        <v>3.5203127861022949</v>
      </c>
    </row>
    <row r="14" spans="1:12" ht="23" customHeight="1" thickBot="1" x14ac:dyDescent="0.25">
      <c r="A14" s="181"/>
      <c r="B14" s="51" t="str">
        <f>DataT6!C16</f>
        <v>United Kingdom</v>
      </c>
      <c r="C14" s="62">
        <f>DataT6!D16</f>
        <v>2975.635498046875</v>
      </c>
      <c r="D14" s="62">
        <f>DataT6!E16</f>
        <v>17819.708984375</v>
      </c>
      <c r="E14" s="62">
        <f>DataT6!F16</f>
        <v>31424.76171875</v>
      </c>
      <c r="F14" s="62">
        <f>DataT6!G16</f>
        <v>32126.607421875</v>
      </c>
      <c r="G14" s="62">
        <f>DataT6!H16</f>
        <v>38013.4453125</v>
      </c>
      <c r="H14" s="59">
        <f>DataT6!I16</f>
        <v>1.1386481523513794</v>
      </c>
      <c r="I14" s="59">
        <f>DataT6!J16</f>
        <v>1.6978859901428223</v>
      </c>
      <c r="J14" s="59">
        <f>DataT6!K16</f>
        <v>2.8770656585693359</v>
      </c>
      <c r="K14" s="59">
        <f>DataT6!L16</f>
        <v>0.76428103446960449</v>
      </c>
      <c r="L14" s="59">
        <f>DataT6!M16</f>
        <v>3.4223678112030029</v>
      </c>
    </row>
    <row r="15" spans="1:12" ht="23" customHeight="1" thickBot="1" x14ac:dyDescent="0.25">
      <c r="A15" s="181"/>
      <c r="B15" s="42" t="str">
        <f>DataT6!C17</f>
        <v>France</v>
      </c>
      <c r="C15" s="62">
        <f>DataT6!D17</f>
        <v>1256.85302734375</v>
      </c>
      <c r="D15" s="62">
        <f>DataT6!E17</f>
        <v>22009.462890625</v>
      </c>
      <c r="E15" s="62">
        <f>DataT6!F17</f>
        <v>31651.005859375</v>
      </c>
      <c r="F15" s="62">
        <f>DataT6!G17</f>
        <v>32877.5234375</v>
      </c>
      <c r="G15" s="62">
        <f>DataT6!H17</f>
        <v>37176.40234375</v>
      </c>
      <c r="H15" s="59">
        <f>DataT6!I17</f>
        <v>1.5167490243911743</v>
      </c>
      <c r="I15" s="59">
        <f>DataT6!J17</f>
        <v>1.1717039346694946</v>
      </c>
      <c r="J15" s="59">
        <f>DataT6!K17</f>
        <v>1.8330855369567871</v>
      </c>
      <c r="K15" s="59">
        <f>DataT6!L17</f>
        <v>0.64569270610809326</v>
      </c>
      <c r="L15" s="59">
        <f>DataT6!M17</f>
        <v>2.4881486892700195</v>
      </c>
    </row>
    <row r="16" spans="1:12" ht="23" customHeight="1" thickBot="1" x14ac:dyDescent="0.25">
      <c r="A16" s="181"/>
      <c r="B16" s="42" t="str">
        <f>DataT6!C18</f>
        <v>Italy</v>
      </c>
      <c r="C16" s="62">
        <f>DataT6!D18</f>
        <v>2109.243896484375</v>
      </c>
      <c r="D16" s="62">
        <f>DataT6!E18</f>
        <v>23224.6640625</v>
      </c>
      <c r="E16" s="62">
        <f>DataT6!F18</f>
        <v>33868.82421875</v>
      </c>
      <c r="F16" s="62">
        <f>DataT6!G18</f>
        <v>29077.705078125</v>
      </c>
      <c r="G16" s="62">
        <f>DataT6!H18</f>
        <v>34700.1328125</v>
      </c>
      <c r="H16" s="59">
        <f>DataT6!I18</f>
        <v>1.252406120300293</v>
      </c>
      <c r="I16" s="59">
        <f>DataT6!J18</f>
        <v>0.8962787389755249</v>
      </c>
      <c r="J16" s="59">
        <f>DataT6!K18</f>
        <v>1.9043058156967163</v>
      </c>
      <c r="K16" s="59">
        <f>DataT6!L18</f>
        <v>9.7041122615337372E-2</v>
      </c>
      <c r="L16" s="59">
        <f>DataT6!M18</f>
        <v>3.5986752510070801</v>
      </c>
    </row>
    <row r="17" spans="1:12" ht="23" customHeight="1" thickBot="1" x14ac:dyDescent="0.25">
      <c r="A17" s="181"/>
      <c r="B17" s="42" t="str">
        <f>DataT6!C19</f>
        <v>Spain</v>
      </c>
      <c r="C17" s="62">
        <f>DataT6!D19</f>
        <v>1585.5115966796875</v>
      </c>
      <c r="D17" s="62">
        <f>DataT6!E19</f>
        <v>17104.92578125</v>
      </c>
      <c r="E17" s="62">
        <f>DataT6!F19</f>
        <v>26827.7578125</v>
      </c>
      <c r="F17" s="62">
        <f>DataT6!G19</f>
        <v>26928.865234375</v>
      </c>
      <c r="G17" s="62">
        <f>DataT6!H19</f>
        <v>33533.7109375</v>
      </c>
      <c r="H17" s="59">
        <f>DataT6!I19</f>
        <v>1.3655256032943726</v>
      </c>
      <c r="I17" s="59">
        <f>DataT6!J19</f>
        <v>1.5072119235992432</v>
      </c>
      <c r="J17" s="59">
        <f>DataT6!K19</f>
        <v>2.275864839553833</v>
      </c>
      <c r="K17" s="59">
        <f>DataT6!L19</f>
        <v>0.89645093679428101</v>
      </c>
      <c r="L17" s="59">
        <f>DataT6!M19</f>
        <v>4.484703540802002</v>
      </c>
    </row>
    <row r="18" spans="1:12" ht="23" customHeight="1" thickBot="1" x14ac:dyDescent="0.25">
      <c r="A18" s="180"/>
      <c r="B18" s="42" t="str">
        <f>DataT6!C20</f>
        <v>Eastern Europe</v>
      </c>
      <c r="C18" s="62">
        <f>DataT6!D20</f>
        <v>646.917236328125</v>
      </c>
      <c r="D18" s="62">
        <f>DataT6!E20</f>
        <v>10442.1806640625</v>
      </c>
      <c r="E18" s="62">
        <f>DataT6!F20</f>
        <v>11076.9052734375</v>
      </c>
      <c r="F18" s="62">
        <f>DataT6!G20</f>
        <v>21551.0234375</v>
      </c>
      <c r="G18" s="62">
        <f>DataT6!H20</f>
        <v>25895.3046875</v>
      </c>
      <c r="H18" s="59">
        <f>DataT6!I20</f>
        <v>1.6533404588699341</v>
      </c>
      <c r="I18" s="59">
        <f>DataT6!J20</f>
        <v>2.0387444496154785</v>
      </c>
      <c r="J18" s="59">
        <f>DataT6!K20</f>
        <v>0.29547980427742004</v>
      </c>
      <c r="K18" s="59">
        <f>DataT6!L20</f>
        <v>3.4551472663879395</v>
      </c>
      <c r="L18" s="59">
        <f>DataT6!M20</f>
        <v>3.7410452365875244</v>
      </c>
    </row>
    <row r="19" spans="1:12" ht="23" customHeight="1" thickBot="1" x14ac:dyDescent="0.25">
      <c r="A19" s="179" t="str">
        <f>DataT6!B21</f>
        <v>Latin America</v>
      </c>
      <c r="B19" s="51" t="str">
        <f>DataT6!C21</f>
        <v>Argentina</v>
      </c>
      <c r="C19" s="62">
        <f>DataT6!D21</f>
        <v>976.7523193359375</v>
      </c>
      <c r="D19" s="62">
        <f>DataT6!E21</f>
        <v>15854.796875</v>
      </c>
      <c r="E19" s="62">
        <f>DataT6!F21</f>
        <v>15526.5966796875</v>
      </c>
      <c r="F19" s="62">
        <f>DataT6!G21</f>
        <v>17498.0390625</v>
      </c>
      <c r="G19" s="62">
        <f>DataT6!H21</f>
        <v>20248.16015625</v>
      </c>
      <c r="H19" s="59">
        <f>DataT6!I21</f>
        <v>1.3564895391464233</v>
      </c>
      <c r="I19" s="59">
        <f>DataT6!J21</f>
        <v>0.54501724243164062</v>
      </c>
      <c r="J19" s="59">
        <f>DataT6!K21</f>
        <v>-0.10453344136476517</v>
      </c>
      <c r="K19" s="59">
        <f>DataT6!L21</f>
        <v>1.0676974058151245</v>
      </c>
      <c r="L19" s="59">
        <f>DataT6!M21</f>
        <v>2.9625380039215088</v>
      </c>
    </row>
    <row r="20" spans="1:12" ht="23" customHeight="1" thickBot="1" x14ac:dyDescent="0.25">
      <c r="A20" s="181"/>
      <c r="B20" s="51" t="str">
        <f>DataT6!C22</f>
        <v>Chile</v>
      </c>
      <c r="C20" s="62">
        <f>DataT6!D22</f>
        <v>600.43572998046875</v>
      </c>
      <c r="D20" s="62">
        <f>DataT6!E22</f>
        <v>6160.00341796875</v>
      </c>
      <c r="E20" s="62">
        <f>DataT6!F22</f>
        <v>11588.759765625</v>
      </c>
      <c r="F20" s="62">
        <f>DataT6!G22</f>
        <v>16560.623046875</v>
      </c>
      <c r="G20" s="62">
        <f>DataT6!H22</f>
        <v>19354.29296875</v>
      </c>
      <c r="H20" s="59">
        <f>DataT6!I22</f>
        <v>1.555536150932312</v>
      </c>
      <c r="I20" s="59">
        <f>DataT6!J22</f>
        <v>2.5767199993133545</v>
      </c>
      <c r="J20" s="59">
        <f>DataT6!K22</f>
        <v>3.210242748260498</v>
      </c>
      <c r="K20" s="59">
        <f>DataT6!L22</f>
        <v>2.0727028846740723</v>
      </c>
      <c r="L20" s="59">
        <f>DataT6!M22</f>
        <v>3.166839599609375</v>
      </c>
    </row>
    <row r="21" spans="1:12" ht="23" customHeight="1" thickBot="1" x14ac:dyDescent="0.25">
      <c r="A21" s="181"/>
      <c r="B21" s="51" t="str">
        <f>DataT6!C23</f>
        <v>Mexico</v>
      </c>
      <c r="C21" s="62">
        <f>DataT6!D23</f>
        <v>1052.4483642578125</v>
      </c>
      <c r="D21" s="62">
        <f>DataT6!E23</f>
        <v>12415.9423828125</v>
      </c>
      <c r="E21" s="62">
        <f>DataT6!F23</f>
        <v>13548.57421875</v>
      </c>
      <c r="F21" s="62">
        <f>DataT6!G23</f>
        <v>11943.775390625</v>
      </c>
      <c r="G21" s="62">
        <f>DataT6!H23</f>
        <v>13822.125</v>
      </c>
      <c r="H21" s="59">
        <f>DataT6!I23</f>
        <v>1.1510863304138184</v>
      </c>
      <c r="I21" s="59">
        <f>DataT6!J23</f>
        <v>0.23870505392551422</v>
      </c>
      <c r="J21" s="59">
        <f>DataT6!K23</f>
        <v>0.43745434284210205</v>
      </c>
      <c r="K21" s="59">
        <f>DataT6!L23</f>
        <v>7.9988822340965271E-2</v>
      </c>
      <c r="L21" s="59">
        <f>DataT6!M23</f>
        <v>2.9642927646636963</v>
      </c>
    </row>
    <row r="22" spans="1:12" ht="23" customHeight="1" thickBot="1" x14ac:dyDescent="0.25">
      <c r="A22" s="181"/>
      <c r="B22" s="1" t="str">
        <f>DataT6!C24</f>
        <v>Brazil</v>
      </c>
      <c r="C22" s="62">
        <f>DataT6!D24</f>
        <v>722.03460693359375</v>
      </c>
      <c r="D22" s="62">
        <f>DataT6!E24</f>
        <v>8915.9453125</v>
      </c>
      <c r="E22" s="62">
        <f>DataT6!F24</f>
        <v>9569.779296875</v>
      </c>
      <c r="F22" s="62">
        <f>DataT6!G24</f>
        <v>11504.802734375</v>
      </c>
      <c r="G22" s="62">
        <f>DataT6!H24</f>
        <v>13109.8466796875</v>
      </c>
      <c r="H22" s="59">
        <f>DataT6!I24</f>
        <v>1.2968013286590576</v>
      </c>
      <c r="I22" s="59">
        <f>DataT6!J24</f>
        <v>0.86039650440216064</v>
      </c>
      <c r="J22" s="59">
        <f>DataT6!K24</f>
        <v>0.3544708788394928</v>
      </c>
      <c r="K22" s="59">
        <f>DataT6!L24</f>
        <v>1.2669727802276611</v>
      </c>
      <c r="L22" s="59">
        <f>DataT6!M24</f>
        <v>2.6463923454284668</v>
      </c>
    </row>
    <row r="23" spans="1:12" ht="23" customHeight="1" thickBot="1" x14ac:dyDescent="0.25">
      <c r="A23" s="181"/>
      <c r="B23" s="42" t="str">
        <f>DataT6!C25</f>
        <v>Colombia</v>
      </c>
      <c r="C23" s="62">
        <f>DataT6!D25</f>
        <v>832.603515625</v>
      </c>
      <c r="D23" s="62">
        <f>DataT6!E25</f>
        <v>6324.783203125</v>
      </c>
      <c r="E23" s="62">
        <f>DataT6!F25</f>
        <v>7518.2021484375</v>
      </c>
      <c r="F23" s="62">
        <f>DataT6!G25</f>
        <v>10805.2158203125</v>
      </c>
      <c r="G23" s="62">
        <f>DataT6!H25</f>
        <v>12763.9267578125</v>
      </c>
      <c r="H23" s="59">
        <f>DataT6!I25</f>
        <v>1.2206434011459351</v>
      </c>
      <c r="I23" s="59">
        <f>DataT6!J25</f>
        <v>1.5725638866424561</v>
      </c>
      <c r="J23" s="59">
        <f>DataT6!K25</f>
        <v>0.86800211668014526</v>
      </c>
      <c r="K23" s="59">
        <f>DataT6!L25</f>
        <v>2.1397550106048584</v>
      </c>
      <c r="L23" s="59">
        <f>DataT6!M25</f>
        <v>3.3880085945129395</v>
      </c>
    </row>
    <row r="24" spans="1:12" ht="23" customHeight="1" thickBot="1" x14ac:dyDescent="0.25">
      <c r="A24" s="180"/>
      <c r="B24" s="51" t="str">
        <f>DataT6!C26</f>
        <v>Other Latin America</v>
      </c>
      <c r="C24" s="62">
        <f>DataT6!D26</f>
        <v>544.885986328125</v>
      </c>
      <c r="D24" s="62">
        <f>DataT6!E26</f>
        <v>6880.4140625</v>
      </c>
      <c r="E24" s="62">
        <f>DataT6!F26</f>
        <v>6952.57666015625</v>
      </c>
      <c r="F24" s="62">
        <f>DataT6!G26</f>
        <v>8655.69921875</v>
      </c>
      <c r="G24" s="62">
        <f>DataT6!H26</f>
        <v>10159.310546875</v>
      </c>
      <c r="H24" s="59">
        <f>DataT6!I26</f>
        <v>1.3087431192398071</v>
      </c>
      <c r="I24" s="59">
        <f>DataT6!J26</f>
        <v>0.86978697776794434</v>
      </c>
      <c r="J24" s="59">
        <f>DataT6!K26</f>
        <v>5.2180904895067215E-2</v>
      </c>
      <c r="K24" s="59">
        <f>DataT6!L26</f>
        <v>1.5286797285079956</v>
      </c>
      <c r="L24" s="59">
        <f>DataT6!M26</f>
        <v>3.2553162574768066</v>
      </c>
    </row>
    <row r="25" spans="1:12" ht="23" customHeight="1" thickBot="1" x14ac:dyDescent="0.25">
      <c r="A25" s="179" t="str">
        <f>DataT6!B27</f>
        <v>MENA</v>
      </c>
      <c r="B25" s="42" t="str">
        <f>DataT6!C27</f>
        <v>United Arab Emirates</v>
      </c>
      <c r="C25" s="62">
        <f>DataT6!D27</f>
        <v>448.92169189453125</v>
      </c>
      <c r="D25" s="62">
        <f>DataT6!E27</f>
        <v>122996.6328125</v>
      </c>
      <c r="E25" s="62">
        <f>DataT6!F27</f>
        <v>65164.046875</v>
      </c>
      <c r="F25" s="62">
        <f>DataT6!G27</f>
        <v>48366.5234375</v>
      </c>
      <c r="G25" s="62">
        <f>DataT6!H27</f>
        <v>53645.61328125</v>
      </c>
      <c r="H25" s="59">
        <f>DataT6!I27</f>
        <v>2.1486725807189941</v>
      </c>
      <c r="I25" s="59">
        <f>DataT6!J27</f>
        <v>-1.8270092010498047</v>
      </c>
      <c r="J25" s="59">
        <f>DataT6!K27</f>
        <v>-3.1263327598571777</v>
      </c>
      <c r="K25" s="59">
        <f>DataT6!L27</f>
        <v>-0.77501398324966431</v>
      </c>
      <c r="L25" s="59">
        <f>DataT6!M27</f>
        <v>2.0934464931488037</v>
      </c>
    </row>
    <row r="26" spans="1:12" ht="23" customHeight="1" thickBot="1" x14ac:dyDescent="0.25">
      <c r="A26" s="181"/>
      <c r="B26" s="42" t="str">
        <f>DataT6!C28</f>
        <v>Saudi Arabia</v>
      </c>
      <c r="C26" s="62">
        <f>DataT6!D28</f>
        <v>1031.3004150390625</v>
      </c>
      <c r="D26" s="62">
        <f>DataT6!E28</f>
        <v>103553.7265625</v>
      </c>
      <c r="E26" s="62">
        <f>DataT6!F28</f>
        <v>40415.0078125</v>
      </c>
      <c r="F26" s="62">
        <f>DataT6!G28</f>
        <v>41351.00390625</v>
      </c>
      <c r="G26" s="62">
        <f>DataT6!H28</f>
        <v>48625.1640625</v>
      </c>
      <c r="H26" s="59">
        <f>DataT6!I28</f>
        <v>1.7273358106613159</v>
      </c>
      <c r="I26" s="59">
        <f>DataT6!J28</f>
        <v>-1.6658560037612915</v>
      </c>
      <c r="J26" s="59">
        <f>DataT6!K28</f>
        <v>-4.5955028533935547</v>
      </c>
      <c r="K26" s="59">
        <f>DataT6!L28</f>
        <v>0.74250280857086182</v>
      </c>
      <c r="L26" s="59">
        <f>DataT6!M28</f>
        <v>3.293978214263916</v>
      </c>
    </row>
    <row r="27" spans="1:12" ht="23" customHeight="1" thickBot="1" x14ac:dyDescent="0.25">
      <c r="A27" s="181"/>
      <c r="B27" s="42" t="str">
        <f>DataT6!C29</f>
        <v>Turkiye</v>
      </c>
      <c r="C27" s="62">
        <f>DataT6!D29</f>
        <v>602.97613525390625</v>
      </c>
      <c r="D27" s="62">
        <f>DataT6!E29</f>
        <v>6594.044921875</v>
      </c>
      <c r="E27" s="62">
        <f>DataT6!F29</f>
        <v>9733.10546875</v>
      </c>
      <c r="F27" s="62">
        <f>DataT6!G29</f>
        <v>18187.837890625</v>
      </c>
      <c r="G27" s="62">
        <f>DataT6!H29</f>
        <v>24358.05078125</v>
      </c>
      <c r="H27" s="59">
        <f>DataT6!I29</f>
        <v>1.6574705839157104</v>
      </c>
      <c r="I27" s="59">
        <f>DataT6!J29</f>
        <v>2.9463381767272949</v>
      </c>
      <c r="J27" s="59">
        <f>DataT6!K29</f>
        <v>1.965904712677002</v>
      </c>
      <c r="K27" s="59">
        <f>DataT6!L29</f>
        <v>3.7374680042266846</v>
      </c>
      <c r="L27" s="59">
        <f>DataT6!M29</f>
        <v>6.0162134170532227</v>
      </c>
    </row>
    <row r="28" spans="1:12" ht="23" customHeight="1" thickBot="1" x14ac:dyDescent="0.25">
      <c r="A28" s="181"/>
      <c r="B28" s="42" t="str">
        <f>DataT6!C30</f>
        <v>Egypt</v>
      </c>
      <c r="C28" s="62">
        <f>DataT6!D30</f>
        <v>804.677490234375</v>
      </c>
      <c r="D28" s="62">
        <f>DataT6!E30</f>
        <v>4924.435546875</v>
      </c>
      <c r="E28" s="62">
        <f>DataT6!F30</f>
        <v>8226.29296875</v>
      </c>
      <c r="F28" s="62">
        <f>DataT6!G30</f>
        <v>11830.5224609375</v>
      </c>
      <c r="G28" s="62">
        <f>DataT6!H30</f>
        <v>13136.6201171875</v>
      </c>
      <c r="H28" s="59">
        <f>DataT6!I30</f>
        <v>1.2489427328109741</v>
      </c>
      <c r="I28" s="59">
        <f>DataT6!J30</f>
        <v>2.2043766975402832</v>
      </c>
      <c r="J28" s="59">
        <f>DataT6!K30</f>
        <v>2.5988249778747559</v>
      </c>
      <c r="K28" s="59">
        <f>DataT6!L30</f>
        <v>1.8899099826812744</v>
      </c>
      <c r="L28" s="59">
        <f>DataT6!M30</f>
        <v>2.1165056228637695</v>
      </c>
    </row>
    <row r="29" spans="1:12" ht="23" customHeight="1" thickBot="1" x14ac:dyDescent="0.25">
      <c r="A29" s="181"/>
      <c r="B29" s="51" t="str">
        <f>DataT6!C31</f>
        <v>Algeria</v>
      </c>
      <c r="C29" s="62">
        <f>DataT6!D31</f>
        <v>642.27850341796875</v>
      </c>
      <c r="D29" s="62">
        <f>DataT6!E31</f>
        <v>7829.6884765625</v>
      </c>
      <c r="E29" s="62">
        <f>DataT6!F31</f>
        <v>8054.2548828125</v>
      </c>
      <c r="F29" s="62">
        <f>DataT6!G31</f>
        <v>9950.349609375</v>
      </c>
      <c r="G29" s="62">
        <f>DataT6!H31</f>
        <v>11393.8486328125</v>
      </c>
      <c r="H29" s="59">
        <f>DataT6!I31</f>
        <v>1.2863394021987915</v>
      </c>
      <c r="I29" s="59">
        <f>DataT6!J31</f>
        <v>0.83715331554412842</v>
      </c>
      <c r="J29" s="59">
        <f>DataT6!K31</f>
        <v>0.1414886862039566</v>
      </c>
      <c r="K29" s="59">
        <f>DataT6!L31</f>
        <v>1.397162914276123</v>
      </c>
      <c r="L29" s="59">
        <f>DataT6!M31</f>
        <v>2.7463538646697998</v>
      </c>
    </row>
    <row r="30" spans="1:12" ht="23" customHeight="1" thickBot="1" x14ac:dyDescent="0.25">
      <c r="A30" s="181"/>
      <c r="B30" s="51" t="str">
        <f>DataT6!C32</f>
        <v>Other MENA</v>
      </c>
      <c r="C30" s="62">
        <f>DataT6!D32</f>
        <v>1014.0021362304688</v>
      </c>
      <c r="D30" s="62">
        <f>DataT6!E32</f>
        <v>8818.67578125</v>
      </c>
      <c r="E30" s="62">
        <f>DataT6!F32</f>
        <v>8632.3515625</v>
      </c>
      <c r="F30" s="62">
        <f>DataT6!G32</f>
        <v>9742.66015625</v>
      </c>
      <c r="G30" s="62">
        <f>DataT6!H32</f>
        <v>9848.6884765625</v>
      </c>
      <c r="H30" s="59">
        <f>DataT6!I32</f>
        <v>1.0155366659164429</v>
      </c>
      <c r="I30" s="59">
        <f>DataT6!J32</f>
        <v>0.24578274786472321</v>
      </c>
      <c r="J30" s="59">
        <f>DataT6!K32</f>
        <v>-0.10671669989824295</v>
      </c>
      <c r="K30" s="59">
        <f>DataT6!L32</f>
        <v>0.52867770195007324</v>
      </c>
      <c r="L30" s="59">
        <f>DataT6!M32</f>
        <v>0.21671640872955322</v>
      </c>
    </row>
    <row r="31" spans="1:12" ht="23" customHeight="1" thickBot="1" x14ac:dyDescent="0.25">
      <c r="A31" s="181"/>
      <c r="B31" s="51" t="str">
        <f>DataT6!C33</f>
        <v>Iran</v>
      </c>
      <c r="C31" s="62">
        <f>DataT6!D33</f>
        <v>502.86456298828125</v>
      </c>
      <c r="D31" s="62">
        <f>DataT6!E33</f>
        <v>6538.2236328125</v>
      </c>
      <c r="E31" s="62">
        <f>DataT6!F33</f>
        <v>6334.33154296875</v>
      </c>
      <c r="F31" s="62">
        <f>DataT6!G33</f>
        <v>7443.27587890625</v>
      </c>
      <c r="G31" s="62">
        <f>DataT6!H33</f>
        <v>9042.796875</v>
      </c>
      <c r="H31" s="59">
        <f>DataT6!I33</f>
        <v>1.2924600839614868</v>
      </c>
      <c r="I31" s="59">
        <f>DataT6!J33</f>
        <v>0.72327649593353271</v>
      </c>
      <c r="J31" s="59">
        <f>DataT6!K33</f>
        <v>-0.15828065574169159</v>
      </c>
      <c r="K31" s="59">
        <f>DataT6!L33</f>
        <v>1.434123158454895</v>
      </c>
      <c r="L31" s="59">
        <f>DataT6!M33</f>
        <v>3.9699263572692871</v>
      </c>
    </row>
    <row r="32" spans="1:12" ht="23" customHeight="1" thickBot="1" x14ac:dyDescent="0.25">
      <c r="A32" s="180"/>
      <c r="B32" s="1" t="str">
        <f>DataT6!C34</f>
        <v>Morocco</v>
      </c>
      <c r="C32" s="62">
        <f>DataT6!D34</f>
        <v>505.735107421875</v>
      </c>
      <c r="D32" s="62">
        <f>DataT6!E34</f>
        <v>2609.34033203125</v>
      </c>
      <c r="E32" s="62">
        <f>DataT6!F34</f>
        <v>3288.470703125</v>
      </c>
      <c r="F32" s="62">
        <f>DataT6!G34</f>
        <v>6066.078125</v>
      </c>
      <c r="G32" s="62">
        <f>DataT6!H34</f>
        <v>7146.05126953125</v>
      </c>
      <c r="H32" s="59">
        <f>DataT6!I34</f>
        <v>1.1839773654937744</v>
      </c>
      <c r="I32" s="59">
        <f>DataT6!J34</f>
        <v>2.2640550136566162</v>
      </c>
      <c r="J32" s="59">
        <f>DataT6!K34</f>
        <v>1.16334068775177</v>
      </c>
      <c r="K32" s="59">
        <f>DataT6!L34</f>
        <v>3.1532430648803711</v>
      </c>
      <c r="L32" s="59">
        <f>DataT6!M34</f>
        <v>3.3312366008758545</v>
      </c>
    </row>
    <row r="33" spans="1:12" ht="23" customHeight="1" thickBot="1" x14ac:dyDescent="0.25">
      <c r="A33" s="179" t="str">
        <f>DataT6!B35</f>
        <v>North America &amp; Oceania</v>
      </c>
      <c r="B33" s="42" t="str">
        <f>DataT6!C35</f>
        <v>USA</v>
      </c>
      <c r="C33" s="62">
        <f>DataT6!D35</f>
        <v>1777.0096435546875</v>
      </c>
      <c r="D33" s="62">
        <f>DataT6!E35</f>
        <v>23764.224609375</v>
      </c>
      <c r="E33" s="62">
        <f>DataT6!F35</f>
        <v>37661.98828125</v>
      </c>
      <c r="F33" s="62">
        <f>DataT6!G35</f>
        <v>43821.82421875</v>
      </c>
      <c r="G33" s="62">
        <f>DataT6!H35</f>
        <v>49940.43359375</v>
      </c>
      <c r="H33" s="59">
        <f>DataT6!I35</f>
        <v>1.4936671257019043</v>
      </c>
      <c r="I33" s="59">
        <f>DataT6!J35</f>
        <v>1.6640259027481079</v>
      </c>
      <c r="J33" s="59">
        <f>DataT6!K35</f>
        <v>2.3290591239929199</v>
      </c>
      <c r="K33" s="59">
        <f>DataT6!L35</f>
        <v>1.1351125240325928</v>
      </c>
      <c r="L33" s="59">
        <f>DataT6!M35</f>
        <v>2.648444652557373</v>
      </c>
    </row>
    <row r="34" spans="1:12" ht="23" customHeight="1" thickBot="1" x14ac:dyDescent="0.25">
      <c r="A34" s="181"/>
      <c r="B34" s="51" t="str">
        <f>DataT6!C36</f>
        <v>Canada</v>
      </c>
      <c r="C34" s="62">
        <f>DataT6!D36</f>
        <v>1000.884521484375</v>
      </c>
      <c r="D34" s="62">
        <f>DataT6!E36</f>
        <v>23569.921875</v>
      </c>
      <c r="E34" s="62">
        <f>DataT6!F36</f>
        <v>32637.423828125</v>
      </c>
      <c r="F34" s="62">
        <f>DataT6!G36</f>
        <v>37533.62890625</v>
      </c>
      <c r="G34" s="62">
        <f>DataT6!H36</f>
        <v>42166.83984375</v>
      </c>
      <c r="H34" s="59">
        <f>DataT6!I36</f>
        <v>1.6764528751373291</v>
      </c>
      <c r="I34" s="59">
        <f>DataT6!J36</f>
        <v>1.3009737730026245</v>
      </c>
      <c r="J34" s="59">
        <f>DataT6!K36</f>
        <v>1.6407560110092163</v>
      </c>
      <c r="K34" s="59">
        <f>DataT6!L36</f>
        <v>1.0299659967422485</v>
      </c>
      <c r="L34" s="59">
        <f>DataT6!M36</f>
        <v>2.3552453517913818</v>
      </c>
    </row>
    <row r="35" spans="1:12" ht="23" customHeight="1" thickBot="1" x14ac:dyDescent="0.25">
      <c r="A35" s="181"/>
      <c r="B35" s="42" t="str">
        <f>DataT6!C37</f>
        <v>Australia</v>
      </c>
      <c r="C35" s="62">
        <f>DataT6!D37</f>
        <v>847.40850830078125</v>
      </c>
      <c r="D35" s="62">
        <f>DataT6!E37</f>
        <v>21172.515625</v>
      </c>
      <c r="E35" s="62">
        <f>DataT6!F37</f>
        <v>30623.171875</v>
      </c>
      <c r="F35" s="62">
        <f>DataT6!G37</f>
        <v>38907.6015625</v>
      </c>
      <c r="G35" s="62">
        <f>DataT6!H37</f>
        <v>41639.90234375</v>
      </c>
      <c r="H35" s="59">
        <f>DataT6!I37</f>
        <v>1.7460149526596069</v>
      </c>
      <c r="I35" s="59">
        <f>DataT6!J37</f>
        <v>1.514363169670105</v>
      </c>
      <c r="J35" s="59">
        <f>DataT6!K37</f>
        <v>1.8623957633972168</v>
      </c>
      <c r="K35" s="59">
        <f>DataT6!L37</f>
        <v>1.2367935180664062</v>
      </c>
      <c r="L35" s="59">
        <f>DataT6!M37</f>
        <v>1.3666396141052246</v>
      </c>
    </row>
    <row r="36" spans="1:12" ht="23" customHeight="1" thickBot="1" x14ac:dyDescent="0.25">
      <c r="A36" s="181"/>
      <c r="B36" s="42" t="str">
        <f>DataT6!C38</f>
        <v>New Zealand</v>
      </c>
      <c r="C36" s="62">
        <f>DataT6!D38</f>
        <v>761.20263671875</v>
      </c>
      <c r="D36" s="62">
        <f>DataT6!E38</f>
        <v>16853.34375</v>
      </c>
      <c r="E36" s="62">
        <f>DataT6!F38</f>
        <v>20553.40625</v>
      </c>
      <c r="F36" s="62">
        <f>DataT6!G38</f>
        <v>31809.3671875</v>
      </c>
      <c r="G36" s="62">
        <f>DataT6!H38</f>
        <v>32442.962890625</v>
      </c>
      <c r="H36" s="59">
        <f>DataT6!I38</f>
        <v>1.6816902160644531</v>
      </c>
      <c r="I36" s="59">
        <f>DataT6!J38</f>
        <v>1.4660525321960449</v>
      </c>
      <c r="J36" s="59">
        <f>DataT6!K38</f>
        <v>0.99732851982116699</v>
      </c>
      <c r="K36" s="59">
        <f>DataT6!L38</f>
        <v>1.842597484588623</v>
      </c>
      <c r="L36" s="59">
        <f>DataT6!M38</f>
        <v>0.39523336291313171</v>
      </c>
    </row>
    <row r="37" spans="1:12" ht="23" customHeight="1" thickBot="1" x14ac:dyDescent="0.25">
      <c r="A37" s="180"/>
      <c r="B37" s="42" t="str">
        <f>DataT6!C39</f>
        <v>Other North America &amp; Oceania</v>
      </c>
      <c r="C37" s="62">
        <f>DataT6!D39</f>
        <v>311.58297729492188</v>
      </c>
      <c r="D37" s="62">
        <f>DataT6!E39</f>
        <v>4737.18701171875</v>
      </c>
      <c r="E37" s="62">
        <f>DataT6!F39</f>
        <v>5402.97119140625</v>
      </c>
      <c r="F37" s="62">
        <f>DataT6!G39</f>
        <v>4803.74609375</v>
      </c>
      <c r="G37" s="62">
        <f>DataT6!H39</f>
        <v>4771.2919921875</v>
      </c>
      <c r="H37" s="59">
        <f>DataT6!I39</f>
        <v>1.2201422452926636</v>
      </c>
      <c r="I37" s="59">
        <f>DataT6!J39</f>
        <v>1.5942549332976341E-2</v>
      </c>
      <c r="J37" s="59">
        <f>DataT6!K39</f>
        <v>0.65969359874725342</v>
      </c>
      <c r="K37" s="59">
        <f>DataT6!L39</f>
        <v>-0.49609279632568359</v>
      </c>
      <c r="L37" s="59">
        <f>DataT6!M39</f>
        <v>-0.1354861855506897</v>
      </c>
    </row>
    <row r="38" spans="1:12" ht="23" customHeight="1" thickBot="1" x14ac:dyDescent="0.25">
      <c r="A38" s="179" t="str">
        <f>DataT6!B40</f>
        <v>Russia &amp; Central Asia</v>
      </c>
      <c r="B38" s="42" t="str">
        <f>DataT6!C40</f>
        <v>Russia</v>
      </c>
      <c r="C38" s="62">
        <f>DataT6!D40</f>
        <v>807.11578369140625</v>
      </c>
      <c r="D38" s="62">
        <f>DataT6!E40</f>
        <v>13502.1845703125</v>
      </c>
      <c r="E38" s="62">
        <f>DataT6!F40</f>
        <v>14894.99609375</v>
      </c>
      <c r="F38" s="62">
        <f>DataT6!G40</f>
        <v>24669.294921875</v>
      </c>
      <c r="G38" s="62">
        <f>DataT6!H40</f>
        <v>29058.408203125</v>
      </c>
      <c r="H38" s="59">
        <f>DataT6!I40</f>
        <v>1.605460524559021</v>
      </c>
      <c r="I38" s="59">
        <f>DataT6!J40</f>
        <v>1.7178241014480591</v>
      </c>
      <c r="J38" s="59">
        <f>DataT6!K40</f>
        <v>0.49207594990730286</v>
      </c>
      <c r="K38" s="59">
        <f>DataT6!L40</f>
        <v>2.7091786861419678</v>
      </c>
      <c r="L38" s="59">
        <f>DataT6!M40</f>
        <v>3.3291869163513184</v>
      </c>
    </row>
    <row r="39" spans="1:12" ht="23" customHeight="1" thickBot="1" x14ac:dyDescent="0.25">
      <c r="A39" s="180"/>
      <c r="B39" s="51" t="str">
        <f>DataT6!C41</f>
        <v>Other Russia &amp; Central Asia</v>
      </c>
      <c r="C39" s="62">
        <f>DataT6!D41</f>
        <v>655.9759521484375</v>
      </c>
      <c r="D39" s="62">
        <f>DataT6!E41</f>
        <v>9870.2080078125</v>
      </c>
      <c r="E39" s="62">
        <f>DataT6!F41</f>
        <v>4965.7236328125</v>
      </c>
      <c r="F39" s="62">
        <f>DataT6!G41</f>
        <v>10406.1474609375</v>
      </c>
      <c r="G39" s="62">
        <f>DataT6!H41</f>
        <v>11971.240234375</v>
      </c>
      <c r="H39" s="59">
        <f>DataT6!I41</f>
        <v>1.2990939617156982</v>
      </c>
      <c r="I39" s="59">
        <f>DataT6!J41</f>
        <v>0.42977932095527649</v>
      </c>
      <c r="J39" s="59">
        <f>DataT6!K41</f>
        <v>-3.3764891624450684</v>
      </c>
      <c r="K39" s="59">
        <f>DataT6!L41</f>
        <v>3.582470178604126</v>
      </c>
      <c r="L39" s="59">
        <f>DataT6!M41</f>
        <v>2.8418405055999756</v>
      </c>
    </row>
    <row r="40" spans="1:12" ht="23" customHeight="1" thickBot="1" x14ac:dyDescent="0.25">
      <c r="A40" s="179" t="str">
        <f>DataT6!B42</f>
        <v>South &amp; South-East Asia</v>
      </c>
      <c r="B40" s="51" t="str">
        <f>DataT6!C42</f>
        <v>Thailand</v>
      </c>
      <c r="C40" s="62">
        <f>DataT6!D42</f>
        <v>791.96612548828125</v>
      </c>
      <c r="D40" s="62">
        <f>DataT6!E42</f>
        <v>3928.219482421875</v>
      </c>
      <c r="E40" s="62">
        <f>DataT6!F42</f>
        <v>8030.6611328125</v>
      </c>
      <c r="F40" s="62">
        <f>DataT6!G42</f>
        <v>12422.2724609375</v>
      </c>
      <c r="G40" s="62">
        <f>DataT6!H42</f>
        <v>14093.0517578125</v>
      </c>
      <c r="H40" s="59">
        <f>DataT6!I42</f>
        <v>1.2877402305603027</v>
      </c>
      <c r="I40" s="59">
        <f>DataT6!J42</f>
        <v>2.8795592784881592</v>
      </c>
      <c r="J40" s="59">
        <f>DataT6!K42</f>
        <v>3.6400890350341797</v>
      </c>
      <c r="K40" s="59">
        <f>DataT6!L42</f>
        <v>2.275155782699585</v>
      </c>
      <c r="L40" s="59">
        <f>DataT6!M42</f>
        <v>2.5559344291687012</v>
      </c>
    </row>
    <row r="41" spans="1:12" ht="23" customHeight="1" thickBot="1" x14ac:dyDescent="0.25">
      <c r="A41" s="181"/>
      <c r="B41" s="51" t="str">
        <f>DataT6!C43</f>
        <v>Other South &amp; South-East Asia</v>
      </c>
      <c r="C41" s="62">
        <f>DataT6!D43</f>
        <v>1532.63916015625</v>
      </c>
      <c r="D41" s="62">
        <f>DataT6!E43</f>
        <v>3164.763427734375</v>
      </c>
      <c r="E41" s="62">
        <f>DataT6!F43</f>
        <v>6242.54541015625</v>
      </c>
      <c r="F41" s="62">
        <f>DataT6!G43</f>
        <v>10938.7109375</v>
      </c>
      <c r="G41" s="62">
        <f>DataT6!H43</f>
        <v>12319.2705078125</v>
      </c>
      <c r="H41" s="59">
        <f>DataT6!I43</f>
        <v>0.9306027889251709</v>
      </c>
      <c r="I41" s="59">
        <f>DataT6!J43</f>
        <v>3.0662624835968018</v>
      </c>
      <c r="J41" s="59">
        <f>DataT6!K43</f>
        <v>3.4548897743225098</v>
      </c>
      <c r="K41" s="59">
        <f>DataT6!L43</f>
        <v>2.7564122676849365</v>
      </c>
      <c r="L41" s="59">
        <f>DataT6!M43</f>
        <v>2.4056158065795898</v>
      </c>
    </row>
    <row r="42" spans="1:12" ht="23" customHeight="1" thickBot="1" x14ac:dyDescent="0.25">
      <c r="A42" s="181"/>
      <c r="B42" s="1" t="str">
        <f>DataT6!C44</f>
        <v>Viet Nam</v>
      </c>
      <c r="C42" s="62">
        <f>DataT6!D44</f>
        <v>636.47589111328125</v>
      </c>
      <c r="D42" s="62">
        <f>DataT6!E44</f>
        <v>1012.6856079101562</v>
      </c>
      <c r="E42" s="62">
        <f>DataT6!F44</f>
        <v>2379.1845703125</v>
      </c>
      <c r="F42" s="62">
        <f>DataT6!G44</f>
        <v>7819.9560546875</v>
      </c>
      <c r="G42" s="62">
        <f>DataT6!H44</f>
        <v>10207.1552734375</v>
      </c>
      <c r="H42" s="59">
        <f>DataT6!I44</f>
        <v>1.2409242391586304</v>
      </c>
      <c r="I42" s="59">
        <f>DataT6!J44</f>
        <v>5.2685027122497559</v>
      </c>
      <c r="J42" s="59">
        <f>DataT6!K44</f>
        <v>4.3632688522338867</v>
      </c>
      <c r="K42" s="59">
        <f>DataT6!L44</f>
        <v>5.9983396530151367</v>
      </c>
      <c r="L42" s="59">
        <f>DataT6!M44</f>
        <v>5.4727039337158203</v>
      </c>
    </row>
    <row r="43" spans="1:12" ht="23" customHeight="1" thickBot="1" x14ac:dyDescent="0.25">
      <c r="A43" s="181"/>
      <c r="B43" s="42" t="str">
        <f>DataT6!C45</f>
        <v>Indonesia</v>
      </c>
      <c r="C43" s="62">
        <f>DataT6!D45</f>
        <v>562.22857666015625</v>
      </c>
      <c r="D43" s="62">
        <f>DataT6!E45</f>
        <v>2303.245361328125</v>
      </c>
      <c r="E43" s="62">
        <f>DataT6!F45</f>
        <v>3999.53515625</v>
      </c>
      <c r="F43" s="62">
        <f>DataT6!G45</f>
        <v>7654.759765625</v>
      </c>
      <c r="G43" s="62">
        <f>DataT6!H45</f>
        <v>9755.3720703125</v>
      </c>
      <c r="H43" s="59">
        <f>DataT6!I45</f>
        <v>1.2763724327087402</v>
      </c>
      <c r="I43" s="59">
        <f>DataT6!J45</f>
        <v>3.2597789764404297</v>
      </c>
      <c r="J43" s="59">
        <f>DataT6!K45</f>
        <v>2.7977159023284912</v>
      </c>
      <c r="K43" s="59">
        <f>DataT6!L45</f>
        <v>3.6309244632720947</v>
      </c>
      <c r="L43" s="59">
        <f>DataT6!M45</f>
        <v>4.9693365097045898</v>
      </c>
    </row>
    <row r="44" spans="1:12" ht="23" customHeight="1" thickBot="1" x14ac:dyDescent="0.25">
      <c r="A44" s="181"/>
      <c r="B44" s="51" t="str">
        <f>DataT6!C46</f>
        <v>Philippines</v>
      </c>
      <c r="C44" s="62">
        <f>DataT6!D46</f>
        <v>884.09906005859375</v>
      </c>
      <c r="D44" s="62">
        <f>DataT6!E46</f>
        <v>3602.550537109375</v>
      </c>
      <c r="E44" s="62">
        <f>DataT6!F46</f>
        <v>3469.63916015625</v>
      </c>
      <c r="F44" s="62">
        <f>DataT6!G46</f>
        <v>5929.689453125</v>
      </c>
      <c r="G44" s="62">
        <f>DataT6!H46</f>
        <v>7613.037109375</v>
      </c>
      <c r="H44" s="59">
        <f>DataT6!I46</f>
        <v>0.96150338649749756</v>
      </c>
      <c r="I44" s="59">
        <f>DataT6!J46</f>
        <v>1.6766113042831421</v>
      </c>
      <c r="J44" s="59">
        <f>DataT6!K46</f>
        <v>-0.18778082728385925</v>
      </c>
      <c r="K44" s="59">
        <f>DataT6!L46</f>
        <v>3.1931679248809814</v>
      </c>
      <c r="L44" s="59">
        <f>DataT6!M46</f>
        <v>5.1248044967651367</v>
      </c>
    </row>
    <row r="45" spans="1:12" ht="23" customHeight="1" thickBot="1" x14ac:dyDescent="0.25">
      <c r="A45" s="181"/>
      <c r="B45" s="42" t="str">
        <f>DataT6!C47</f>
        <v>India</v>
      </c>
      <c r="C45" s="62">
        <f>DataT6!D47</f>
        <v>810.9002685546875</v>
      </c>
      <c r="D45" s="62">
        <f>DataT6!E47</f>
        <v>1145.1253662109375</v>
      </c>
      <c r="E45" s="62">
        <f>DataT6!F47</f>
        <v>2146.0341796875</v>
      </c>
      <c r="F45" s="62">
        <f>DataT6!G47</f>
        <v>5038.57080078125</v>
      </c>
      <c r="G45" s="62">
        <f>DataT6!H47</f>
        <v>6995.49169921875</v>
      </c>
      <c r="H45" s="59">
        <f>DataT6!I47</f>
        <v>0.96232354640960693</v>
      </c>
      <c r="I45" s="59">
        <f>DataT6!J47</f>
        <v>4.1036348342895508</v>
      </c>
      <c r="J45" s="59">
        <f>DataT6!K47</f>
        <v>3.1903719902038574</v>
      </c>
      <c r="K45" s="59">
        <f>DataT6!L47</f>
        <v>4.8400611877441406</v>
      </c>
      <c r="L45" s="59">
        <f>DataT6!M47</f>
        <v>6.783015251159668</v>
      </c>
    </row>
    <row r="46" spans="1:12" ht="23" customHeight="1" thickBot="1" x14ac:dyDescent="0.25">
      <c r="A46" s="181"/>
      <c r="B46" s="42" t="str">
        <f>DataT6!C48</f>
        <v>Bangladesh</v>
      </c>
      <c r="C46" s="62">
        <f>DataT6!D48</f>
        <v>1152.044921875</v>
      </c>
      <c r="D46" s="62">
        <f>DataT6!E48</f>
        <v>1124.578369140625</v>
      </c>
      <c r="E46" s="62">
        <f>DataT6!F48</f>
        <v>1703.977783203125</v>
      </c>
      <c r="F46" s="62">
        <f>DataT6!G48</f>
        <v>5295.72119140625</v>
      </c>
      <c r="G46" s="62">
        <f>DataT6!H48</f>
        <v>6363.2265625</v>
      </c>
      <c r="H46" s="59">
        <f>DataT6!I48</f>
        <v>0.76244616508483887</v>
      </c>
      <c r="I46" s="59">
        <f>DataT6!J48</f>
        <v>3.9265215396881104</v>
      </c>
      <c r="J46" s="59">
        <f>DataT6!K48</f>
        <v>2.0995221138000488</v>
      </c>
      <c r="K46" s="59">
        <f>DataT6!L48</f>
        <v>5.4116320610046387</v>
      </c>
      <c r="L46" s="59">
        <f>DataT6!M48</f>
        <v>3.7410049438476562</v>
      </c>
    </row>
    <row r="47" spans="1:12" ht="23" customHeight="1" thickBot="1" x14ac:dyDescent="0.25">
      <c r="A47" s="181"/>
      <c r="B47" s="42" t="str">
        <f>DataT6!C49</f>
        <v>Pakistan</v>
      </c>
      <c r="C47" s="62">
        <f>DataT6!D49</f>
        <v>908.58966064453125</v>
      </c>
      <c r="D47" s="62">
        <f>DataT6!E49</f>
        <v>1588.6707763671875</v>
      </c>
      <c r="E47" s="62">
        <f>DataT6!F49</f>
        <v>2696.251708984375</v>
      </c>
      <c r="F47" s="62">
        <f>DataT6!G49</f>
        <v>4172.2099609375</v>
      </c>
      <c r="G47" s="62">
        <f>DataT6!H49</f>
        <v>4349.15087890625</v>
      </c>
      <c r="H47" s="59">
        <f>DataT6!I49</f>
        <v>0.69835716485977173</v>
      </c>
      <c r="I47" s="59">
        <f>DataT6!J49</f>
        <v>2.2631921768188477</v>
      </c>
      <c r="J47" s="59">
        <f>DataT6!K49</f>
        <v>2.680109977722168</v>
      </c>
      <c r="K47" s="59">
        <f>DataT6!L49</f>
        <v>1.9308773279190063</v>
      </c>
      <c r="L47" s="59">
        <f>DataT6!M49</f>
        <v>0.83415508270263672</v>
      </c>
    </row>
    <row r="48" spans="1:12" ht="23" customHeight="1" thickBot="1" x14ac:dyDescent="0.25">
      <c r="A48" s="180"/>
      <c r="B48" s="42" t="str">
        <f>DataT6!C50</f>
        <v>Myanmar</v>
      </c>
      <c r="C48" s="62">
        <f>DataT6!D50</f>
        <v>320.7796630859375</v>
      </c>
      <c r="D48" s="62">
        <f>DataT6!E50</f>
        <v>488.77899169921875</v>
      </c>
      <c r="E48" s="62">
        <f>DataT6!F50</f>
        <v>829.04754638671875</v>
      </c>
      <c r="F48" s="62">
        <f>DataT6!G50</f>
        <v>3658.47412109375</v>
      </c>
      <c r="G48" s="62">
        <f>DataT6!H50</f>
        <v>3684.12353515625</v>
      </c>
      <c r="H48" s="59">
        <f>DataT6!I50</f>
        <v>1.0908101797103882</v>
      </c>
      <c r="I48" s="59">
        <f>DataT6!J50</f>
        <v>4.5908794403076172</v>
      </c>
      <c r="J48" s="59">
        <f>DataT6!K50</f>
        <v>2.6770415306091309</v>
      </c>
      <c r="K48" s="59">
        <f>DataT6!L50</f>
        <v>6.1476025581359863</v>
      </c>
      <c r="L48" s="59">
        <f>DataT6!M50</f>
        <v>0.13982805609703064</v>
      </c>
    </row>
    <row r="49" spans="1:12" ht="23" customHeight="1" thickBot="1" x14ac:dyDescent="0.25">
      <c r="A49" s="179" t="str">
        <f>DataT6!B51</f>
        <v>Sub-Saharan Africa</v>
      </c>
      <c r="B49" s="51" t="str">
        <f>DataT6!C51</f>
        <v>South Africa</v>
      </c>
      <c r="C49" s="62">
        <f>DataT6!D51</f>
        <v>2048.56689453125</v>
      </c>
      <c r="D49" s="62">
        <f>DataT6!E51</f>
        <v>7733.71875</v>
      </c>
      <c r="E49" s="62">
        <f>DataT6!F51</f>
        <v>7458.42529296875</v>
      </c>
      <c r="F49" s="62">
        <f>DataT6!G51</f>
        <v>8826.0634765625</v>
      </c>
      <c r="G49" s="62">
        <f>DataT6!H51</f>
        <v>9131.0029296875</v>
      </c>
      <c r="H49" s="59">
        <f>DataT6!I51</f>
        <v>0.66644877195358276</v>
      </c>
      <c r="I49" s="59">
        <f>DataT6!J51</f>
        <v>0.36976134777069092</v>
      </c>
      <c r="J49" s="59">
        <f>DataT6!K51</f>
        <v>-0.18106348812580109</v>
      </c>
      <c r="K49" s="59">
        <f>DataT6!L51</f>
        <v>0.81260889768600464</v>
      </c>
      <c r="L49" s="59">
        <f>DataT6!M51</f>
        <v>0.68164151906967163</v>
      </c>
    </row>
    <row r="50" spans="1:12" ht="23" customHeight="1" thickBot="1" x14ac:dyDescent="0.25">
      <c r="A50" s="181"/>
      <c r="B50" s="51" t="str">
        <f>DataT6!C52</f>
        <v>Nigeria</v>
      </c>
      <c r="C50" s="62">
        <f>DataT6!D52</f>
        <v>686.463623046875</v>
      </c>
      <c r="D50" s="62">
        <f>DataT6!E52</f>
        <v>3303.63037109375</v>
      </c>
      <c r="E50" s="62">
        <f>DataT6!F52</f>
        <v>2675.793701171875</v>
      </c>
      <c r="F50" s="62">
        <f>DataT6!G52</f>
        <v>5559.00439453125</v>
      </c>
      <c r="G50" s="62">
        <f>DataT6!H52</f>
        <v>5774.8232421875</v>
      </c>
      <c r="H50" s="59">
        <f>DataT6!I52</f>
        <v>0.95103144645690918</v>
      </c>
      <c r="I50" s="59">
        <f>DataT6!J52</f>
        <v>1.2488125562667847</v>
      </c>
      <c r="J50" s="59">
        <f>DataT6!K52</f>
        <v>-1.048345685005188</v>
      </c>
      <c r="K50" s="59">
        <f>DataT6!L52</f>
        <v>3.1248764991760254</v>
      </c>
      <c r="L50" s="59">
        <f>DataT6!M52</f>
        <v>0.76468163728713989</v>
      </c>
    </row>
    <row r="51" spans="1:12" ht="23" customHeight="1" thickBot="1" x14ac:dyDescent="0.25">
      <c r="A51" s="181"/>
      <c r="B51" s="51" t="str">
        <f>DataT6!C53</f>
        <v>Cote d’Ivoire</v>
      </c>
      <c r="C51" s="62">
        <f>DataT6!D53</f>
        <v>627.019775390625</v>
      </c>
      <c r="D51" s="62">
        <f>DataT6!E53</f>
        <v>3420.87158203125</v>
      </c>
      <c r="E51" s="62">
        <f>DataT6!F53</f>
        <v>2455.57373046875</v>
      </c>
      <c r="F51" s="62">
        <f>DataT6!G53</f>
        <v>4141.11328125</v>
      </c>
      <c r="G51" s="62">
        <f>DataT6!H53</f>
        <v>4940.71875</v>
      </c>
      <c r="H51" s="59">
        <f>DataT6!I53</f>
        <v>0.92168295383453369</v>
      </c>
      <c r="I51" s="59">
        <f>DataT6!J53</f>
        <v>0.82026916742324829</v>
      </c>
      <c r="J51" s="59">
        <f>DataT6!K53</f>
        <v>-1.6440109014511108</v>
      </c>
      <c r="K51" s="59">
        <f>DataT6!L53</f>
        <v>2.836073637008667</v>
      </c>
      <c r="L51" s="59">
        <f>DataT6!M53</f>
        <v>3.5940020084381104</v>
      </c>
    </row>
    <row r="52" spans="1:12" ht="23" customHeight="1" thickBot="1" x14ac:dyDescent="0.25">
      <c r="A52" s="181"/>
      <c r="B52" s="1" t="str">
        <f>DataT6!C54</f>
        <v>Kenya</v>
      </c>
      <c r="C52" s="62">
        <f>DataT6!D54</f>
        <v>729.568603515625</v>
      </c>
      <c r="D52" s="62">
        <f>DataT6!E54</f>
        <v>2611.03857421875</v>
      </c>
      <c r="E52" s="62">
        <f>DataT6!F54</f>
        <v>2477.746337890625</v>
      </c>
      <c r="F52" s="62">
        <f>DataT6!G54</f>
        <v>3483.281982421875</v>
      </c>
      <c r="G52" s="62">
        <f>DataT6!H54</f>
        <v>4177.35546875</v>
      </c>
      <c r="H52" s="59">
        <f>DataT6!I54</f>
        <v>0.77856189012527466</v>
      </c>
      <c r="I52" s="59">
        <f>DataT6!J54</f>
        <v>1.0497612953186035</v>
      </c>
      <c r="J52" s="59">
        <f>DataT6!K54</f>
        <v>-0.26165026426315308</v>
      </c>
      <c r="K52" s="59">
        <f>DataT6!L54</f>
        <v>2.1112947463989258</v>
      </c>
      <c r="L52" s="59">
        <f>DataT6!M54</f>
        <v>3.7009079456329346</v>
      </c>
    </row>
    <row r="53" spans="1:12" ht="23" customHeight="1" thickBot="1" x14ac:dyDescent="0.25">
      <c r="A53" s="181"/>
      <c r="B53" s="42" t="str">
        <f>DataT6!C55</f>
        <v>Other Sub-Saharan Africa</v>
      </c>
      <c r="C53" s="62">
        <f>DataT6!D55</f>
        <v>272.448974609375</v>
      </c>
      <c r="D53" s="62">
        <f>DataT6!E55</f>
        <v>1609.8154296875</v>
      </c>
      <c r="E53" s="62">
        <f>DataT6!F55</f>
        <v>2034.8101806640625</v>
      </c>
      <c r="F53" s="62">
        <f>DataT6!G55</f>
        <v>2619.343505859375</v>
      </c>
      <c r="G53" s="62">
        <f>DataT6!H55</f>
        <v>2886.677490234375</v>
      </c>
      <c r="H53" s="59">
        <f>DataT6!I55</f>
        <v>1.0545932054519653</v>
      </c>
      <c r="I53" s="59">
        <f>DataT6!J55</f>
        <v>1.3062055110931396</v>
      </c>
      <c r="J53" s="59">
        <f>DataT6!K55</f>
        <v>1.1783030033111572</v>
      </c>
      <c r="K53" s="59">
        <f>DataT6!L55</f>
        <v>1.4086438417434692</v>
      </c>
      <c r="L53" s="59">
        <f>DataT6!M55</f>
        <v>1.9626619815826416</v>
      </c>
    </row>
    <row r="54" spans="1:12" ht="23" customHeight="1" thickBot="1" x14ac:dyDescent="0.25">
      <c r="A54" s="181"/>
      <c r="B54" s="51" t="str">
        <f>DataT6!C56</f>
        <v>Ethiopia</v>
      </c>
      <c r="C54" s="62">
        <f>DataT6!D56</f>
        <v>510.57070922851562</v>
      </c>
      <c r="D54" s="62">
        <f>DataT6!E56</f>
        <v>677.525634765625</v>
      </c>
      <c r="E54" s="62">
        <f>DataT6!F56</f>
        <v>691.02227783203125</v>
      </c>
      <c r="F54" s="62">
        <f>DataT6!G56</f>
        <v>2076.276123046875</v>
      </c>
      <c r="G54" s="62">
        <f>DataT6!H56</f>
        <v>2571.220703125</v>
      </c>
      <c r="H54" s="59">
        <f>DataT6!I56</f>
        <v>0.72107934951782227</v>
      </c>
      <c r="I54" s="59">
        <f>DataT6!J56</f>
        <v>3.0081090927124023</v>
      </c>
      <c r="J54" s="59">
        <f>DataT6!K56</f>
        <v>9.8672375082969666E-2</v>
      </c>
      <c r="K54" s="59">
        <f>DataT6!L56</f>
        <v>5.396428108215332</v>
      </c>
      <c r="L54" s="59">
        <f>DataT6!M56</f>
        <v>4.3688397407531738</v>
      </c>
    </row>
    <row r="55" spans="1:12" ht="23" customHeight="1" thickBot="1" x14ac:dyDescent="0.25">
      <c r="A55" s="181"/>
      <c r="B55" s="42" t="str">
        <f>DataT6!C57</f>
        <v>Rwanda</v>
      </c>
      <c r="C55" s="62">
        <f>DataT6!D57</f>
        <v>391.74356079101562</v>
      </c>
      <c r="D55" s="62">
        <f>DataT6!E57</f>
        <v>799.6278076171875</v>
      </c>
      <c r="E55" s="62">
        <f>DataT6!F57</f>
        <v>779.58038330078125</v>
      </c>
      <c r="F55" s="62">
        <f>DataT6!G57</f>
        <v>1891.6796875</v>
      </c>
      <c r="G55" s="62">
        <f>DataT6!H57</f>
        <v>2506.845703125</v>
      </c>
      <c r="H55" s="59">
        <f>DataT6!I57</f>
        <v>0.82837802171707153</v>
      </c>
      <c r="I55" s="59">
        <f>DataT6!J57</f>
        <v>2.5716991424560547</v>
      </c>
      <c r="J55" s="59">
        <f>DataT6!K57</f>
        <v>-0.12687206268310547</v>
      </c>
      <c r="K55" s="59">
        <f>DataT6!L57</f>
        <v>4.782961368560791</v>
      </c>
      <c r="L55" s="59">
        <f>DataT6!M57</f>
        <v>5.7927732467651367</v>
      </c>
    </row>
    <row r="56" spans="1:12" ht="18" customHeight="1" thickBot="1" x14ac:dyDescent="0.25">
      <c r="A56" s="181"/>
      <c r="B56" s="42" t="str">
        <f>DataT6!C58</f>
        <v>Mali</v>
      </c>
      <c r="C56" s="62">
        <f>DataT6!D58</f>
        <v>671.06805419921875</v>
      </c>
      <c r="D56" s="62">
        <f>DataT6!E58</f>
        <v>1557.4854736328125</v>
      </c>
      <c r="E56" s="62">
        <f>DataT6!F58</f>
        <v>1552.115234375</v>
      </c>
      <c r="F56" s="62">
        <f>DataT6!G58</f>
        <v>1969.3359375</v>
      </c>
      <c r="G56" s="62">
        <f>DataT6!H58</f>
        <v>2113.962646484375</v>
      </c>
      <c r="H56" s="59">
        <f>DataT6!I58</f>
        <v>0.51127994060516357</v>
      </c>
      <c r="I56" s="59">
        <f>DataT6!J58</f>
        <v>0.68117982149124146</v>
      </c>
      <c r="J56" s="59">
        <f>DataT6!K58</f>
        <v>-1.7268281430006027E-2</v>
      </c>
      <c r="K56" s="59">
        <f>DataT6!L58</f>
        <v>1.2434496879577637</v>
      </c>
      <c r="L56" s="59">
        <f>DataT6!M58</f>
        <v>1.4274489879608154</v>
      </c>
    </row>
    <row r="57" spans="1:12" ht="23" customHeight="1" thickBot="1" x14ac:dyDescent="0.25">
      <c r="A57" s="181"/>
      <c r="B57" s="42" t="str">
        <f>DataT6!C59</f>
        <v>Niger</v>
      </c>
      <c r="C57" s="62">
        <f>DataT6!D59</f>
        <v>659.458251953125</v>
      </c>
      <c r="D57" s="62">
        <f>DataT6!E59</f>
        <v>1403.4547119140625</v>
      </c>
      <c r="E57" s="62">
        <f>DataT6!F59</f>
        <v>847.75665283203125</v>
      </c>
      <c r="F57" s="62">
        <f>DataT6!G59</f>
        <v>1131.4456787109375</v>
      </c>
      <c r="G57" s="62">
        <f>DataT6!H59</f>
        <v>1268.6312255859375</v>
      </c>
      <c r="H57" s="59">
        <f>DataT6!I59</f>
        <v>0.29121217131614685</v>
      </c>
      <c r="I57" s="59">
        <f>DataT6!J59</f>
        <v>-0.22418899834156036</v>
      </c>
      <c r="J57" s="59">
        <f>DataT6!K59</f>
        <v>-2.4889934062957764</v>
      </c>
      <c r="K57" s="59">
        <f>DataT6!L59</f>
        <v>1.6254701614379883</v>
      </c>
      <c r="L57" s="59">
        <f>DataT6!M59</f>
        <v>2.3152415752410889</v>
      </c>
    </row>
    <row r="58" spans="1:12" ht="23" customHeight="1" thickBot="1" x14ac:dyDescent="0.25">
      <c r="A58" s="181"/>
      <c r="B58" s="42" t="str">
        <f>DataT6!C60</f>
        <v>DR Congo</v>
      </c>
      <c r="C58" s="62">
        <f>DataT6!D60</f>
        <v>905.353271484375</v>
      </c>
      <c r="D58" s="62">
        <f>DataT6!E60</f>
        <v>2129.03955078125</v>
      </c>
      <c r="E58" s="62">
        <f>DataT6!F60</f>
        <v>653.019287109375</v>
      </c>
      <c r="F58" s="62">
        <f>DataT6!G60</f>
        <v>984.881591796875</v>
      </c>
      <c r="G58" s="62">
        <f>DataT6!H60</f>
        <v>1174.989501953125</v>
      </c>
      <c r="H58" s="59">
        <f>DataT6!I60</f>
        <v>0.11592906713485718</v>
      </c>
      <c r="I58" s="59">
        <f>DataT6!J60</f>
        <v>-1.3122291564941406</v>
      </c>
      <c r="J58" s="59">
        <f>DataT6!K60</f>
        <v>-5.7378993034362793</v>
      </c>
      <c r="K58" s="59">
        <f>DataT6!L60</f>
        <v>2.3774528503417969</v>
      </c>
      <c r="L58" s="59">
        <f>DataT6!M60</f>
        <v>3.5929007530212402</v>
      </c>
    </row>
    <row r="59" spans="1:12" ht="23" customHeight="1" thickBot="1" x14ac:dyDescent="0.25">
      <c r="A59" s="180"/>
      <c r="B59" s="51" t="str">
        <f>DataT6!C61</f>
        <v>Sudan</v>
      </c>
      <c r="C59" s="62">
        <f>DataT6!D61</f>
        <v>329.47674560546875</v>
      </c>
      <c r="D59" s="62">
        <f>DataT6!E61</f>
        <v>856.55841064453125</v>
      </c>
      <c r="E59" s="62">
        <f>DataT6!F61</f>
        <v>1827.5264892578125</v>
      </c>
      <c r="F59" s="62">
        <f>DataT6!G61</f>
        <v>1690.2908935546875</v>
      </c>
      <c r="G59" s="62">
        <f>DataT6!H61</f>
        <v>916.99810791015625</v>
      </c>
      <c r="H59" s="59">
        <f>DataT6!I61</f>
        <v>0.45596957206726074</v>
      </c>
      <c r="I59" s="59">
        <f>DataT6!J61</f>
        <v>0.15163235366344452</v>
      </c>
      <c r="J59" s="59">
        <f>DataT6!K61</f>
        <v>3.861677885055542</v>
      </c>
      <c r="K59" s="59">
        <f>DataT6!L61</f>
        <v>-2.7207551002502441</v>
      </c>
      <c r="L59" s="59">
        <f>DataT6!M61</f>
        <v>-11.512607574462891</v>
      </c>
    </row>
    <row r="60" spans="1:12" ht="23" customHeight="1" thickBot="1" x14ac:dyDescent="0.25">
      <c r="A60" s="77" t="str">
        <f>DataT6!B62</f>
        <v>World</v>
      </c>
      <c r="B60" s="51" t="str">
        <f>DataT6!C62</f>
        <v>World</v>
      </c>
      <c r="C60" s="62">
        <f>DataT6!D62</f>
        <v>730.1724853515625</v>
      </c>
      <c r="D60" s="62">
        <f>DataT6!E62</f>
        <v>7915.16943359375</v>
      </c>
      <c r="E60" s="62">
        <f>DataT6!F62</f>
        <v>10036.2080078125</v>
      </c>
      <c r="F60" s="62">
        <f>DataT6!G62</f>
        <v>12714.9208984375</v>
      </c>
      <c r="G60" s="62">
        <f>DataT6!H62</f>
        <v>14588.1123046875</v>
      </c>
      <c r="H60" s="59">
        <f>DataT6!I62</f>
        <v>1.3398663997650146</v>
      </c>
      <c r="I60" s="59">
        <f>DataT6!J62</f>
        <v>1.3679968118667603</v>
      </c>
      <c r="J60" s="59">
        <f>DataT6!K62</f>
        <v>1.1941653490066528</v>
      </c>
      <c r="K60" s="59">
        <f>DataT6!L62</f>
        <v>1.5072770118713379</v>
      </c>
      <c r="L60" s="59">
        <f>DataT6!M62</f>
        <v>2.7867393493652344</v>
      </c>
    </row>
    <row r="61" spans="1:12" ht="29" customHeight="1" x14ac:dyDescent="0.2">
      <c r="A61" s="173" t="s">
        <v>643</v>
      </c>
      <c r="B61" s="174"/>
      <c r="C61" s="174"/>
      <c r="D61" s="174"/>
      <c r="E61" s="174"/>
      <c r="F61" s="174"/>
      <c r="G61" s="174"/>
      <c r="H61" s="174"/>
      <c r="I61" s="174"/>
      <c r="J61" s="174"/>
      <c r="K61" s="174"/>
      <c r="L61" s="175"/>
    </row>
    <row r="62" spans="1:12" ht="28" customHeight="1" thickBot="1" x14ac:dyDescent="0.25">
      <c r="A62" s="176"/>
      <c r="B62" s="177"/>
      <c r="C62" s="177"/>
      <c r="D62" s="177"/>
      <c r="E62" s="177"/>
      <c r="F62" s="177"/>
      <c r="G62" s="177"/>
      <c r="H62" s="177"/>
      <c r="I62" s="177"/>
      <c r="J62" s="177"/>
      <c r="K62" s="177"/>
      <c r="L62" s="178"/>
    </row>
    <row r="63" spans="1:12" ht="23" customHeight="1" x14ac:dyDescent="0.2">
      <c r="A63" s="60"/>
      <c r="B63" s="60"/>
      <c r="C63" s="52"/>
      <c r="D63" s="52"/>
      <c r="E63" s="52"/>
      <c r="F63" s="52"/>
      <c r="G63" s="52"/>
      <c r="H63" s="52"/>
      <c r="I63" s="52"/>
      <c r="J63" s="52"/>
      <c r="K63" s="52"/>
    </row>
    <row r="64" spans="1:12" ht="23" customHeight="1" x14ac:dyDescent="0.2">
      <c r="A64" s="60"/>
      <c r="B64" s="60"/>
      <c r="C64" s="52"/>
      <c r="D64" s="52"/>
      <c r="E64" s="52"/>
      <c r="F64" s="52"/>
      <c r="G64" s="52"/>
      <c r="H64" s="52"/>
      <c r="I64" s="52"/>
      <c r="J64" s="52"/>
      <c r="K64" s="52"/>
    </row>
    <row r="65" spans="1:11" ht="23" customHeight="1" x14ac:dyDescent="0.2">
      <c r="A65" s="60"/>
      <c r="B65" s="60"/>
      <c r="C65" s="52"/>
      <c r="D65" s="52"/>
      <c r="E65" s="52"/>
      <c r="F65" s="52"/>
      <c r="G65" s="52"/>
      <c r="H65" s="52"/>
      <c r="I65" s="52"/>
      <c r="J65" s="52"/>
      <c r="K65" s="52"/>
    </row>
    <row r="66" spans="1:11" ht="23" customHeight="1" x14ac:dyDescent="0.2">
      <c r="A66" s="60"/>
      <c r="B66" s="60"/>
      <c r="C66" s="52"/>
      <c r="D66" s="52"/>
      <c r="E66" s="52"/>
      <c r="F66" s="52"/>
      <c r="G66" s="52"/>
      <c r="H66" s="52"/>
      <c r="I66" s="52"/>
      <c r="J66" s="52"/>
      <c r="K66" s="52"/>
    </row>
    <row r="67" spans="1:11" ht="23" customHeight="1" x14ac:dyDescent="0.2">
      <c r="A67" s="60"/>
      <c r="B67" s="60"/>
      <c r="C67" s="52"/>
      <c r="D67" s="52"/>
      <c r="E67" s="52"/>
      <c r="F67" s="52"/>
      <c r="G67" s="52"/>
      <c r="H67" s="52"/>
      <c r="I67" s="52"/>
      <c r="J67" s="52"/>
      <c r="K67" s="52"/>
    </row>
    <row r="68" spans="1:11" ht="23" customHeight="1" x14ac:dyDescent="0.2">
      <c r="A68" s="60"/>
      <c r="B68" s="60"/>
      <c r="C68" s="52"/>
      <c r="D68" s="52"/>
      <c r="E68" s="52"/>
      <c r="F68" s="52"/>
      <c r="G68" s="52"/>
      <c r="H68" s="52"/>
      <c r="I68" s="52"/>
      <c r="J68" s="52"/>
      <c r="K68" s="52"/>
    </row>
    <row r="69" spans="1:11" ht="23" customHeight="1" x14ac:dyDescent="0.2">
      <c r="A69" s="60"/>
      <c r="B69" s="60"/>
      <c r="C69" s="52"/>
      <c r="D69" s="52"/>
      <c r="E69" s="52"/>
      <c r="F69" s="52"/>
      <c r="G69" s="52"/>
      <c r="H69" s="52"/>
      <c r="I69" s="52"/>
      <c r="J69" s="52"/>
      <c r="K69" s="52"/>
    </row>
    <row r="70" spans="1:11" ht="23" customHeight="1" x14ac:dyDescent="0.2">
      <c r="A70" s="60"/>
      <c r="B70" s="60"/>
      <c r="C70" s="52"/>
      <c r="D70" s="52"/>
      <c r="E70" s="52"/>
      <c r="F70" s="52"/>
      <c r="G70" s="52"/>
      <c r="H70" s="52"/>
      <c r="I70" s="52"/>
      <c r="J70" s="52"/>
      <c r="K70" s="52"/>
    </row>
    <row r="71" spans="1:11" ht="23" customHeight="1" x14ac:dyDescent="0.2">
      <c r="A71" s="60"/>
      <c r="B71" s="60"/>
      <c r="C71" s="52"/>
      <c r="D71" s="52"/>
      <c r="E71" s="52"/>
      <c r="F71" s="52"/>
      <c r="G71" s="52"/>
      <c r="H71" s="52"/>
      <c r="I71" s="52"/>
      <c r="J71" s="52"/>
      <c r="K71" s="52"/>
    </row>
    <row r="72" spans="1:11" ht="23" customHeight="1" x14ac:dyDescent="0.2">
      <c r="A72" s="60"/>
      <c r="B72" s="60"/>
      <c r="C72" s="52"/>
      <c r="D72" s="52"/>
      <c r="E72" s="52"/>
      <c r="F72" s="52"/>
      <c r="G72" s="52"/>
      <c r="H72" s="52"/>
      <c r="I72" s="52"/>
      <c r="J72" s="52"/>
      <c r="K72" s="52"/>
    </row>
    <row r="73" spans="1:11" ht="23" customHeight="1" x14ac:dyDescent="0.2">
      <c r="A73" s="60"/>
      <c r="B73" s="60"/>
      <c r="C73" s="52"/>
      <c r="D73" s="52"/>
      <c r="E73" s="52"/>
      <c r="F73" s="52"/>
      <c r="G73" s="52"/>
      <c r="H73" s="52"/>
      <c r="I73" s="52"/>
      <c r="J73" s="52"/>
      <c r="K73" s="52"/>
    </row>
    <row r="74" spans="1:11" ht="23" customHeight="1" x14ac:dyDescent="0.2">
      <c r="A74" s="60"/>
      <c r="B74" s="60"/>
      <c r="C74" s="52"/>
      <c r="D74" s="52"/>
      <c r="E74" s="52"/>
      <c r="F74" s="52"/>
      <c r="G74" s="52"/>
      <c r="H74" s="52"/>
      <c r="I74" s="52"/>
      <c r="J74" s="52"/>
      <c r="K74" s="52"/>
    </row>
    <row r="75" spans="1:11" ht="23" customHeight="1" x14ac:dyDescent="0.2">
      <c r="A75" s="60"/>
      <c r="B75" s="60"/>
      <c r="C75" s="52"/>
      <c r="D75" s="52"/>
      <c r="E75" s="52"/>
      <c r="F75" s="52"/>
      <c r="G75" s="52"/>
      <c r="H75" s="52"/>
      <c r="I75" s="52"/>
      <c r="J75" s="52"/>
      <c r="K75" s="52"/>
    </row>
    <row r="76" spans="1:11" ht="23" customHeight="1" x14ac:dyDescent="0.2">
      <c r="A76" s="60"/>
      <c r="B76" s="60"/>
      <c r="C76" s="52"/>
      <c r="D76" s="52"/>
      <c r="E76" s="52"/>
      <c r="F76" s="52"/>
      <c r="G76" s="52"/>
      <c r="H76" s="52"/>
      <c r="I76" s="52"/>
      <c r="J76" s="52"/>
      <c r="K76" s="52"/>
    </row>
    <row r="77" spans="1:11" ht="23" customHeight="1" x14ac:dyDescent="0.2">
      <c r="A77" s="60"/>
      <c r="B77" s="60"/>
      <c r="C77" s="52"/>
      <c r="D77" s="52"/>
      <c r="E77" s="52"/>
      <c r="F77" s="52"/>
      <c r="G77" s="52"/>
      <c r="H77" s="52"/>
      <c r="I77" s="52"/>
      <c r="J77" s="52"/>
      <c r="K77" s="52"/>
    </row>
    <row r="78" spans="1:11" ht="23" customHeight="1" x14ac:dyDescent="0.2">
      <c r="A78" s="60"/>
      <c r="B78" s="60"/>
      <c r="C78" s="52"/>
      <c r="D78" s="52"/>
      <c r="E78" s="52"/>
      <c r="F78" s="52"/>
      <c r="G78" s="52"/>
      <c r="H78" s="52"/>
      <c r="I78" s="52"/>
      <c r="J78" s="52"/>
      <c r="K78" s="52"/>
    </row>
  </sheetData>
  <mergeCells count="10">
    <mergeCell ref="A38:A39"/>
    <mergeCell ref="A40:A48"/>
    <mergeCell ref="A49:A59"/>
    <mergeCell ref="A1:L1"/>
    <mergeCell ref="A61:L62"/>
    <mergeCell ref="A3:A7"/>
    <mergeCell ref="A8:A18"/>
    <mergeCell ref="A19:A24"/>
    <mergeCell ref="A25:A32"/>
    <mergeCell ref="A33:A3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F88C-F7DB-1543-ADF1-8050F1E64CC4}">
  <sheetPr>
    <tabColor theme="8"/>
  </sheetPr>
  <dimension ref="A1:M13"/>
  <sheetViews>
    <sheetView workbookViewId="0">
      <selection activeCell="I11" sqref="I11"/>
    </sheetView>
  </sheetViews>
  <sheetFormatPr baseColWidth="10" defaultRowHeight="44" customHeight="1" x14ac:dyDescent="0.2"/>
  <cols>
    <col min="1" max="1" width="15.6640625" customWidth="1"/>
    <col min="2" max="6" width="12.1640625" customWidth="1"/>
    <col min="8" max="11" width="15.83203125" customWidth="1"/>
    <col min="12" max="12" width="15.5" customWidth="1"/>
  </cols>
  <sheetData>
    <row r="1" spans="1:13" ht="17" thickBot="1" x14ac:dyDescent="0.25">
      <c r="A1" s="138" t="str">
        <f>DataT7!B3</f>
        <v>Table 7. Population by World Regions (1800-2025)</v>
      </c>
      <c r="B1" s="139"/>
      <c r="C1" s="139"/>
      <c r="D1" s="139"/>
      <c r="E1" s="139"/>
      <c r="F1" s="139"/>
      <c r="G1" s="139"/>
      <c r="H1" s="139"/>
      <c r="I1" s="139"/>
      <c r="J1" s="139"/>
      <c r="K1" s="139"/>
      <c r="L1" s="140"/>
    </row>
    <row r="2" spans="1:13" ht="52" thickBot="1" x14ac:dyDescent="0.25">
      <c r="A2" s="20"/>
      <c r="B2" s="1" t="str">
        <f>DataT7!C4</f>
        <v>1800 Population (millions)</v>
      </c>
      <c r="C2" s="1" t="str">
        <f>DataT7!D4</f>
        <v>1980 Population (millions)</v>
      </c>
      <c r="D2" s="14" t="str">
        <f>DataT7!E4</f>
        <v>2000 Population (millions)</v>
      </c>
      <c r="E2" s="14" t="str">
        <f>DataT7!F4</f>
        <v>2020 Population (millions)</v>
      </c>
      <c r="F2" s="14" t="str">
        <f>DataT7!G4</f>
        <v>2025 Population (millions)</v>
      </c>
      <c r="G2" s="14" t="str">
        <f>DataT7!H4</f>
        <v>Ratio 2025/1800</v>
      </c>
      <c r="H2" s="14" t="str">
        <f>DataT7!I4</f>
        <v>Annual growth rate 1800-2025</v>
      </c>
      <c r="I2" s="14" t="str">
        <f>DataT7!J4</f>
        <v>Annual growth rate 1980-2025</v>
      </c>
      <c r="J2" s="14" t="str">
        <f>DataT7!K4</f>
        <v>Annual growth rate 1980-2000</v>
      </c>
      <c r="K2" s="14" t="str">
        <f>DataT7!L4</f>
        <v>Annual growth rate 2000-2025</v>
      </c>
      <c r="L2" s="14" t="str">
        <f>DataT7!M4</f>
        <v>Annual growth rate 2020-2025</v>
      </c>
    </row>
    <row r="3" spans="1:13" ht="44" customHeight="1" thickBot="1" x14ac:dyDescent="0.25">
      <c r="A3" s="61" t="str">
        <f>DataT7!B5</f>
        <v>East Asia</v>
      </c>
      <c r="B3" s="62">
        <f>DataT7!C5</f>
        <v>400.53826904296875</v>
      </c>
      <c r="C3" s="62">
        <f>DataT7!D5</f>
        <v>1182.8966064453125</v>
      </c>
      <c r="D3" s="59">
        <f>DataT7!E5</f>
        <v>1498.9715576171875</v>
      </c>
      <c r="E3" s="59">
        <f>DataT7!F5</f>
        <v>1665.532958984375</v>
      </c>
      <c r="F3" s="59">
        <f>DataT7!G5</f>
        <v>1652.1856689453125</v>
      </c>
      <c r="G3" s="59">
        <f>DataT7!H5</f>
        <v>4.124913215637207</v>
      </c>
      <c r="H3" s="59">
        <f>DataT7!I5</f>
        <v>0.63178515434265137</v>
      </c>
      <c r="I3" s="59">
        <f>DataT7!J5</f>
        <v>0.74528086185455322</v>
      </c>
      <c r="J3" s="59">
        <f>DataT7!K5</f>
        <v>1.1911029815673828</v>
      </c>
      <c r="K3" s="59">
        <f>DataT7!L5</f>
        <v>0.39003780484199524</v>
      </c>
      <c r="L3" s="59">
        <f>DataT7!M5</f>
        <v>-0.16079363226890564</v>
      </c>
      <c r="M3" s="79"/>
    </row>
    <row r="4" spans="1:13" ht="44" customHeight="1" thickBot="1" x14ac:dyDescent="0.25">
      <c r="A4" s="61" t="str">
        <f>DataT7!B6</f>
        <v>Europe</v>
      </c>
      <c r="B4" s="47">
        <f>DataT7!C6</f>
        <v>145.62493896484375</v>
      </c>
      <c r="C4" s="47">
        <f>DataT7!D6</f>
        <v>498.12008666992188</v>
      </c>
      <c r="D4" s="59">
        <f>DataT7!E6</f>
        <v>524.720947265625</v>
      </c>
      <c r="E4" s="59">
        <f>DataT7!F6</f>
        <v>552.56982421875</v>
      </c>
      <c r="F4" s="59">
        <f>DataT7!G6</f>
        <v>555.98504638671875</v>
      </c>
      <c r="G4" s="59">
        <f>DataT7!H6</f>
        <v>3.8179244995117188</v>
      </c>
      <c r="H4" s="59">
        <f>DataT7!I6</f>
        <v>0.59720146656036377</v>
      </c>
      <c r="I4" s="59">
        <f>DataT7!J6</f>
        <v>0.24452103674411774</v>
      </c>
      <c r="J4" s="59">
        <f>DataT7!K6</f>
        <v>0.26046589016914368</v>
      </c>
      <c r="K4" s="59">
        <f>DataT7!L6</f>
        <v>0.23176698386669159</v>
      </c>
      <c r="L4" s="59">
        <f>DataT7!M6</f>
        <v>0.12330763787031174</v>
      </c>
      <c r="M4" s="79"/>
    </row>
    <row r="5" spans="1:13" ht="44" customHeight="1" thickBot="1" x14ac:dyDescent="0.25">
      <c r="A5" s="61" t="str">
        <f>DataT7!B7</f>
        <v>Latin America</v>
      </c>
      <c r="B5" s="62">
        <f>DataT7!C7</f>
        <v>17.609682083129883</v>
      </c>
      <c r="C5" s="62">
        <f>DataT7!D7</f>
        <v>359.65325927734375</v>
      </c>
      <c r="D5" s="59">
        <f>DataT7!E7</f>
        <v>520.17303466796875</v>
      </c>
      <c r="E5" s="59">
        <f>DataT7!F7</f>
        <v>645.54278564453125</v>
      </c>
      <c r="F5" s="59">
        <f>DataT7!G7</f>
        <v>666.7366943359375</v>
      </c>
      <c r="G5" s="59">
        <f>DataT7!H7</f>
        <v>37.8619384765625</v>
      </c>
      <c r="H5" s="59">
        <f>DataT7!I7</f>
        <v>1.6282002925872803</v>
      </c>
      <c r="I5" s="59">
        <f>DataT7!J7</f>
        <v>1.3811280727386475</v>
      </c>
      <c r="J5" s="59">
        <f>DataT7!K7</f>
        <v>1.8622328042984009</v>
      </c>
      <c r="K5" s="59">
        <f>DataT7!L7</f>
        <v>0.99788081645965576</v>
      </c>
      <c r="L5" s="59">
        <f>DataT7!M7</f>
        <v>0.64816612005233765</v>
      </c>
      <c r="M5" s="79"/>
    </row>
    <row r="6" spans="1:13" ht="44" customHeight="1" thickBot="1" x14ac:dyDescent="0.25">
      <c r="A6" s="21" t="str">
        <f>DataT7!B8</f>
        <v>MENA</v>
      </c>
      <c r="B6" s="62">
        <f>DataT7!C8</f>
        <v>37.663642883300781</v>
      </c>
      <c r="C6" s="62">
        <f>DataT7!D8</f>
        <v>229.966552734375</v>
      </c>
      <c r="D6" s="59">
        <f>DataT7!E8</f>
        <v>384.2132568359375</v>
      </c>
      <c r="E6" s="59">
        <f>DataT7!F8</f>
        <v>566.1634521484375</v>
      </c>
      <c r="F6" s="59">
        <f>DataT7!G8</f>
        <v>612.22662353515625</v>
      </c>
      <c r="G6" s="59">
        <f>DataT7!H8</f>
        <v>16.255107879638672</v>
      </c>
      <c r="H6" s="59">
        <f>DataT7!I8</f>
        <v>1.2470031976699829</v>
      </c>
      <c r="I6" s="59">
        <f>DataT7!J8</f>
        <v>2.1997764110565186</v>
      </c>
      <c r="J6" s="59">
        <f>DataT7!K8</f>
        <v>2.5995328426361084</v>
      </c>
      <c r="K6" s="59">
        <f>DataT7!L8</f>
        <v>1.88109290599823</v>
      </c>
      <c r="L6" s="59">
        <f>DataT7!M8</f>
        <v>1.5766952037811279</v>
      </c>
      <c r="M6" s="79"/>
    </row>
    <row r="7" spans="1:13" ht="44" customHeight="1" thickBot="1" x14ac:dyDescent="0.25">
      <c r="A7" s="21" t="str">
        <f>DataT7!B9</f>
        <v>North America &amp; Oceania</v>
      </c>
      <c r="B7" s="62">
        <f>DataT7!C9</f>
        <v>9.2114439010620117</v>
      </c>
      <c r="C7" s="62">
        <f>DataT7!D9</f>
        <v>277.25616455078125</v>
      </c>
      <c r="D7" s="59">
        <f>DataT7!E9</f>
        <v>343.52651977539062</v>
      </c>
      <c r="E7" s="59">
        <f>DataT7!F9</f>
        <v>421.51687622070312</v>
      </c>
      <c r="F7" s="59">
        <f>DataT7!G9</f>
        <v>433.84503173828125</v>
      </c>
      <c r="G7" s="59">
        <f>DataT7!H9</f>
        <v>47.098480224609375</v>
      </c>
      <c r="H7" s="59">
        <f>DataT7!I9</f>
        <v>1.7268475294113159</v>
      </c>
      <c r="I7" s="59">
        <f>DataT7!J9</f>
        <v>0.99995648860931396</v>
      </c>
      <c r="J7" s="59">
        <f>DataT7!K9</f>
        <v>1.0773744583129883</v>
      </c>
      <c r="K7" s="59">
        <f>DataT7!L9</f>
        <v>0.9380648136138916</v>
      </c>
      <c r="L7" s="59">
        <f>DataT7!M9</f>
        <v>0.5782170295715332</v>
      </c>
      <c r="M7" s="79"/>
    </row>
    <row r="8" spans="1:13" ht="44" customHeight="1" thickBot="1" x14ac:dyDescent="0.25">
      <c r="A8" s="21" t="str">
        <f>DataT7!B10</f>
        <v>Russia &amp; Central Asia</v>
      </c>
      <c r="B8" s="62">
        <f>DataT7!C10</f>
        <v>42.272113800048828</v>
      </c>
      <c r="C8" s="62">
        <f>DataT7!D10</f>
        <v>254.01832580566406</v>
      </c>
      <c r="D8" s="59">
        <f>DataT7!E10</f>
        <v>278.07522583007812</v>
      </c>
      <c r="E8" s="59">
        <f>DataT7!F10</f>
        <v>293.70242309570312</v>
      </c>
      <c r="F8" s="59">
        <f>DataT7!G10</f>
        <v>292.72991943359375</v>
      </c>
      <c r="G8" s="59">
        <f>DataT7!H10</f>
        <v>6.9248943328857422</v>
      </c>
      <c r="H8" s="59">
        <f>DataT7!I10</f>
        <v>0.86376368999481201</v>
      </c>
      <c r="I8" s="59">
        <f>DataT7!J10</f>
        <v>0.31570610404014587</v>
      </c>
      <c r="J8" s="59">
        <f>DataT7!K10</f>
        <v>0.45345142483711243</v>
      </c>
      <c r="K8" s="59">
        <f>DataT7!L10</f>
        <v>0.2056458592414856</v>
      </c>
      <c r="L8" s="59">
        <f>DataT7!M10</f>
        <v>-6.6310696303844452E-2</v>
      </c>
      <c r="M8" s="79"/>
    </row>
    <row r="9" spans="1:13" ht="44" customHeight="1" thickBot="1" x14ac:dyDescent="0.25">
      <c r="A9" s="21" t="str">
        <f>DataT7!B11</f>
        <v>South &amp; South-East Asia</v>
      </c>
      <c r="B9" s="47">
        <f>DataT7!C11</f>
        <v>254.15353393554688</v>
      </c>
      <c r="C9" s="47">
        <f>DataT7!D11</f>
        <v>1254.9410400390625</v>
      </c>
      <c r="D9" s="59">
        <f>DataT7!E11</f>
        <v>1939.3189697265625</v>
      </c>
      <c r="E9" s="59">
        <f>DataT7!F11</f>
        <v>2570.775390625</v>
      </c>
      <c r="F9" s="59">
        <f>DataT7!G11</f>
        <v>2692.82177734375</v>
      </c>
      <c r="G9" s="59">
        <f>DataT7!H11</f>
        <v>10.595255851745605</v>
      </c>
      <c r="H9" s="59">
        <f>DataT7!I11</f>
        <v>1.0545915365219116</v>
      </c>
      <c r="I9" s="59">
        <f>DataT7!J11</f>
        <v>1.7111442089080811</v>
      </c>
      <c r="J9" s="59">
        <f>DataT7!K11</f>
        <v>2.2000942230224609</v>
      </c>
      <c r="K9" s="59">
        <f>DataT7!L11</f>
        <v>1.3216689825057983</v>
      </c>
      <c r="L9" s="59">
        <f>DataT7!M11</f>
        <v>0.93195652961730957</v>
      </c>
      <c r="M9" s="79"/>
    </row>
    <row r="10" spans="1:13" ht="44" customHeight="1" thickBot="1" x14ac:dyDescent="0.25">
      <c r="A10" s="21" t="str">
        <f>DataT7!B12</f>
        <v>Sub-Saharan Africa</v>
      </c>
      <c r="B10" s="47">
        <f>DataT7!C12</f>
        <v>99.954139709472656</v>
      </c>
      <c r="C10" s="47">
        <f>DataT7!D12</f>
        <v>390.2762451171875</v>
      </c>
      <c r="D10" s="59">
        <f>DataT7!E12</f>
        <v>681.90435791015625</v>
      </c>
      <c r="E10" s="59">
        <f>DataT7!F12</f>
        <v>1170.15966796875</v>
      </c>
      <c r="F10" s="59">
        <f>DataT7!G12</f>
        <v>1324.0028076171875</v>
      </c>
      <c r="G10" s="59">
        <f>DataT7!H12</f>
        <v>13.246103286743164</v>
      </c>
      <c r="H10" s="59">
        <f>DataT7!I12</f>
        <v>1.1549310684204102</v>
      </c>
      <c r="I10" s="59">
        <f>DataT7!J12</f>
        <v>2.751758337020874</v>
      </c>
      <c r="J10" s="59">
        <f>DataT7!K12</f>
        <v>2.829463005065918</v>
      </c>
      <c r="K10" s="59">
        <f>DataT7!L12</f>
        <v>2.6896369457244873</v>
      </c>
      <c r="L10" s="59">
        <f>DataT7!M12</f>
        <v>2.501154899597168</v>
      </c>
      <c r="M10" s="79"/>
    </row>
    <row r="11" spans="1:13" ht="44" customHeight="1" thickBot="1" x14ac:dyDescent="0.25">
      <c r="A11" s="22" t="str">
        <f>DataT7!B13</f>
        <v>World</v>
      </c>
      <c r="B11" s="69">
        <f>DataT7!C13</f>
        <v>1007.0277709960938</v>
      </c>
      <c r="C11" s="63">
        <f>DataT7!D13</f>
        <v>4447.12841796875</v>
      </c>
      <c r="D11" s="64">
        <f>DataT7!E13</f>
        <v>6170.90380859375</v>
      </c>
      <c r="E11" s="64">
        <f>DataT7!F13</f>
        <v>7885.96337890625</v>
      </c>
      <c r="F11" s="64">
        <f>DataT7!G13</f>
        <v>8230.533203125</v>
      </c>
      <c r="G11" s="64">
        <f>DataT7!H13</f>
        <v>8.1730947494506836</v>
      </c>
      <c r="H11" s="64">
        <f>DataT7!I13</f>
        <v>0.93808275461196899</v>
      </c>
      <c r="I11" s="64">
        <f>DataT7!J13</f>
        <v>1.3773825168609619</v>
      </c>
      <c r="J11" s="64">
        <f>DataT7!K13</f>
        <v>1.6514215469360352</v>
      </c>
      <c r="K11" s="64">
        <f>DataT7!L13</f>
        <v>1.1586834192276001</v>
      </c>
      <c r="L11" s="64">
        <f>DataT7!M13</f>
        <v>0.85899722576141357</v>
      </c>
      <c r="M11" s="79"/>
    </row>
    <row r="12" spans="1:13" ht="29" customHeight="1" x14ac:dyDescent="0.2">
      <c r="A12" s="173" t="s">
        <v>644</v>
      </c>
      <c r="B12" s="174"/>
      <c r="C12" s="174"/>
      <c r="D12" s="174"/>
      <c r="E12" s="174"/>
      <c r="F12" s="174"/>
      <c r="G12" s="174"/>
      <c r="H12" s="174"/>
      <c r="I12" s="174"/>
      <c r="J12" s="174"/>
      <c r="K12" s="174"/>
      <c r="L12" s="175"/>
    </row>
    <row r="13" spans="1:13" ht="24" customHeight="1" thickBot="1" x14ac:dyDescent="0.25">
      <c r="A13" s="176"/>
      <c r="B13" s="177"/>
      <c r="C13" s="177"/>
      <c r="D13" s="177"/>
      <c r="E13" s="177"/>
      <c r="F13" s="177"/>
      <c r="G13" s="177"/>
      <c r="H13" s="177"/>
      <c r="I13" s="177"/>
      <c r="J13" s="177"/>
      <c r="K13" s="177"/>
      <c r="L13" s="178"/>
    </row>
  </sheetData>
  <mergeCells count="2">
    <mergeCell ref="A1:L1"/>
    <mergeCell ref="A12:L1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BB99-16F1-7144-9FEA-C723AA48C7D6}">
  <sheetPr>
    <tabColor theme="8"/>
  </sheetPr>
  <dimension ref="A1:L13"/>
  <sheetViews>
    <sheetView workbookViewId="0">
      <selection activeCell="H10" sqref="H10"/>
    </sheetView>
  </sheetViews>
  <sheetFormatPr baseColWidth="10" defaultColWidth="16.33203125" defaultRowHeight="36" customHeight="1" x14ac:dyDescent="0.2"/>
  <cols>
    <col min="1" max="1" width="18.33203125" customWidth="1"/>
  </cols>
  <sheetData>
    <row r="1" spans="1:12" ht="36" customHeight="1" thickBot="1" x14ac:dyDescent="0.25">
      <c r="A1" s="138" t="str">
        <f>DataT8a!B3</f>
        <v xml:space="preserve">Table 8a. Price index Growth PPP 2025 € by World Regions (1980-2025) </v>
      </c>
      <c r="B1" s="139"/>
      <c r="C1" s="139"/>
      <c r="D1" s="139"/>
      <c r="E1" s="139"/>
      <c r="F1" s="139"/>
      <c r="G1" s="139"/>
      <c r="H1" s="139"/>
      <c r="I1" s="139"/>
      <c r="J1" s="140"/>
    </row>
    <row r="2" spans="1:12" ht="36" customHeight="1" thickBot="1" x14ac:dyDescent="0.25">
      <c r="A2" s="20"/>
      <c r="B2" s="1" t="str">
        <f>DataT8a!C4</f>
        <v>1800 Price index   (PPP 2025 €)</v>
      </c>
      <c r="C2" s="1" t="str">
        <f>DataT8a!D4</f>
        <v>1980 Price index   (PPP 2025 €)</v>
      </c>
      <c r="D2" s="1" t="str">
        <f>DataT8a!E4</f>
        <v>2000 Price index   (PPP 2025 €)</v>
      </c>
      <c r="E2" s="1" t="str">
        <f>DataT8a!F4</f>
        <v>2020 Price index   (PPP 2025 €)</v>
      </c>
      <c r="F2" s="1" t="str">
        <f>DataT8a!G4</f>
        <v>2025 Price index   (PPP 2025 €)</v>
      </c>
      <c r="G2" s="1" t="str">
        <f>DataT8a!H4</f>
        <v>Annual growth rate 1800-2025</v>
      </c>
      <c r="H2" s="1" t="str">
        <f>DataT8a!I4</f>
        <v>Annual growth rate 1980-2025</v>
      </c>
      <c r="I2" s="1" t="str">
        <f>DataT8a!J4</f>
        <v>Annual growth rate 1980-2000</v>
      </c>
      <c r="J2" s="1" t="str">
        <f>DataT8a!K4</f>
        <v>Annual growth rate 2000-2025</v>
      </c>
    </row>
    <row r="3" spans="1:12" ht="36" customHeight="1" thickBot="1" x14ac:dyDescent="0.25">
      <c r="A3" s="61" t="str">
        <f>DataT8a!B5</f>
        <v>East Asia</v>
      </c>
      <c r="B3" s="65">
        <f>DataT8a!C5</f>
        <v>1.5700549120083451E-3</v>
      </c>
      <c r="C3" s="65">
        <f>DataT8a!D5</f>
        <v>0.29674822092056274</v>
      </c>
      <c r="D3" s="65">
        <f>DataT8a!E5</f>
        <v>0.57910627126693726</v>
      </c>
      <c r="E3" s="65">
        <f>DataT8a!F5</f>
        <v>0.83524191379547119</v>
      </c>
      <c r="F3" s="65">
        <f>DataT8a!G5</f>
        <v>1</v>
      </c>
      <c r="G3" s="65">
        <f>DataT8a!H5</f>
        <v>2.9111900329589844</v>
      </c>
      <c r="H3" s="65">
        <f>DataT8a!I5</f>
        <v>2.7364861965179443</v>
      </c>
      <c r="I3" s="65">
        <f>DataT8a!J5</f>
        <v>3.3995163440704346</v>
      </c>
      <c r="J3" s="65">
        <f>DataT8a!K5</f>
        <v>2.2091248035430908</v>
      </c>
    </row>
    <row r="4" spans="1:12" ht="36" customHeight="1" thickBot="1" x14ac:dyDescent="0.25">
      <c r="A4" s="61" t="str">
        <f>DataT8a!B6</f>
        <v>Europe</v>
      </c>
      <c r="B4" s="48">
        <f>DataT8a!C6</f>
        <v>1.7174565000459552E-3</v>
      </c>
      <c r="C4" s="48">
        <f>DataT8a!D6</f>
        <v>0.30642175674438477</v>
      </c>
      <c r="D4" s="48">
        <f>DataT8a!E6</f>
        <v>0.60588580369949341</v>
      </c>
      <c r="E4" s="48">
        <f>DataT8a!F6</f>
        <v>0.83755868673324585</v>
      </c>
      <c r="F4" s="48">
        <f>DataT8a!G6</f>
        <v>1</v>
      </c>
      <c r="G4" s="48">
        <f>DataT8a!H6</f>
        <v>2.8701555728912354</v>
      </c>
      <c r="H4" s="48">
        <f>DataT8a!I6</f>
        <v>2.6632764339447021</v>
      </c>
      <c r="I4" s="48">
        <f>DataT8a!J6</f>
        <v>3.4674055576324463</v>
      </c>
      <c r="J4" s="48">
        <f>DataT8a!K6</f>
        <v>2.02447509765625</v>
      </c>
    </row>
    <row r="5" spans="1:12" ht="36" customHeight="1" thickBot="1" x14ac:dyDescent="0.25">
      <c r="A5" s="61" t="str">
        <f>DataT8a!B7</f>
        <v>Latin America</v>
      </c>
      <c r="B5" s="65">
        <f>DataT8a!C7</f>
        <v>1.6052589053288102E-3</v>
      </c>
      <c r="C5" s="65">
        <f>DataT8a!D7</f>
        <v>0.29722139239311218</v>
      </c>
      <c r="D5" s="65">
        <f>DataT8a!E7</f>
        <v>0.60075706243515015</v>
      </c>
      <c r="E5" s="65">
        <f>DataT8a!F7</f>
        <v>0.83682209253311157</v>
      </c>
      <c r="F5" s="65">
        <f>DataT8a!G7</f>
        <v>1</v>
      </c>
      <c r="G5" s="65">
        <f>DataT8a!H7</f>
        <v>2.9010484218597412</v>
      </c>
      <c r="H5" s="65">
        <f>DataT8a!I7</f>
        <v>2.7328488826751709</v>
      </c>
      <c r="I5" s="65">
        <f>DataT8a!J7</f>
        <v>3.5812005996704102</v>
      </c>
      <c r="J5" s="65">
        <f>DataT8a!K7</f>
        <v>2.0591728687286377</v>
      </c>
    </row>
    <row r="6" spans="1:12" ht="36" customHeight="1" thickBot="1" x14ac:dyDescent="0.25">
      <c r="A6" s="21" t="str">
        <f>DataT8a!B8</f>
        <v>MENA</v>
      </c>
      <c r="B6" s="65">
        <f>DataT8a!C8</f>
        <v>1.6534499591216445E-3</v>
      </c>
      <c r="C6" s="65">
        <f>DataT8a!D8</f>
        <v>0.30088457465171814</v>
      </c>
      <c r="D6" s="65">
        <f>DataT8a!E8</f>
        <v>0.61785024404525757</v>
      </c>
      <c r="E6" s="65">
        <f>DataT8a!F8</f>
        <v>0.84192848205566406</v>
      </c>
      <c r="F6" s="65">
        <f>DataT8a!G8</f>
        <v>1</v>
      </c>
      <c r="G6" s="65">
        <f>DataT8a!H8</f>
        <v>2.8875217437744141</v>
      </c>
      <c r="H6" s="65">
        <f>DataT8a!I8</f>
        <v>2.704887866973877</v>
      </c>
      <c r="I6" s="65">
        <f>DataT8a!J8</f>
        <v>3.6630935668945312</v>
      </c>
      <c r="J6" s="65">
        <f>DataT8a!K8</f>
        <v>1.9447044134140015</v>
      </c>
    </row>
    <row r="7" spans="1:12" ht="36" customHeight="1" thickBot="1" x14ac:dyDescent="0.25">
      <c r="A7" s="21" t="str">
        <f>DataT8a!B9</f>
        <v>North America &amp; Oceania</v>
      </c>
      <c r="B7" s="65">
        <f>DataT8a!C9</f>
        <v>1.5868580667302012E-3</v>
      </c>
      <c r="C7" s="65">
        <f>DataT8a!D9</f>
        <v>0.30529642105102539</v>
      </c>
      <c r="D7" s="65">
        <f>DataT8a!E9</f>
        <v>0.61371332406997681</v>
      </c>
      <c r="E7" s="65">
        <f>DataT8a!F9</f>
        <v>0.83985310792922974</v>
      </c>
      <c r="F7" s="65">
        <f>DataT8a!G9</f>
        <v>1</v>
      </c>
      <c r="G7" s="65">
        <f>DataT8a!H9</f>
        <v>2.9063212871551514</v>
      </c>
      <c r="H7" s="65">
        <f>DataT8a!I9</f>
        <v>2.67167067527771</v>
      </c>
      <c r="I7" s="65">
        <f>DataT8a!J9</f>
        <v>3.5528824329376221</v>
      </c>
      <c r="J7" s="65">
        <f>DataT8a!K9</f>
        <v>1.972103476524353</v>
      </c>
    </row>
    <row r="8" spans="1:12" ht="36" customHeight="1" thickBot="1" x14ac:dyDescent="0.25">
      <c r="A8" s="21" t="str">
        <f>DataT8a!B10</f>
        <v>Russia &amp; Central Asia</v>
      </c>
      <c r="B8" s="65">
        <f>DataT8a!C10</f>
        <v>1.8250471912324429E-3</v>
      </c>
      <c r="C8" s="65">
        <f>DataT8a!D10</f>
        <v>0.31163203716278076</v>
      </c>
      <c r="D8" s="65">
        <f>DataT8a!E10</f>
        <v>0.60996890068054199</v>
      </c>
      <c r="E8" s="65">
        <f>DataT8a!F10</f>
        <v>0.84124565124511719</v>
      </c>
      <c r="F8" s="65">
        <f>DataT8a!G10</f>
        <v>1</v>
      </c>
      <c r="G8" s="65">
        <f>DataT8a!H10</f>
        <v>2.842379093170166</v>
      </c>
      <c r="H8" s="65">
        <f>DataT8a!I10</f>
        <v>2.6248176097869873</v>
      </c>
      <c r="I8" s="65">
        <f>DataT8a!J10</f>
        <v>3.4149389266967773</v>
      </c>
      <c r="J8" s="65">
        <f>DataT8a!K10</f>
        <v>1.9970691204071045</v>
      </c>
    </row>
    <row r="9" spans="1:12" ht="36" customHeight="1" thickBot="1" x14ac:dyDescent="0.25">
      <c r="A9" s="21" t="str">
        <f>DataT8a!B11</f>
        <v>South &amp; South-East Asia</v>
      </c>
      <c r="B9" s="48">
        <f>DataT8a!C11</f>
        <v>1.5574421267956495E-3</v>
      </c>
      <c r="C9" s="48">
        <f>DataT8a!D11</f>
        <v>0.29865169525146484</v>
      </c>
      <c r="D9" s="48">
        <f>DataT8a!E11</f>
        <v>0.59456914663314819</v>
      </c>
      <c r="E9" s="48">
        <f>DataT8a!F11</f>
        <v>0.83105099201202393</v>
      </c>
      <c r="F9" s="48">
        <f>DataT8a!G11</f>
        <v>1</v>
      </c>
      <c r="G9" s="48">
        <f>DataT8a!H11</f>
        <v>2.914879322052002</v>
      </c>
      <c r="H9" s="48">
        <f>DataT8a!I11</f>
        <v>2.7218897342681885</v>
      </c>
      <c r="I9" s="48">
        <f>DataT8a!J11</f>
        <v>3.5027453899383545</v>
      </c>
      <c r="J9" s="48">
        <f>DataT8a!K11</f>
        <v>2.1014490127563477</v>
      </c>
    </row>
    <row r="10" spans="1:12" ht="36" customHeight="1" thickBot="1" x14ac:dyDescent="0.25">
      <c r="A10" s="21" t="str">
        <f>DataT8a!B12</f>
        <v>Sub-Saharan Africa</v>
      </c>
      <c r="B10" s="48">
        <f>DataT8a!C12</f>
        <v>1.9503631629049778E-3</v>
      </c>
      <c r="C10" s="48">
        <f>DataT8a!D12</f>
        <v>0.29437461495399475</v>
      </c>
      <c r="D10" s="48">
        <f>DataT8a!E12</f>
        <v>0.49222594499588013</v>
      </c>
      <c r="E10" s="48">
        <f>DataT8a!F12</f>
        <v>0.80471205711364746</v>
      </c>
      <c r="F10" s="48">
        <f>DataT8a!G12</f>
        <v>1</v>
      </c>
      <c r="G10" s="48">
        <f>DataT8a!H12</f>
        <v>2.8120293617248535</v>
      </c>
      <c r="H10" s="48">
        <f>DataT8a!I12</f>
        <v>2.7548227310180664</v>
      </c>
      <c r="I10" s="48">
        <f>DataT8a!J12</f>
        <v>2.6037437915802002</v>
      </c>
      <c r="J10" s="48">
        <f>DataT8a!K12</f>
        <v>2.8758461475372314</v>
      </c>
    </row>
    <row r="11" spans="1:12" ht="36" customHeight="1" thickBot="1" x14ac:dyDescent="0.25">
      <c r="A11" s="22" t="str">
        <f>DataT8a!B13</f>
        <v>World</v>
      </c>
      <c r="B11" s="66">
        <f>DataT8a!C13</f>
        <v>1.628259546123445E-3</v>
      </c>
      <c r="C11" s="66">
        <f>DataT8a!D13</f>
        <v>0.2837778627872467</v>
      </c>
      <c r="D11" s="66">
        <f>DataT8a!E13</f>
        <v>0.53426247835159302</v>
      </c>
      <c r="E11" s="66">
        <f>DataT8a!F13</f>
        <v>0.82272088527679443</v>
      </c>
      <c r="F11" s="66">
        <f>DataT8a!G13</f>
        <v>1</v>
      </c>
      <c r="G11" s="66">
        <f>DataT8a!H13</f>
        <v>2.8945422172546387</v>
      </c>
      <c r="H11" s="66">
        <f>DataT8a!I13</f>
        <v>2.8385708332061768</v>
      </c>
      <c r="I11" s="66">
        <f>DataT8a!J13</f>
        <v>3.2140471935272217</v>
      </c>
      <c r="J11" s="66">
        <f>DataT8a!K13</f>
        <v>2.5391736030578613</v>
      </c>
    </row>
    <row r="12" spans="1:12" ht="19" customHeight="1" x14ac:dyDescent="0.2">
      <c r="A12" s="173" t="s">
        <v>645</v>
      </c>
      <c r="B12" s="174"/>
      <c r="C12" s="174"/>
      <c r="D12" s="174"/>
      <c r="E12" s="174"/>
      <c r="F12" s="174"/>
      <c r="G12" s="174"/>
      <c r="H12" s="174"/>
      <c r="I12" s="174"/>
      <c r="J12" s="175"/>
      <c r="K12" s="67"/>
      <c r="L12" s="67"/>
    </row>
    <row r="13" spans="1:12" ht="16" thickBot="1" x14ac:dyDescent="0.25">
      <c r="A13" s="176"/>
      <c r="B13" s="177"/>
      <c r="C13" s="177"/>
      <c r="D13" s="177"/>
      <c r="E13" s="177"/>
      <c r="F13" s="177"/>
      <c r="G13" s="177"/>
      <c r="H13" s="177"/>
      <c r="I13" s="177"/>
      <c r="J13" s="178"/>
      <c r="K13" s="67"/>
      <c r="L13" s="67"/>
    </row>
  </sheetData>
  <mergeCells count="2">
    <mergeCell ref="A1:J1"/>
    <mergeCell ref="A12:J1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2DBAB-75BB-3643-93D9-F84E54CB4484}">
  <sheetPr>
    <tabColor theme="8"/>
  </sheetPr>
  <dimension ref="A1:K13"/>
  <sheetViews>
    <sheetView workbookViewId="0">
      <selection activeCell="M4" sqref="M4"/>
    </sheetView>
  </sheetViews>
  <sheetFormatPr baseColWidth="10" defaultRowHeight="38" customHeight="1" x14ac:dyDescent="0.2"/>
  <cols>
    <col min="1" max="1" width="17.83203125" customWidth="1"/>
    <col min="2" max="2" width="16.1640625" customWidth="1"/>
    <col min="3" max="3" width="16.83203125" customWidth="1"/>
    <col min="4" max="4" width="17.33203125" customWidth="1"/>
    <col min="5" max="5" width="16.1640625" customWidth="1"/>
    <col min="6" max="6" width="14.83203125" customWidth="1"/>
    <col min="7" max="7" width="15.33203125" customWidth="1"/>
    <col min="8" max="8" width="14.83203125" customWidth="1"/>
    <col min="9" max="9" width="15.6640625" customWidth="1"/>
    <col min="10" max="11" width="15.83203125" customWidth="1"/>
  </cols>
  <sheetData>
    <row r="1" spans="1:11" ht="38" customHeight="1" thickBot="1" x14ac:dyDescent="0.25">
      <c r="A1" s="138" t="str">
        <f>DataT8b!B3</f>
        <v xml:space="preserve">Table 8b. Price index Growth PPP 2025 $ by World Regions (1980-2025) </v>
      </c>
      <c r="B1" s="139"/>
      <c r="C1" s="139"/>
      <c r="D1" s="139"/>
      <c r="E1" s="139"/>
      <c r="F1" s="139"/>
      <c r="G1" s="139"/>
      <c r="H1" s="139"/>
      <c r="I1" s="139"/>
      <c r="J1" s="139"/>
      <c r="K1" s="140"/>
    </row>
    <row r="2" spans="1:11" ht="69" thickBot="1" x14ac:dyDescent="0.25">
      <c r="A2" s="20"/>
      <c r="B2" s="1" t="str">
        <f>DataT8b!C4</f>
        <v>1800 Price index   (PPP 2025 $)</v>
      </c>
      <c r="C2" s="1" t="str">
        <f>DataT8b!D4</f>
        <v>1980 Price index   (PPP 2025 $)</v>
      </c>
      <c r="D2" s="1" t="str">
        <f>DataT8b!E4</f>
        <v>2000 Price index   (PPP 2025 $)</v>
      </c>
      <c r="E2" s="1" t="str">
        <f>DataT8b!F4</f>
        <v>2020 Price index   (PPP 2025 $)</v>
      </c>
      <c r="F2" s="1" t="str">
        <f>DataT8b!G4</f>
        <v>2025 Price index   (PPP 2025 $)</v>
      </c>
      <c r="G2" s="1" t="str">
        <f>DataT8b!H4</f>
        <v>Annual growth rate 1800-2025</v>
      </c>
      <c r="H2" s="1" t="str">
        <f>DataT8b!I4</f>
        <v>Annual growth rate 1980-2025</v>
      </c>
      <c r="I2" s="1" t="str">
        <f>DataT8b!J4</f>
        <v>Annual growth rate 1980-2000</v>
      </c>
      <c r="J2" s="1" t="str">
        <f>DataT8b!K4</f>
        <v>Annual growth rate 2000-2025</v>
      </c>
      <c r="K2" s="1" t="str">
        <f>DataT8b!L4</f>
        <v>Annual growth rate 2020-2025</v>
      </c>
    </row>
    <row r="3" spans="1:11" ht="38" customHeight="1" thickBot="1" x14ac:dyDescent="0.25">
      <c r="A3" s="61" t="str">
        <f>DataT8b!B5</f>
        <v>East Asia</v>
      </c>
      <c r="B3" s="65">
        <f>DataT8b!C5</f>
        <v>2.2628206759691238E-2</v>
      </c>
      <c r="C3" s="65">
        <f>DataT8b!D5</f>
        <v>0.29683178663253784</v>
      </c>
      <c r="D3" s="65">
        <f>DataT8b!E5</f>
        <v>0.5313873291015625</v>
      </c>
      <c r="E3" s="65">
        <f>DataT8b!F5</f>
        <v>0.81249302625656128</v>
      </c>
      <c r="F3" s="65">
        <f>DataT8b!G5</f>
        <v>1</v>
      </c>
      <c r="G3" s="65">
        <f>DataT8b!H5</f>
        <v>1.6980594396591187</v>
      </c>
      <c r="H3" s="65">
        <f>DataT8b!I5</f>
        <v>2.7358434200286865</v>
      </c>
      <c r="I3" s="65">
        <f>DataT8b!J5</f>
        <v>2.954430103302002</v>
      </c>
      <c r="J3" s="65">
        <f>DataT8b!K5</f>
        <v>2.5613083839416504</v>
      </c>
      <c r="K3" s="65">
        <f>DataT8b!L5</f>
        <v>4.2404007911682129</v>
      </c>
    </row>
    <row r="4" spans="1:11" ht="38" customHeight="1" thickBot="1" x14ac:dyDescent="0.25">
      <c r="A4" s="61" t="str">
        <f>DataT8b!B6</f>
        <v>Europe</v>
      </c>
      <c r="B4" s="48">
        <f>DataT8b!C6</f>
        <v>2.475261315703392E-2</v>
      </c>
      <c r="C4" s="48">
        <f>DataT8b!D6</f>
        <v>0.30650812387466431</v>
      </c>
      <c r="D4" s="48">
        <f>DataT8b!E6</f>
        <v>0.55596017837524414</v>
      </c>
      <c r="E4" s="48">
        <f>DataT8b!F6</f>
        <v>0.81474661827087402</v>
      </c>
      <c r="F4" s="48">
        <f>DataT8b!G6</f>
        <v>1</v>
      </c>
      <c r="G4" s="48">
        <f>DataT8b!H6</f>
        <v>1.6575086116790771</v>
      </c>
      <c r="H4" s="48">
        <f>DataT8b!I6</f>
        <v>2.6626334190368652</v>
      </c>
      <c r="I4" s="48">
        <f>DataT8b!J6</f>
        <v>3.0220255851745605</v>
      </c>
      <c r="J4" s="48">
        <f>DataT8b!K6</f>
        <v>2.3760225772857666</v>
      </c>
      <c r="K4" s="48">
        <f>DataT8b!L6</f>
        <v>4.1826705932617188</v>
      </c>
    </row>
    <row r="5" spans="1:11" ht="38" customHeight="1" thickBot="1" x14ac:dyDescent="0.25">
      <c r="A5" s="61" t="str">
        <f>DataT8b!B7</f>
        <v>Latin America</v>
      </c>
      <c r="B5" s="65">
        <f>DataT8b!C7</f>
        <v>2.3135578259825706E-2</v>
      </c>
      <c r="C5" s="65">
        <f>DataT8b!D7</f>
        <v>0.29730513691902161</v>
      </c>
      <c r="D5" s="65">
        <f>DataT8b!E7</f>
        <v>0.55125409364700317</v>
      </c>
      <c r="E5" s="65">
        <f>DataT8b!F7</f>
        <v>0.81403011083602905</v>
      </c>
      <c r="F5" s="65">
        <f>DataT8b!G7</f>
        <v>1</v>
      </c>
      <c r="G5" s="65">
        <f>DataT8b!H7</f>
        <v>1.6880372762680054</v>
      </c>
      <c r="H5" s="65">
        <f>DataT8b!I7</f>
        <v>2.732205867767334</v>
      </c>
      <c r="I5" s="65">
        <f>DataT8b!J7</f>
        <v>3.1353318691253662</v>
      </c>
      <c r="J5" s="65">
        <f>DataT8b!K7</f>
        <v>2.4108395576477051</v>
      </c>
      <c r="K5" s="65">
        <f>DataT8b!L7</f>
        <v>4.2010045051574707</v>
      </c>
    </row>
    <row r="6" spans="1:11" ht="38" customHeight="1" thickBot="1" x14ac:dyDescent="0.25">
      <c r="A6" s="21" t="str">
        <f>DataT8b!B8</f>
        <v>MENA</v>
      </c>
      <c r="B6" s="65">
        <f>DataT8b!C8</f>
        <v>2.3830128833651543E-2</v>
      </c>
      <c r="C6" s="65">
        <f>DataT8b!D8</f>
        <v>0.30096933245658875</v>
      </c>
      <c r="D6" s="65">
        <f>DataT8b!E8</f>
        <v>0.56693869829177856</v>
      </c>
      <c r="E6" s="65">
        <f>DataT8b!F8</f>
        <v>0.81899738311767578</v>
      </c>
      <c r="F6" s="65">
        <f>DataT8b!G8</f>
        <v>1</v>
      </c>
      <c r="G6" s="65">
        <f>DataT8b!H8</f>
        <v>1.6746699810028076</v>
      </c>
      <c r="H6" s="65">
        <f>DataT8b!I8</f>
        <v>2.7042450904846191</v>
      </c>
      <c r="I6" s="65">
        <f>DataT8b!J8</f>
        <v>3.2168717384338379</v>
      </c>
      <c r="J6" s="65">
        <f>DataT8b!K8</f>
        <v>2.2959773540496826</v>
      </c>
      <c r="K6" s="65">
        <f>DataT8b!L8</f>
        <v>4.0742998123168945</v>
      </c>
    </row>
    <row r="7" spans="1:11" ht="38" customHeight="1" thickBot="1" x14ac:dyDescent="0.25">
      <c r="A7" s="21" t="str">
        <f>DataT8b!B9</f>
        <v>North America &amp; Oceania</v>
      </c>
      <c r="B7" s="65">
        <f>DataT8b!C9</f>
        <v>2.2870384156703949E-2</v>
      </c>
      <c r="C7" s="65">
        <f>DataT8b!D9</f>
        <v>0.30538246035575867</v>
      </c>
      <c r="D7" s="65">
        <f>DataT8b!E9</f>
        <v>0.56314271688461304</v>
      </c>
      <c r="E7" s="65">
        <f>DataT8b!F9</f>
        <v>0.8169785737991333</v>
      </c>
      <c r="F7" s="65">
        <f>DataT8b!G9</f>
        <v>1</v>
      </c>
      <c r="G7" s="65">
        <f>DataT8b!H9</f>
        <v>1.69324791431427</v>
      </c>
      <c r="H7" s="65">
        <f>DataT8b!I9</f>
        <v>2.671027660369873</v>
      </c>
      <c r="I7" s="65">
        <f>DataT8b!J9</f>
        <v>3.1071348190307617</v>
      </c>
      <c r="J7" s="65">
        <f>DataT8b!K9</f>
        <v>2.3234703540802002</v>
      </c>
      <c r="K7" s="65">
        <f>DataT8b!L9</f>
        <v>4.1256837844848633</v>
      </c>
    </row>
    <row r="8" spans="1:11" ht="38" customHeight="1" thickBot="1" x14ac:dyDescent="0.25">
      <c r="A8" s="21" t="str">
        <f>DataT8b!B10</f>
        <v>Russia &amp; Central Asia</v>
      </c>
      <c r="B8" s="65">
        <f>DataT8b!C10</f>
        <v>2.6303248479962349E-2</v>
      </c>
      <c r="C8" s="65">
        <f>DataT8b!D10</f>
        <v>0.31171983480453491</v>
      </c>
      <c r="D8" s="65">
        <f>DataT8b!E10</f>
        <v>0.55970680713653564</v>
      </c>
      <c r="E8" s="65">
        <f>DataT8b!F10</f>
        <v>0.81833332777023315</v>
      </c>
      <c r="F8" s="65">
        <f>DataT8b!G10</f>
        <v>1</v>
      </c>
      <c r="G8" s="65">
        <f>DataT8b!H10</f>
        <v>1.6300595998764038</v>
      </c>
      <c r="H8" s="65">
        <f>DataT8b!I10</f>
        <v>2.6241750717163086</v>
      </c>
      <c r="I8" s="65">
        <f>DataT8b!J10</f>
        <v>2.9697854518890381</v>
      </c>
      <c r="J8" s="65">
        <f>DataT8b!K10</f>
        <v>2.3485221862792969</v>
      </c>
      <c r="K8" s="65">
        <f>DataT8b!L10</f>
        <v>4.0911850929260254</v>
      </c>
    </row>
    <row r="9" spans="1:11" ht="38" customHeight="1" thickBot="1" x14ac:dyDescent="0.25">
      <c r="A9" s="21" t="str">
        <f>DataT8b!B11</f>
        <v>South &amp; South-East Asia</v>
      </c>
      <c r="B9" s="48">
        <f>DataT8b!C11</f>
        <v>2.2446427494287491E-2</v>
      </c>
      <c r="C9" s="48">
        <f>DataT8b!D11</f>
        <v>0.2987358570098877</v>
      </c>
      <c r="D9" s="48">
        <f>DataT8b!E11</f>
        <v>0.54557597637176514</v>
      </c>
      <c r="E9" s="48">
        <f>DataT8b!F11</f>
        <v>0.80841624736785889</v>
      </c>
      <c r="F9" s="48">
        <f>DataT8b!G11</f>
        <v>1</v>
      </c>
      <c r="G9" s="48">
        <f>DataT8b!H11</f>
        <v>1.7017052173614502</v>
      </c>
      <c r="H9" s="48">
        <f>DataT8b!I11</f>
        <v>2.7212464809417725</v>
      </c>
      <c r="I9" s="48">
        <f>DataT8b!J11</f>
        <v>3.0572130680084229</v>
      </c>
      <c r="J9" s="48">
        <f>DataT8b!K11</f>
        <v>2.4532620906829834</v>
      </c>
      <c r="K9" s="48">
        <f>DataT8b!L11</f>
        <v>4.3453245162963867</v>
      </c>
    </row>
    <row r="10" spans="1:11" ht="38" customHeight="1" thickBot="1" x14ac:dyDescent="0.25">
      <c r="A10" s="21" t="str">
        <f>DataT8b!B12</f>
        <v>Sub-Saharan Africa</v>
      </c>
      <c r="B10" s="48">
        <f>DataT8b!C12</f>
        <v>2.8109347447752953E-2</v>
      </c>
      <c r="C10" s="48">
        <f>DataT8b!D12</f>
        <v>0.29445752501487732</v>
      </c>
      <c r="D10" s="48">
        <f>DataT8b!E12</f>
        <v>0.45166602730751038</v>
      </c>
      <c r="E10" s="48">
        <f>DataT8b!F12</f>
        <v>0.78279465436935425</v>
      </c>
      <c r="F10" s="48">
        <f>DataT8b!G12</f>
        <v>1</v>
      </c>
      <c r="G10" s="48">
        <f>DataT8b!H12</f>
        <v>1.6000674962997437</v>
      </c>
      <c r="H10" s="48">
        <f>DataT8b!I12</f>
        <v>2.7541797161102295</v>
      </c>
      <c r="I10" s="48">
        <f>DataT8b!J12</f>
        <v>2.1620829105377197</v>
      </c>
      <c r="J10" s="48">
        <f>DataT8b!K12</f>
        <v>3.2303268909454346</v>
      </c>
      <c r="K10" s="48">
        <f>DataT8b!L12</f>
        <v>5.0196170806884766</v>
      </c>
    </row>
    <row r="11" spans="1:11" ht="38" customHeight="1" thickBot="1" x14ac:dyDescent="0.25">
      <c r="A11" s="22" t="str">
        <f>DataT8b!B13</f>
        <v>World</v>
      </c>
      <c r="B11" s="66">
        <f>DataT8b!C13</f>
        <v>2.3467075079679489E-2</v>
      </c>
      <c r="C11" s="66">
        <f>DataT8b!D13</f>
        <v>0.2838577926158905</v>
      </c>
      <c r="D11" s="66">
        <f>DataT8b!E13</f>
        <v>0.4902387261390686</v>
      </c>
      <c r="E11" s="66">
        <f>DataT8b!F13</f>
        <v>0.80031305551528931</v>
      </c>
      <c r="F11" s="66">
        <f>DataT8b!G13</f>
        <v>1</v>
      </c>
      <c r="G11" s="66">
        <f>DataT8b!H13</f>
        <v>1.681607723236084</v>
      </c>
      <c r="H11" s="66">
        <f>DataT8b!I13</f>
        <v>2.8379273414611816</v>
      </c>
      <c r="I11" s="66">
        <f>DataT8b!J13</f>
        <v>2.7697594165802002</v>
      </c>
      <c r="J11" s="66">
        <f>DataT8b!K13</f>
        <v>2.8924942016601562</v>
      </c>
      <c r="K11" s="66">
        <f>DataT8b!L13</f>
        <v>4.5557737350463867</v>
      </c>
    </row>
    <row r="12" spans="1:11" ht="38" customHeight="1" x14ac:dyDescent="0.2">
      <c r="A12" s="173" t="s">
        <v>648</v>
      </c>
      <c r="B12" s="174"/>
      <c r="C12" s="174"/>
      <c r="D12" s="174"/>
      <c r="E12" s="174"/>
      <c r="F12" s="174"/>
      <c r="G12" s="174"/>
      <c r="H12" s="174"/>
      <c r="I12" s="174"/>
      <c r="J12" s="174"/>
      <c r="K12" s="175"/>
    </row>
    <row r="13" spans="1:11" ht="16" thickBot="1" x14ac:dyDescent="0.25">
      <c r="A13" s="176"/>
      <c r="B13" s="177"/>
      <c r="C13" s="177"/>
      <c r="D13" s="177"/>
      <c r="E13" s="177"/>
      <c r="F13" s="177"/>
      <c r="G13" s="177"/>
      <c r="H13" s="177"/>
      <c r="I13" s="177"/>
      <c r="J13" s="177"/>
      <c r="K13" s="178"/>
    </row>
  </sheetData>
  <mergeCells count="2">
    <mergeCell ref="A1:K1"/>
    <mergeCell ref="A12:K1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EA9A0-B386-704F-A4B5-8AB201609BD0}">
  <sheetPr>
    <tabColor theme="8"/>
  </sheetPr>
  <dimension ref="A1:K13"/>
  <sheetViews>
    <sheetView workbookViewId="0">
      <selection activeCell="I10" sqref="I10"/>
    </sheetView>
  </sheetViews>
  <sheetFormatPr baseColWidth="10" defaultColWidth="16.83203125" defaultRowHeight="43" customHeight="1" x14ac:dyDescent="0.2"/>
  <sheetData>
    <row r="1" spans="1:11" ht="17" thickBot="1" x14ac:dyDescent="0.25">
      <c r="A1" s="138" t="str">
        <f>DataT8c!B3</f>
        <v xml:space="preserve">Table 8c. Price index Growth  MER € by World Regions (1980-2025) </v>
      </c>
      <c r="B1" s="139"/>
      <c r="C1" s="139"/>
      <c r="D1" s="139"/>
      <c r="E1" s="139"/>
      <c r="F1" s="139"/>
      <c r="G1" s="139"/>
      <c r="H1" s="139"/>
      <c r="I1" s="139"/>
      <c r="J1" s="139"/>
      <c r="K1" s="140"/>
    </row>
    <row r="2" spans="1:11" ht="43" customHeight="1" thickBot="1" x14ac:dyDescent="0.25">
      <c r="A2" s="20"/>
      <c r="B2" s="1" t="str">
        <f>DataT8c!C4</f>
        <v>1800 Price index   (€)</v>
      </c>
      <c r="C2" s="1" t="str">
        <f>DataT8c!D4</f>
        <v>1980 Price index   (€)</v>
      </c>
      <c r="D2" s="1" t="str">
        <f>DataT8c!E4</f>
        <v>2000 Price index   (€)</v>
      </c>
      <c r="E2" s="1" t="str">
        <f>DataT8c!F4</f>
        <v>2020 Price index   (€)</v>
      </c>
      <c r="F2" s="1" t="str">
        <f>DataT8c!G4</f>
        <v>2025 Price index   (€)</v>
      </c>
      <c r="G2" s="1" t="str">
        <f>DataT8c!H4</f>
        <v>Annual growth rate 1800-2025</v>
      </c>
      <c r="H2" s="1" t="str">
        <f>DataT8c!I4</f>
        <v>Annual growth rate 1980-2025</v>
      </c>
      <c r="I2" s="1" t="str">
        <f>DataT8c!J4</f>
        <v>Annual growth rate 1980-2000</v>
      </c>
      <c r="J2" s="1" t="str">
        <f>DataT8c!K4</f>
        <v>Annual growth rate 2000-2025</v>
      </c>
      <c r="K2" s="1" t="str">
        <f>DataT8c!L4</f>
        <v>Annual growth rate 2020-2025</v>
      </c>
    </row>
    <row r="3" spans="1:11" ht="43" customHeight="1" thickBot="1" x14ac:dyDescent="0.25">
      <c r="A3" s="61" t="str">
        <f>DataT8c!B5</f>
        <v>East Asia</v>
      </c>
      <c r="B3" s="65">
        <f>DataT8c!C5</f>
        <v>1.3899103505536914E-3</v>
      </c>
      <c r="C3" s="65">
        <f>DataT8c!D5</f>
        <v>0.38338977098464966</v>
      </c>
      <c r="D3" s="65">
        <f>DataT8c!E5</f>
        <v>1.0778210163116455</v>
      </c>
      <c r="E3" s="65">
        <f>DataT8c!F5</f>
        <v>1.06227707862854</v>
      </c>
      <c r="F3" s="65">
        <f>DataT8c!G5</f>
        <v>1</v>
      </c>
      <c r="G3" s="65">
        <f>DataT8c!H5</f>
        <v>2.966947078704834</v>
      </c>
      <c r="H3" s="65">
        <f>DataT8c!I5</f>
        <v>2.1533074378967285</v>
      </c>
      <c r="I3" s="65">
        <f>DataT8c!J5</f>
        <v>5.3041062355041504</v>
      </c>
      <c r="J3" s="65">
        <f>DataT8c!K5</f>
        <v>-0.29931685328483582</v>
      </c>
      <c r="K3" s="65">
        <f>DataT8c!L5</f>
        <v>-1.2010252475738525</v>
      </c>
    </row>
    <row r="4" spans="1:11" ht="43" customHeight="1" thickBot="1" x14ac:dyDescent="0.25">
      <c r="A4" s="61" t="str">
        <f>DataT8c!B6</f>
        <v>Europe</v>
      </c>
      <c r="B4" s="48">
        <f>DataT8c!C6</f>
        <v>1.9370096269994974E-3</v>
      </c>
      <c r="C4" s="48">
        <f>DataT8c!D6</f>
        <v>0.27626633644104004</v>
      </c>
      <c r="D4" s="48">
        <f>DataT8c!E6</f>
        <v>0.61933755874633789</v>
      </c>
      <c r="E4" s="48">
        <f>DataT8c!F6</f>
        <v>0.81865954399108887</v>
      </c>
      <c r="F4" s="48">
        <f>DataT8c!G6</f>
        <v>1</v>
      </c>
      <c r="G4" s="48">
        <f>DataT8c!H6</f>
        <v>2.8151686191558838</v>
      </c>
      <c r="H4" s="48">
        <f>DataT8c!I6</f>
        <v>2.8998956680297852</v>
      </c>
      <c r="I4" s="48">
        <f>DataT8c!J6</f>
        <v>4.1189961433410645</v>
      </c>
      <c r="J4" s="48">
        <f>DataT8c!K6</f>
        <v>1.9349005222320557</v>
      </c>
      <c r="K4" s="48">
        <f>DataT8c!L6</f>
        <v>4.082888126373291</v>
      </c>
    </row>
    <row r="5" spans="1:11" ht="43" customHeight="1" thickBot="1" x14ac:dyDescent="0.25">
      <c r="A5" s="61" t="str">
        <f>DataT8c!B7</f>
        <v>Latin America</v>
      </c>
      <c r="B5" s="65">
        <f>DataT8c!C7</f>
        <v>1.884993864223361E-3</v>
      </c>
      <c r="C5" s="65">
        <f>DataT8c!D7</f>
        <v>0.277261883020401</v>
      </c>
      <c r="D5" s="65">
        <f>DataT8c!E7</f>
        <v>0.66564851999282837</v>
      </c>
      <c r="E5" s="65">
        <f>DataT8c!F7</f>
        <v>0.74560314416885376</v>
      </c>
      <c r="F5" s="65">
        <f>DataT8c!G7</f>
        <v>1</v>
      </c>
      <c r="G5" s="65">
        <f>DataT8c!H7</f>
        <v>2.8276081085205078</v>
      </c>
      <c r="H5" s="65">
        <f>DataT8c!I7</f>
        <v>2.8916704654693604</v>
      </c>
      <c r="I5" s="65">
        <f>DataT8c!J7</f>
        <v>4.4762892723083496</v>
      </c>
      <c r="J5" s="65">
        <f>DataT8c!K7</f>
        <v>1.6412976980209351</v>
      </c>
      <c r="K5" s="65">
        <f>DataT8c!L7</f>
        <v>6.0470161437988281</v>
      </c>
    </row>
    <row r="6" spans="1:11" ht="43" customHeight="1" thickBot="1" x14ac:dyDescent="0.25">
      <c r="A6" s="21" t="str">
        <f>DataT8c!B8</f>
        <v>MENA</v>
      </c>
      <c r="B6" s="65">
        <f>DataT8c!C8</f>
        <v>1.8162756459787488E-3</v>
      </c>
      <c r="C6" s="65">
        <f>DataT8c!D8</f>
        <v>0.33761245012283325</v>
      </c>
      <c r="D6" s="65">
        <f>DataT8c!E8</f>
        <v>0.59566515684127808</v>
      </c>
      <c r="E6" s="65">
        <f>DataT8c!F8</f>
        <v>0.77855211496353149</v>
      </c>
      <c r="F6" s="65">
        <f>DataT8c!G8</f>
        <v>1</v>
      </c>
      <c r="G6" s="65">
        <f>DataT8c!H8</f>
        <v>2.8445813655853271</v>
      </c>
      <c r="H6" s="65">
        <f>DataT8c!I8</f>
        <v>2.4423635005950928</v>
      </c>
      <c r="I6" s="65">
        <f>DataT8c!J8</f>
        <v>2.8795809745788574</v>
      </c>
      <c r="J6" s="65">
        <f>DataT8c!K8</f>
        <v>2.0939276218414307</v>
      </c>
      <c r="K6" s="65">
        <f>DataT8c!L8</f>
        <v>5.133824348449707</v>
      </c>
    </row>
    <row r="7" spans="1:11" ht="43" customHeight="1" thickBot="1" x14ac:dyDescent="0.25">
      <c r="A7" s="21" t="str">
        <f>DataT8c!B9</f>
        <v>North America &amp; Oceania</v>
      </c>
      <c r="B7" s="65">
        <f>DataT8c!C9</f>
        <v>1.858807634562254E-3</v>
      </c>
      <c r="C7" s="65">
        <f>DataT8c!D9</f>
        <v>0.25418952107429504</v>
      </c>
      <c r="D7" s="65">
        <f>DataT8c!E9</f>
        <v>0.70405852794647217</v>
      </c>
      <c r="E7" s="65">
        <f>DataT8c!F9</f>
        <v>0.84505873918533325</v>
      </c>
      <c r="F7" s="65">
        <f>DataT8c!G9</f>
        <v>1</v>
      </c>
      <c r="G7" s="65">
        <f>DataT8c!H9</f>
        <v>2.8340015411376953</v>
      </c>
      <c r="H7" s="65">
        <f>DataT8c!I9</f>
        <v>3.0905172824859619</v>
      </c>
      <c r="I7" s="65">
        <f>DataT8c!J9</f>
        <v>5.2258772850036621</v>
      </c>
      <c r="J7" s="65">
        <f>DataT8c!K9</f>
        <v>1.4134715795516968</v>
      </c>
      <c r="K7" s="65">
        <f>DataT8c!L9</f>
        <v>3.4243073463439941</v>
      </c>
    </row>
    <row r="8" spans="1:11" ht="43" customHeight="1" thickBot="1" x14ac:dyDescent="0.25">
      <c r="A8" s="21" t="str">
        <f>DataT8c!B10</f>
        <v>Russia &amp; Central Asia</v>
      </c>
      <c r="B8" s="65">
        <f>DataT8c!C10</f>
        <v>3.2267612405121326E-3</v>
      </c>
      <c r="C8" s="65">
        <f>DataT8c!D10</f>
        <v>0.3867591917514801</v>
      </c>
      <c r="D8" s="65">
        <f>DataT8c!E10</f>
        <v>0.26038262248039246</v>
      </c>
      <c r="E8" s="65">
        <f>DataT8c!F10</f>
        <v>0.66072994470596313</v>
      </c>
      <c r="F8" s="65">
        <f>DataT8c!G10</f>
        <v>1</v>
      </c>
      <c r="G8" s="65">
        <f>DataT8c!H10</f>
        <v>2.5822327136993408</v>
      </c>
      <c r="H8" s="65">
        <f>DataT8c!I10</f>
        <v>2.1334459781646729</v>
      </c>
      <c r="I8" s="65">
        <f>DataT8c!J10</f>
        <v>-1.9588114023208618</v>
      </c>
      <c r="J8" s="65">
        <f>DataT8c!K10</f>
        <v>5.5298986434936523</v>
      </c>
      <c r="K8" s="65">
        <f>DataT8c!L10</f>
        <v>8.641362190246582</v>
      </c>
    </row>
    <row r="9" spans="1:11" ht="43" customHeight="1" thickBot="1" x14ac:dyDescent="0.25">
      <c r="A9" s="21" t="str">
        <f>DataT8c!B11</f>
        <v>South &amp; South-East Asia</v>
      </c>
      <c r="B9" s="48">
        <f>DataT8c!C11</f>
        <v>3.0061097349971533E-3</v>
      </c>
      <c r="C9" s="48">
        <f>DataT8c!D11</f>
        <v>0.41356217861175537</v>
      </c>
      <c r="D9" s="48">
        <f>DataT8c!E11</f>
        <v>0.63543277978897095</v>
      </c>
      <c r="E9" s="48">
        <f>DataT8c!F11</f>
        <v>0.94979619979858398</v>
      </c>
      <c r="F9" s="48">
        <f>DataT8c!G11</f>
        <v>1</v>
      </c>
      <c r="G9" s="48">
        <f>DataT8c!H11</f>
        <v>2.6145317554473877</v>
      </c>
      <c r="H9" s="48">
        <f>DataT8c!I11</f>
        <v>1.9814811944961548</v>
      </c>
      <c r="I9" s="48">
        <f>DataT8c!J11</f>
        <v>2.1707167625427246</v>
      </c>
      <c r="J9" s="48">
        <f>DataT8c!K11</f>
        <v>1.8303450345993042</v>
      </c>
      <c r="K9" s="48">
        <f>DataT8c!L11</f>
        <v>1.0354812145233154</v>
      </c>
    </row>
    <row r="10" spans="1:11" ht="43" customHeight="1" thickBot="1" x14ac:dyDescent="0.25">
      <c r="A10" s="21" t="str">
        <f>DataT8c!B12</f>
        <v>Sub-Saharan Africa</v>
      </c>
      <c r="B10" s="48">
        <f>DataT8c!C12</f>
        <v>2.2162515670061111E-3</v>
      </c>
      <c r="C10" s="48">
        <f>DataT8c!D12</f>
        <v>0.6863706111907959</v>
      </c>
      <c r="D10" s="48">
        <f>DataT8c!E12</f>
        <v>0.49866372346878052</v>
      </c>
      <c r="E10" s="48">
        <f>DataT8c!F12</f>
        <v>0.83866405487060547</v>
      </c>
      <c r="F10" s="48">
        <f>DataT8c!G12</f>
        <v>1</v>
      </c>
      <c r="G10" s="48">
        <f>DataT8c!H12</f>
        <v>2.7536478042602539</v>
      </c>
      <c r="H10" s="48">
        <f>DataT8c!I12</f>
        <v>0.83981245756149292</v>
      </c>
      <c r="I10" s="48">
        <f>DataT8c!J12</f>
        <v>-1.5847375392913818</v>
      </c>
      <c r="J10" s="48">
        <f>DataT8c!K12</f>
        <v>2.8223886489868164</v>
      </c>
      <c r="K10" s="48">
        <f>DataT8c!L12</f>
        <v>3.5815472602844238</v>
      </c>
    </row>
    <row r="11" spans="1:11" ht="43" customHeight="1" thickBot="1" x14ac:dyDescent="0.25">
      <c r="A11" s="22" t="str">
        <f>DataT8c!B13</f>
        <v>World</v>
      </c>
      <c r="B11" s="66">
        <f>DataT8c!C13</f>
        <v>1.9296241225674748E-3</v>
      </c>
      <c r="C11" s="66">
        <f>DataT8c!D13</f>
        <v>0.3160499632358551</v>
      </c>
      <c r="D11" s="66">
        <f>DataT8c!E13</f>
        <v>0.69861245155334473</v>
      </c>
      <c r="E11" s="66">
        <f>DataT8c!F13</f>
        <v>0.87662148475646973</v>
      </c>
      <c r="F11" s="66">
        <f>DataT8c!G13</f>
        <v>1</v>
      </c>
      <c r="G11" s="66">
        <f>DataT8c!H13</f>
        <v>2.8169143199920654</v>
      </c>
      <c r="H11" s="66">
        <f>DataT8c!I13</f>
        <v>2.5927188396453857</v>
      </c>
      <c r="I11" s="66">
        <f>DataT8c!J13</f>
        <v>4.0456743240356445</v>
      </c>
      <c r="J11" s="66">
        <f>DataT8c!K13</f>
        <v>1.444976806640625</v>
      </c>
      <c r="K11" s="66">
        <f>DataT8c!L13</f>
        <v>2.6685853004455566</v>
      </c>
    </row>
    <row r="12" spans="1:11" ht="15" customHeight="1" x14ac:dyDescent="0.2">
      <c r="A12" s="173" t="s">
        <v>646</v>
      </c>
      <c r="B12" s="174"/>
      <c r="C12" s="174"/>
      <c r="D12" s="174"/>
      <c r="E12" s="174"/>
      <c r="F12" s="174"/>
      <c r="G12" s="174"/>
      <c r="H12" s="174"/>
      <c r="I12" s="174"/>
      <c r="J12" s="174"/>
      <c r="K12" s="175"/>
    </row>
    <row r="13" spans="1:11" ht="16" thickBot="1" x14ac:dyDescent="0.25">
      <c r="A13" s="176"/>
      <c r="B13" s="177"/>
      <c r="C13" s="177"/>
      <c r="D13" s="177"/>
      <c r="E13" s="177"/>
      <c r="F13" s="177"/>
      <c r="G13" s="177"/>
      <c r="H13" s="177"/>
      <c r="I13" s="177"/>
      <c r="J13" s="177"/>
      <c r="K13" s="178"/>
    </row>
  </sheetData>
  <mergeCells count="2">
    <mergeCell ref="A12:K13"/>
    <mergeCell ref="A1:K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35CB-1439-EB49-A9C4-F22D0DD8C600}">
  <sheetPr>
    <tabColor theme="8"/>
  </sheetPr>
  <dimension ref="A1:K13"/>
  <sheetViews>
    <sheetView workbookViewId="0">
      <selection activeCell="I10" sqref="I10"/>
    </sheetView>
  </sheetViews>
  <sheetFormatPr baseColWidth="10" defaultRowHeight="43" customHeight="1" x14ac:dyDescent="0.2"/>
  <cols>
    <col min="1" max="1" width="19.5" customWidth="1"/>
    <col min="2" max="6" width="13.83203125" customWidth="1"/>
    <col min="7" max="10" width="17.6640625" customWidth="1"/>
    <col min="11" max="11" width="17.5" customWidth="1"/>
  </cols>
  <sheetData>
    <row r="1" spans="1:11" ht="17" thickBot="1" x14ac:dyDescent="0.25">
      <c r="A1" s="138" t="str">
        <f>DataT8d!B3</f>
        <v xml:space="preserve">Table 8d. Price index Growth  MER $ by World Regions (1980-2025) </v>
      </c>
      <c r="B1" s="139"/>
      <c r="C1" s="139"/>
      <c r="D1" s="139"/>
      <c r="E1" s="139"/>
      <c r="F1" s="139"/>
      <c r="G1" s="139"/>
      <c r="H1" s="139"/>
      <c r="I1" s="139"/>
      <c r="J1" s="139"/>
      <c r="K1" s="140"/>
    </row>
    <row r="2" spans="1:11" ht="35" thickBot="1" x14ac:dyDescent="0.25">
      <c r="A2" s="20"/>
      <c r="B2" s="1" t="str">
        <f>DataT8d!C4</f>
        <v>1800 Price index   ($)</v>
      </c>
      <c r="C2" s="1" t="str">
        <f>DataT8d!D4</f>
        <v>1980 Price index   ($)</v>
      </c>
      <c r="D2" s="1" t="str">
        <f>DataT8d!E4</f>
        <v>2000 Price index   ($)</v>
      </c>
      <c r="E2" s="1" t="str">
        <f>DataT8d!F4</f>
        <v>2020 Price index   ($)</v>
      </c>
      <c r="F2" s="1" t="str">
        <f>DataT8d!G4</f>
        <v>2025 Price index   ($)</v>
      </c>
      <c r="G2" s="1" t="str">
        <f>DataT8d!H4</f>
        <v>Annual growth rate 1800-2025</v>
      </c>
      <c r="H2" s="1" t="str">
        <f>DataT8d!I4</f>
        <v>Annual growth rate 1980-2025</v>
      </c>
      <c r="I2" s="1" t="str">
        <f>DataT8d!J4</f>
        <v>Annual growth rate 1980-2000</v>
      </c>
      <c r="J2" s="1" t="str">
        <f>DataT8d!K4</f>
        <v>Annual growth rate 2000-2025</v>
      </c>
      <c r="K2" s="1" t="str">
        <f>DataT8d!L4</f>
        <v>Annual growth rate 2020-2025</v>
      </c>
    </row>
    <row r="3" spans="1:11" ht="43" customHeight="1" thickBot="1" x14ac:dyDescent="0.25">
      <c r="A3" s="61" t="str">
        <f>DataT8d!B5</f>
        <v>East Asia</v>
      </c>
      <c r="B3" s="65">
        <f>DataT8d!C5</f>
        <v>1.8200267106294632E-2</v>
      </c>
      <c r="C3" s="65">
        <f>DataT8d!D5</f>
        <v>0.46355652809143066</v>
      </c>
      <c r="D3" s="65">
        <f>DataT8d!E5</f>
        <v>0.84461069107055664</v>
      </c>
      <c r="E3" s="65">
        <f>DataT8d!F5</f>
        <v>1.0294343233108521</v>
      </c>
      <c r="F3" s="65">
        <f>DataT8d!G5</f>
        <v>1</v>
      </c>
      <c r="G3" s="65">
        <f>DataT8d!H5</f>
        <v>1.7965332269668579</v>
      </c>
      <c r="H3" s="65">
        <f>DataT8d!I5</f>
        <v>1.7231826782226562</v>
      </c>
      <c r="I3" s="65">
        <f>DataT8d!J5</f>
        <v>3.0451827049255371</v>
      </c>
      <c r="J3" s="65">
        <f>DataT8d!K5</f>
        <v>0.67780470848083496</v>
      </c>
      <c r="K3" s="65">
        <f>DataT8d!L5</f>
        <v>-0.57850915193557739</v>
      </c>
    </row>
    <row r="4" spans="1:11" ht="43" customHeight="1" thickBot="1" x14ac:dyDescent="0.25">
      <c r="A4" s="61" t="str">
        <f>DataT8d!B6</f>
        <v>Europe</v>
      </c>
      <c r="B4" s="48">
        <f>DataT8d!C6</f>
        <v>2.5364294648170471E-2</v>
      </c>
      <c r="C4" s="48">
        <f>DataT8d!D6</f>
        <v>0.33403357863426208</v>
      </c>
      <c r="D4" s="48">
        <f>DataT8d!E6</f>
        <v>0.48533019423484802</v>
      </c>
      <c r="E4" s="48">
        <f>DataT8d!F6</f>
        <v>0.79334813356399536</v>
      </c>
      <c r="F4" s="48">
        <f>DataT8d!G6</f>
        <v>1</v>
      </c>
      <c r="G4" s="48">
        <f>DataT8d!H6</f>
        <v>1.6464798450469971</v>
      </c>
      <c r="H4" s="48">
        <f>DataT8d!I6</f>
        <v>2.4666273593902588</v>
      </c>
      <c r="I4" s="48">
        <f>DataT8d!J6</f>
        <v>1.8854948282241821</v>
      </c>
      <c r="J4" s="48">
        <f>DataT8d!K6</f>
        <v>2.9339189529418945</v>
      </c>
      <c r="K4" s="48">
        <f>DataT8d!L6</f>
        <v>4.7387142181396484</v>
      </c>
    </row>
    <row r="5" spans="1:11" ht="43" customHeight="1" thickBot="1" x14ac:dyDescent="0.25">
      <c r="A5" s="61" t="str">
        <f>DataT8d!B7</f>
        <v>Latin America</v>
      </c>
      <c r="B5" s="65">
        <f>DataT8d!C7</f>
        <v>2.4683171883225441E-2</v>
      </c>
      <c r="C5" s="65">
        <f>DataT8d!D7</f>
        <v>0.3352372944355011</v>
      </c>
      <c r="D5" s="65">
        <f>DataT8d!E7</f>
        <v>0.52162081003189087</v>
      </c>
      <c r="E5" s="65">
        <f>DataT8d!F7</f>
        <v>0.72255104780197144</v>
      </c>
      <c r="F5" s="65">
        <f>DataT8d!G7</f>
        <v>1</v>
      </c>
      <c r="G5" s="65">
        <f>DataT8d!H7</f>
        <v>1.6587779521942139</v>
      </c>
      <c r="H5" s="65">
        <f>DataT8d!I7</f>
        <v>2.4584369659423828</v>
      </c>
      <c r="I5" s="65">
        <f>DataT8d!J7</f>
        <v>2.2351243495941162</v>
      </c>
      <c r="J5" s="65">
        <f>DataT8d!K7</f>
        <v>2.6374382972717285</v>
      </c>
      <c r="K5" s="65">
        <f>DataT8d!L7</f>
        <v>6.7152023315429688</v>
      </c>
    </row>
    <row r="6" spans="1:11" ht="43" customHeight="1" thickBot="1" x14ac:dyDescent="0.25">
      <c r="A6" s="21" t="str">
        <f>DataT8d!B8</f>
        <v>MENA</v>
      </c>
      <c r="B6" s="65">
        <f>DataT8d!C8</f>
        <v>2.3783335462212563E-2</v>
      </c>
      <c r="C6" s="65">
        <f>DataT8d!D8</f>
        <v>0.40820714831352234</v>
      </c>
      <c r="D6" s="65">
        <f>DataT8d!E8</f>
        <v>0.46677982807159424</v>
      </c>
      <c r="E6" s="65">
        <f>DataT8d!F8</f>
        <v>0.75448137521743774</v>
      </c>
      <c r="F6" s="65">
        <f>DataT8d!G8</f>
        <v>1</v>
      </c>
      <c r="G6" s="65">
        <f>DataT8d!H8</f>
        <v>1.6755582094192505</v>
      </c>
      <c r="H6" s="65">
        <f>DataT8d!I8</f>
        <v>2.0110218524932861</v>
      </c>
      <c r="I6" s="65">
        <f>DataT8d!J8</f>
        <v>0.67266690731048584</v>
      </c>
      <c r="J6" s="65">
        <f>DataT8d!K8</f>
        <v>3.0945048332214355</v>
      </c>
      <c r="K6" s="65">
        <f>DataT8d!L8</f>
        <v>5.7962551116943359</v>
      </c>
    </row>
    <row r="7" spans="1:11" ht="43" customHeight="1" thickBot="1" x14ac:dyDescent="0.25">
      <c r="A7" s="21" t="str">
        <f>DataT8d!B9</f>
        <v>North America &amp; Oceania</v>
      </c>
      <c r="B7" s="65">
        <f>DataT8d!C9</f>
        <v>2.4340273812413216E-2</v>
      </c>
      <c r="C7" s="65">
        <f>DataT8d!D9</f>
        <v>0.30734053254127502</v>
      </c>
      <c r="D7" s="65">
        <f>DataT8d!E9</f>
        <v>0.55171990394592285</v>
      </c>
      <c r="E7" s="65">
        <f>DataT8d!F9</f>
        <v>0.81893175840377808</v>
      </c>
      <c r="F7" s="65">
        <f>DataT8d!G9</f>
        <v>1</v>
      </c>
      <c r="G7" s="65">
        <f>DataT8d!H9</f>
        <v>1.6650987863540649</v>
      </c>
      <c r="H7" s="65">
        <f>DataT8d!I9</f>
        <v>2.6564462184906006</v>
      </c>
      <c r="I7" s="65">
        <f>DataT8d!J9</f>
        <v>2.9686315059661865</v>
      </c>
      <c r="J7" s="65">
        <f>DataT8d!K9</f>
        <v>2.4073796272277832</v>
      </c>
      <c r="K7" s="65">
        <f>DataT8d!L9</f>
        <v>4.0759677886962891</v>
      </c>
    </row>
    <row r="8" spans="1:11" ht="43" customHeight="1" thickBot="1" x14ac:dyDescent="0.25">
      <c r="A8" s="21" t="str">
        <f>DataT8d!B10</f>
        <v>Russia &amp; Central Asia</v>
      </c>
      <c r="B8" s="65">
        <f>DataT8d!C10</f>
        <v>4.2253028601408005E-2</v>
      </c>
      <c r="C8" s="65">
        <f>DataT8d!D10</f>
        <v>0.46763047575950623</v>
      </c>
      <c r="D8" s="65">
        <f>DataT8d!E10</f>
        <v>0.20404312014579773</v>
      </c>
      <c r="E8" s="65">
        <f>DataT8d!F10</f>
        <v>0.64030182361602783</v>
      </c>
      <c r="F8" s="65">
        <f>DataT8d!G10</f>
        <v>1</v>
      </c>
      <c r="G8" s="65">
        <f>DataT8d!H10</f>
        <v>1.4161916971206665</v>
      </c>
      <c r="H8" s="65">
        <f>DataT8d!I10</f>
        <v>1.7034050226211548</v>
      </c>
      <c r="I8" s="65">
        <f>DataT8d!J10</f>
        <v>-4.0619344711303711</v>
      </c>
      <c r="J8" s="65">
        <f>DataT8d!K10</f>
        <v>6.5641493797302246</v>
      </c>
      <c r="K8" s="65">
        <f>DataT8d!L10</f>
        <v>9.3258981704711914</v>
      </c>
    </row>
    <row r="9" spans="1:11" ht="43" customHeight="1" thickBot="1" x14ac:dyDescent="0.25">
      <c r="A9" s="21" t="str">
        <f>DataT8d!B11</f>
        <v>South &amp; South-East Asia</v>
      </c>
      <c r="B9" s="48">
        <f>DataT8d!C11</f>
        <v>3.9363693445920944E-2</v>
      </c>
      <c r="C9" s="48">
        <f>DataT8d!D11</f>
        <v>0.5000380277633667</v>
      </c>
      <c r="D9" s="48">
        <f>DataT8d!E11</f>
        <v>0.49794283509254456</v>
      </c>
      <c r="E9" s="48">
        <f>DataT8d!F11</f>
        <v>0.92043101787567139</v>
      </c>
      <c r="F9" s="48">
        <f>DataT8d!G11</f>
        <v>1</v>
      </c>
      <c r="G9" s="48">
        <f>DataT8d!H11</f>
        <v>1.448123574256897</v>
      </c>
      <c r="H9" s="48">
        <f>DataT8d!I11</f>
        <v>1.5520796775817871</v>
      </c>
      <c r="I9" s="48">
        <f>DataT8d!J11</f>
        <v>-2.099214494228363E-2</v>
      </c>
      <c r="J9" s="48">
        <f>DataT8d!K11</f>
        <v>2.8283388614654541</v>
      </c>
      <c r="K9" s="48">
        <f>DataT8d!L11</f>
        <v>1.6720899343490601</v>
      </c>
    </row>
    <row r="10" spans="1:11" ht="43" customHeight="1" thickBot="1" x14ac:dyDescent="0.25">
      <c r="A10" s="21" t="str">
        <f>DataT8d!B12</f>
        <v>Sub-Saharan Africa</v>
      </c>
      <c r="B10" s="48">
        <f>DataT8d!C12</f>
        <v>2.9020845890045166E-2</v>
      </c>
      <c r="C10" s="48">
        <f>DataT8d!D12</f>
        <v>0.82989060878753662</v>
      </c>
      <c r="D10" s="48">
        <f>DataT8d!E12</f>
        <v>0.39076685905456543</v>
      </c>
      <c r="E10" s="48">
        <f>DataT8d!F12</f>
        <v>0.81273472309112549</v>
      </c>
      <c r="F10" s="48">
        <f>DataT8d!G12</f>
        <v>1</v>
      </c>
      <c r="G10" s="48">
        <f>DataT8d!H12</f>
        <v>1.5856584310531616</v>
      </c>
      <c r="H10" s="48">
        <f>DataT8d!I12</f>
        <v>0.4152182936668396</v>
      </c>
      <c r="I10" s="48">
        <f>DataT8d!J12</f>
        <v>-3.695885181427002</v>
      </c>
      <c r="J10" s="48">
        <f>DataT8d!K12</f>
        <v>3.8301045894622803</v>
      </c>
      <c r="K10" s="48">
        <f>DataT8d!L12</f>
        <v>4.2342000007629395</v>
      </c>
    </row>
    <row r="11" spans="1:11" ht="43" customHeight="1" thickBot="1" x14ac:dyDescent="0.25">
      <c r="A11" s="22" t="str">
        <f>DataT8d!B13</f>
        <v>World</v>
      </c>
      <c r="B11" s="66">
        <f>DataT8d!C13</f>
        <v>2.5267582386732101E-2</v>
      </c>
      <c r="C11" s="66">
        <f>DataT8d!D13</f>
        <v>0.38213598728179932</v>
      </c>
      <c r="D11" s="66">
        <f>DataT8d!E13</f>
        <v>0.54745227098464966</v>
      </c>
      <c r="E11" s="66">
        <f>DataT8d!F13</f>
        <v>0.84951841831207275</v>
      </c>
      <c r="F11" s="66">
        <f>DataT8d!G13</f>
        <v>1</v>
      </c>
      <c r="G11" s="66">
        <f>DataT8d!H13</f>
        <v>1.6482057571411133</v>
      </c>
      <c r="H11" s="66">
        <f>DataT8d!I13</f>
        <v>2.1607437133789062</v>
      </c>
      <c r="I11" s="66">
        <f>DataT8d!J13</f>
        <v>1.8137458562850952</v>
      </c>
      <c r="J11" s="66">
        <f>DataT8d!K13</f>
        <v>2.4391932487487793</v>
      </c>
      <c r="K11" s="66">
        <f>DataT8d!L13</f>
        <v>3.3154900074005127</v>
      </c>
    </row>
    <row r="12" spans="1:11" ht="15" customHeight="1" x14ac:dyDescent="0.2">
      <c r="A12" s="173" t="s">
        <v>647</v>
      </c>
      <c r="B12" s="174"/>
      <c r="C12" s="174"/>
      <c r="D12" s="174"/>
      <c r="E12" s="174"/>
      <c r="F12" s="174"/>
      <c r="G12" s="174"/>
      <c r="H12" s="174"/>
      <c r="I12" s="174"/>
      <c r="J12" s="174"/>
      <c r="K12" s="175"/>
    </row>
    <row r="13" spans="1:11" ht="16" thickBot="1" x14ac:dyDescent="0.25">
      <c r="A13" s="176"/>
      <c r="B13" s="177"/>
      <c r="C13" s="177"/>
      <c r="D13" s="177"/>
      <c r="E13" s="177"/>
      <c r="F13" s="177"/>
      <c r="G13" s="177"/>
      <c r="H13" s="177"/>
      <c r="I13" s="177"/>
      <c r="J13" s="177"/>
      <c r="K13" s="178"/>
    </row>
  </sheetData>
  <mergeCells count="2">
    <mergeCell ref="A1:K1"/>
    <mergeCell ref="A12:K1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8931F-83A8-864F-BB3A-6F4D3A9E84E6}">
  <sheetPr>
    <tabColor theme="8"/>
  </sheetPr>
  <dimension ref="A1:L62"/>
  <sheetViews>
    <sheetView workbookViewId="0">
      <pane ySplit="2" topLeftCell="A3" activePane="bottomLeft" state="frozen"/>
      <selection pane="bottomLeft" activeCell="M24" sqref="M24"/>
    </sheetView>
  </sheetViews>
  <sheetFormatPr baseColWidth="10" defaultRowHeight="32" customHeight="1" x14ac:dyDescent="0.2"/>
  <cols>
    <col min="1" max="1" width="15.5" customWidth="1"/>
    <col min="2" max="2" width="19.33203125" customWidth="1"/>
    <col min="3" max="7" width="15.6640625" customWidth="1"/>
    <col min="8" max="11" width="17.6640625" customWidth="1"/>
    <col min="12" max="12" width="17.1640625" customWidth="1"/>
  </cols>
  <sheetData>
    <row r="1" spans="1:12" ht="17" thickBot="1" x14ac:dyDescent="0.25">
      <c r="A1" s="182" t="str">
        <f>DataT9!B3</f>
        <v xml:space="preserve">Table 9. Price index Growth  €  by Core countries (1980-2025) </v>
      </c>
      <c r="B1" s="183"/>
      <c r="C1" s="183"/>
      <c r="D1" s="183"/>
      <c r="E1" s="183"/>
      <c r="F1" s="183"/>
      <c r="G1" s="183"/>
      <c r="H1" s="183"/>
      <c r="I1" s="183"/>
      <c r="J1" s="183"/>
      <c r="K1" s="183"/>
      <c r="L1" s="183"/>
    </row>
    <row r="2" spans="1:12" ht="73" customHeight="1" thickBot="1" x14ac:dyDescent="0.25">
      <c r="A2" s="68" t="str">
        <f>DataT9!B4</f>
        <v>Region</v>
      </c>
      <c r="B2" s="1" t="str">
        <f>DataT9!C4</f>
        <v>Country</v>
      </c>
      <c r="C2" s="1" t="str">
        <f>DataT9!D4</f>
        <v>1800 Price index   (€)</v>
      </c>
      <c r="D2" s="1" t="str">
        <f>DataT9!E4</f>
        <v>1980 Price index   (€)</v>
      </c>
      <c r="E2" s="1" t="str">
        <f>DataT9!F4</f>
        <v>2000 Price index   (€)</v>
      </c>
      <c r="F2" s="1" t="str">
        <f>DataT9!G4</f>
        <v>2020 Price index   (€)</v>
      </c>
      <c r="G2" s="1" t="str">
        <f>DataT9!H4</f>
        <v>2025 Price index   (€)</v>
      </c>
      <c r="H2" s="1" t="str">
        <f>DataT9!I4</f>
        <v>Annual growth rate 1800-2025</v>
      </c>
      <c r="I2" s="1" t="str">
        <f>DataT9!J4</f>
        <v>Annual growth rate 1980-2025</v>
      </c>
      <c r="J2" s="1" t="str">
        <f>DataT9!K4</f>
        <v>Annual growth rate 1980-2000</v>
      </c>
      <c r="K2" s="1" t="str">
        <f>DataT9!L4</f>
        <v>Annual growth rate 2000-2025</v>
      </c>
      <c r="L2" s="1" t="str">
        <f>DataT9!M4</f>
        <v>Annual growth rate 2020-2025</v>
      </c>
    </row>
    <row r="3" spans="1:12" ht="18" thickBot="1" x14ac:dyDescent="0.25">
      <c r="A3" s="179" t="str">
        <f>DataT9!B5</f>
        <v>East Asia</v>
      </c>
      <c r="B3" s="1" t="str">
        <f>DataT9!C5</f>
        <v>Taiwan</v>
      </c>
      <c r="C3" s="80">
        <f>DataT9!D5</f>
        <v>1.5830443007871509E-3</v>
      </c>
      <c r="D3" s="80">
        <f>DataT9!E5</f>
        <v>0.3051515519618988</v>
      </c>
      <c r="E3" s="80">
        <f>DataT9!F5</f>
        <v>0.61442852020263672</v>
      </c>
      <c r="F3" s="80">
        <f>DataT9!G5</f>
        <v>0.83984190225601196</v>
      </c>
      <c r="G3" s="80">
        <f>DataT9!H5</f>
        <v>1</v>
      </c>
      <c r="H3" s="80">
        <f>DataT9!I5</f>
        <v>2.9074218273162842</v>
      </c>
      <c r="I3" s="80">
        <f>DataT9!J5</f>
        <v>2.6727535724639893</v>
      </c>
      <c r="J3" s="80">
        <f>DataT9!K5</f>
        <v>3.5613706111907959</v>
      </c>
      <c r="K3" s="80">
        <f>DataT9!L5</f>
        <v>1.9673529863357544</v>
      </c>
      <c r="L3" s="80">
        <f>DataT9!M5</f>
        <v>3.5524771213531494</v>
      </c>
    </row>
    <row r="4" spans="1:12" ht="18" thickBot="1" x14ac:dyDescent="0.25">
      <c r="A4" s="181"/>
      <c r="B4" s="1" t="str">
        <f>DataT9!C6</f>
        <v>Other East Asia</v>
      </c>
      <c r="C4" s="80">
        <f>DataT9!D6</f>
        <v>1.5510251978412271E-3</v>
      </c>
      <c r="D4" s="80">
        <f>DataT9!E6</f>
        <v>0.94521433115005493</v>
      </c>
      <c r="E4" s="80">
        <f>DataT9!F6</f>
        <v>0.91182869672775269</v>
      </c>
      <c r="F4" s="80">
        <f>DataT9!G6</f>
        <v>0.88764339685440063</v>
      </c>
      <c r="G4" s="80">
        <f>DataT9!H6</f>
        <v>1</v>
      </c>
      <c r="H4" s="80">
        <f>DataT9!I6</f>
        <v>2.9167678356170654</v>
      </c>
      <c r="I4" s="80">
        <f>DataT9!J6</f>
        <v>0.12528635561466217</v>
      </c>
      <c r="J4" s="80">
        <f>DataT9!K6</f>
        <v>-0.17963629961013794</v>
      </c>
      <c r="K4" s="80">
        <f>DataT9!L6</f>
        <v>0.36989498138427734</v>
      </c>
      <c r="L4" s="80">
        <f>DataT9!M6</f>
        <v>2.4123413562774658</v>
      </c>
    </row>
    <row r="5" spans="1:12" ht="18" thickBot="1" x14ac:dyDescent="0.25">
      <c r="A5" s="181"/>
      <c r="B5" s="1" t="str">
        <f>DataT9!C7</f>
        <v>Japan</v>
      </c>
      <c r="C5" s="80">
        <f>DataT9!D7</f>
        <v>1.5956746647134423E-3</v>
      </c>
      <c r="D5" s="80">
        <f>DataT9!E7</f>
        <v>0.30515158176422119</v>
      </c>
      <c r="E5" s="80">
        <f>DataT9!F7</f>
        <v>0.61442852020263672</v>
      </c>
      <c r="F5" s="80">
        <f>DataT9!G7</f>
        <v>0.83984196186065674</v>
      </c>
      <c r="G5" s="80">
        <f>DataT9!H7</f>
        <v>1</v>
      </c>
      <c r="H5" s="80">
        <f>DataT9!I7</f>
        <v>2.9037871360778809</v>
      </c>
      <c r="I5" s="80">
        <f>DataT9!J7</f>
        <v>2.6727533340454102</v>
      </c>
      <c r="J5" s="80">
        <f>DataT9!K7</f>
        <v>3.5613698959350586</v>
      </c>
      <c r="K5" s="80">
        <f>DataT9!L7</f>
        <v>1.9673529863357544</v>
      </c>
      <c r="L5" s="80">
        <f>DataT9!M7</f>
        <v>3.5524756908416748</v>
      </c>
    </row>
    <row r="6" spans="1:12" ht="18" thickBot="1" x14ac:dyDescent="0.25">
      <c r="A6" s="181"/>
      <c r="B6" s="1" t="str">
        <f>DataT9!C8</f>
        <v>South Korea</v>
      </c>
      <c r="C6" s="80">
        <f>DataT9!D8</f>
        <v>1.5910996589809656E-3</v>
      </c>
      <c r="D6" s="80">
        <f>DataT9!E8</f>
        <v>0.3051515519618988</v>
      </c>
      <c r="E6" s="80">
        <f>DataT9!F8</f>
        <v>0.61442857980728149</v>
      </c>
      <c r="F6" s="80">
        <f>DataT9!G8</f>
        <v>0.83984190225601196</v>
      </c>
      <c r="G6" s="80">
        <f>DataT9!H8</f>
        <v>1</v>
      </c>
      <c r="H6" s="80">
        <f>DataT9!I8</f>
        <v>2.9051003456115723</v>
      </c>
      <c r="I6" s="80">
        <f>DataT9!J8</f>
        <v>2.6727535724639893</v>
      </c>
      <c r="J6" s="80">
        <f>DataT9!K8</f>
        <v>3.5613710880279541</v>
      </c>
      <c r="K6" s="80">
        <f>DataT9!L8</f>
        <v>1.9673526287078857</v>
      </c>
      <c r="L6" s="80">
        <f>DataT9!M8</f>
        <v>3.5524771213531494</v>
      </c>
    </row>
    <row r="7" spans="1:12" ht="18" thickBot="1" x14ac:dyDescent="0.25">
      <c r="A7" s="180"/>
      <c r="B7" s="1" t="str">
        <f>DataT9!C9</f>
        <v>China</v>
      </c>
      <c r="C7" s="80">
        <f>DataT9!D9</f>
        <v>1.5273578464984894E-3</v>
      </c>
      <c r="D7" s="80">
        <f>DataT9!E9</f>
        <v>0.3051515519618988</v>
      </c>
      <c r="E7" s="80">
        <f>DataT9!F9</f>
        <v>0.61442852020263672</v>
      </c>
      <c r="F7" s="80">
        <f>DataT9!G9</f>
        <v>0.83984196186065674</v>
      </c>
      <c r="G7" s="80">
        <f>DataT9!H9</f>
        <v>1</v>
      </c>
      <c r="H7" s="80">
        <f>DataT9!I9</f>
        <v>2.9238014221191406</v>
      </c>
      <c r="I7" s="80">
        <f>DataT9!J9</f>
        <v>2.6727535724639893</v>
      </c>
      <c r="J7" s="80">
        <f>DataT9!K9</f>
        <v>3.5613706111907959</v>
      </c>
      <c r="K7" s="80">
        <f>DataT9!L9</f>
        <v>1.9673529863357544</v>
      </c>
      <c r="L7" s="80">
        <f>DataT9!M9</f>
        <v>3.5524756908416748</v>
      </c>
    </row>
    <row r="8" spans="1:12" ht="18" thickBot="1" x14ac:dyDescent="0.25">
      <c r="A8" s="179" t="str">
        <f>DataT9!B10</f>
        <v>Europe</v>
      </c>
      <c r="B8" s="1" t="str">
        <f>DataT9!C10</f>
        <v>Denmark</v>
      </c>
      <c r="C8" s="80">
        <f>DataT9!D10</f>
        <v>1.5665789833292365E-3</v>
      </c>
      <c r="D8" s="80">
        <f>DataT9!E10</f>
        <v>0.30515152215957642</v>
      </c>
      <c r="E8" s="80">
        <f>DataT9!F10</f>
        <v>0.61442857980728149</v>
      </c>
      <c r="F8" s="80">
        <f>DataT9!G10</f>
        <v>0.83984196186065674</v>
      </c>
      <c r="G8" s="80">
        <f>DataT9!H10</f>
        <v>1</v>
      </c>
      <c r="H8" s="80">
        <f>DataT9!I10</f>
        <v>2.9122037887573242</v>
      </c>
      <c r="I8" s="80">
        <f>DataT9!J10</f>
        <v>2.6727538108825684</v>
      </c>
      <c r="J8" s="80">
        <f>DataT9!K10</f>
        <v>3.5613715648651123</v>
      </c>
      <c r="K8" s="80">
        <f>DataT9!L10</f>
        <v>1.9673526287078857</v>
      </c>
      <c r="L8" s="80">
        <f>DataT9!M10</f>
        <v>3.5524756908416748</v>
      </c>
    </row>
    <row r="9" spans="1:12" ht="18" thickBot="1" x14ac:dyDescent="0.25">
      <c r="A9" s="181"/>
      <c r="B9" s="1" t="str">
        <f>DataT9!C11</f>
        <v>United Kingdom</v>
      </c>
      <c r="C9" s="80">
        <f>DataT9!D11</f>
        <v>1.6001269686967134E-3</v>
      </c>
      <c r="D9" s="80">
        <f>DataT9!E11</f>
        <v>0.3051515519618988</v>
      </c>
      <c r="E9" s="80">
        <f>DataT9!F11</f>
        <v>0.61442857980728149</v>
      </c>
      <c r="F9" s="80">
        <f>DataT9!G11</f>
        <v>0.83984196186065674</v>
      </c>
      <c r="G9" s="80">
        <f>DataT9!H11</f>
        <v>1</v>
      </c>
      <c r="H9" s="80">
        <f>DataT9!I11</f>
        <v>2.902512788772583</v>
      </c>
      <c r="I9" s="80">
        <f>DataT9!J11</f>
        <v>2.6727535724639893</v>
      </c>
      <c r="J9" s="80">
        <f>DataT9!K11</f>
        <v>3.5613710880279541</v>
      </c>
      <c r="K9" s="80">
        <f>DataT9!L11</f>
        <v>1.9673526287078857</v>
      </c>
      <c r="L9" s="80">
        <f>DataT9!M11</f>
        <v>3.5524756908416748</v>
      </c>
    </row>
    <row r="10" spans="1:12" ht="18" thickBot="1" x14ac:dyDescent="0.25">
      <c r="A10" s="181"/>
      <c r="B10" s="1" t="str">
        <f>DataT9!C12</f>
        <v>Netherlands</v>
      </c>
      <c r="C10" s="80">
        <f>DataT9!D12</f>
        <v>1.5919351717457175E-3</v>
      </c>
      <c r="D10" s="80">
        <f>DataT9!E12</f>
        <v>0.30515158176422119</v>
      </c>
      <c r="E10" s="80">
        <f>DataT9!F12</f>
        <v>0.61442857980728149</v>
      </c>
      <c r="F10" s="80">
        <f>DataT9!G12</f>
        <v>0.83984202146530151</v>
      </c>
      <c r="G10" s="80">
        <f>DataT9!H12</f>
        <v>1</v>
      </c>
      <c r="H10" s="80">
        <f>DataT9!I12</f>
        <v>2.904860258102417</v>
      </c>
      <c r="I10" s="80">
        <f>DataT9!J12</f>
        <v>2.6727533340454102</v>
      </c>
      <c r="J10" s="80">
        <f>DataT9!K12</f>
        <v>3.5613706111907959</v>
      </c>
      <c r="K10" s="80">
        <f>DataT9!L12</f>
        <v>1.9673526287078857</v>
      </c>
      <c r="L10" s="80">
        <f>DataT9!M12</f>
        <v>3.5524742603302002</v>
      </c>
    </row>
    <row r="11" spans="1:12" ht="35" thickBot="1" x14ac:dyDescent="0.25">
      <c r="A11" s="181"/>
      <c r="B11" s="1" t="str">
        <f>DataT9!C13</f>
        <v>Other Western Europe</v>
      </c>
      <c r="C11" s="80">
        <f>DataT9!D13</f>
        <v>1.7223377944901586E-3</v>
      </c>
      <c r="D11" s="80">
        <f>DataT9!E13</f>
        <v>0.30867776274681091</v>
      </c>
      <c r="E11" s="80">
        <f>DataT9!F13</f>
        <v>0.62191909551620483</v>
      </c>
      <c r="F11" s="80">
        <f>DataT9!G13</f>
        <v>0.83551514148712158</v>
      </c>
      <c r="G11" s="80">
        <f>DataT9!H13</f>
        <v>1</v>
      </c>
      <c r="H11" s="80">
        <f>DataT9!I13</f>
        <v>2.8688580989837646</v>
      </c>
      <c r="I11" s="80">
        <f>DataT9!J13</f>
        <v>2.6465425491333008</v>
      </c>
      <c r="J11" s="80">
        <f>DataT9!K13</f>
        <v>3.5646226406097412</v>
      </c>
      <c r="K11" s="80">
        <f>DataT9!L13</f>
        <v>1.917941689491272</v>
      </c>
      <c r="L11" s="80">
        <f>DataT9!M13</f>
        <v>3.65950608253479</v>
      </c>
    </row>
    <row r="12" spans="1:12" ht="18" thickBot="1" x14ac:dyDescent="0.25">
      <c r="A12" s="181"/>
      <c r="B12" s="1" t="str">
        <f>DataT9!C14</f>
        <v>Eastern Europe</v>
      </c>
      <c r="C12" s="80">
        <f>DataT9!D14</f>
        <v>1.7007744172587991E-3</v>
      </c>
      <c r="D12" s="80">
        <f>DataT9!E14</f>
        <v>0.30026364326477051</v>
      </c>
      <c r="E12" s="80">
        <f>DataT9!F14</f>
        <v>0.60869985818862915</v>
      </c>
      <c r="F12" s="80">
        <f>DataT9!G14</f>
        <v>0.83655232191085815</v>
      </c>
      <c r="G12" s="80">
        <f>DataT9!H14</f>
        <v>1</v>
      </c>
      <c r="H12" s="80">
        <f>DataT9!I14</f>
        <v>2.8746182918548584</v>
      </c>
      <c r="I12" s="80">
        <f>DataT9!J14</f>
        <v>2.7096028327941895</v>
      </c>
      <c r="J12" s="80">
        <f>DataT9!K14</f>
        <v>3.5964856147766113</v>
      </c>
      <c r="K12" s="80">
        <f>DataT9!L14</f>
        <v>2.0055663585662842</v>
      </c>
      <c r="L12" s="80">
        <f>DataT9!M14</f>
        <v>3.6337893009185791</v>
      </c>
    </row>
    <row r="13" spans="1:12" ht="18" thickBot="1" x14ac:dyDescent="0.25">
      <c r="A13" s="181"/>
      <c r="B13" s="1" t="str">
        <f>DataT9!C15</f>
        <v>Germany</v>
      </c>
      <c r="C13" s="80">
        <f>DataT9!D15</f>
        <v>1.5892994124442339E-3</v>
      </c>
      <c r="D13" s="80">
        <f>DataT9!E15</f>
        <v>0.30515152215957642</v>
      </c>
      <c r="E13" s="80">
        <f>DataT9!F15</f>
        <v>0.61442846059799194</v>
      </c>
      <c r="F13" s="80">
        <f>DataT9!G15</f>
        <v>0.83984196186065674</v>
      </c>
      <c r="G13" s="80">
        <f>DataT9!H15</f>
        <v>1</v>
      </c>
      <c r="H13" s="80">
        <f>DataT9!I15</f>
        <v>2.9056181907653809</v>
      </c>
      <c r="I13" s="80">
        <f>DataT9!J15</f>
        <v>2.6727538108825684</v>
      </c>
      <c r="J13" s="80">
        <f>DataT9!K15</f>
        <v>3.5613706111907959</v>
      </c>
      <c r="K13" s="80">
        <f>DataT9!L15</f>
        <v>1.967353343963623</v>
      </c>
      <c r="L13" s="80">
        <f>DataT9!M15</f>
        <v>3.5524756908416748</v>
      </c>
    </row>
    <row r="14" spans="1:12" ht="18" thickBot="1" x14ac:dyDescent="0.25">
      <c r="A14" s="181"/>
      <c r="B14" s="1" t="str">
        <f>DataT9!C16</f>
        <v>Norway</v>
      </c>
      <c r="C14" s="80">
        <f>DataT9!D16</f>
        <v>1.5646460233256221E-3</v>
      </c>
      <c r="D14" s="80">
        <f>DataT9!E16</f>
        <v>0.3051515519618988</v>
      </c>
      <c r="E14" s="80">
        <f>DataT9!F16</f>
        <v>0.61442852020263672</v>
      </c>
      <c r="F14" s="80">
        <f>DataT9!G16</f>
        <v>0.83984190225601196</v>
      </c>
      <c r="G14" s="80">
        <f>DataT9!H16</f>
        <v>1</v>
      </c>
      <c r="H14" s="80">
        <f>DataT9!I16</f>
        <v>2.9127686023712158</v>
      </c>
      <c r="I14" s="80">
        <f>DataT9!J16</f>
        <v>2.6727535724639893</v>
      </c>
      <c r="J14" s="80">
        <f>DataT9!K16</f>
        <v>3.5613706111907959</v>
      </c>
      <c r="K14" s="80">
        <f>DataT9!L16</f>
        <v>1.9673529863357544</v>
      </c>
      <c r="L14" s="80">
        <f>DataT9!M16</f>
        <v>3.5524771213531494</v>
      </c>
    </row>
    <row r="15" spans="1:12" ht="18" thickBot="1" x14ac:dyDescent="0.25">
      <c r="A15" s="181"/>
      <c r="B15" s="1" t="str">
        <f>DataT9!C17</f>
        <v>Sweden</v>
      </c>
      <c r="C15" s="80">
        <f>DataT9!D17</f>
        <v>1.561846467666328E-3</v>
      </c>
      <c r="D15" s="80">
        <f>DataT9!E17</f>
        <v>0.3051515519618988</v>
      </c>
      <c r="E15" s="80">
        <f>DataT9!F17</f>
        <v>0.61442857980728149</v>
      </c>
      <c r="F15" s="80">
        <f>DataT9!G17</f>
        <v>0.83984196186065674</v>
      </c>
      <c r="G15" s="80">
        <f>DataT9!H17</f>
        <v>1</v>
      </c>
      <c r="H15" s="80">
        <f>DataT9!I17</f>
        <v>2.9135878086090088</v>
      </c>
      <c r="I15" s="80">
        <f>DataT9!J17</f>
        <v>2.6727535724639893</v>
      </c>
      <c r="J15" s="80">
        <f>DataT9!K17</f>
        <v>3.5613710880279541</v>
      </c>
      <c r="K15" s="80">
        <f>DataT9!L17</f>
        <v>1.9673526287078857</v>
      </c>
      <c r="L15" s="80">
        <f>DataT9!M17</f>
        <v>3.5524756908416748</v>
      </c>
    </row>
    <row r="16" spans="1:12" ht="18" thickBot="1" x14ac:dyDescent="0.25">
      <c r="A16" s="181"/>
      <c r="B16" s="1" t="str">
        <f>DataT9!C18</f>
        <v>France</v>
      </c>
      <c r="C16" s="80">
        <f>DataT9!D18</f>
        <v>1.5609944239258766E-3</v>
      </c>
      <c r="D16" s="80">
        <f>DataT9!E18</f>
        <v>0.30515158176422119</v>
      </c>
      <c r="E16" s="80">
        <f>DataT9!F18</f>
        <v>0.61442857980728149</v>
      </c>
      <c r="F16" s="80">
        <f>DataT9!G18</f>
        <v>0.83984202146530151</v>
      </c>
      <c r="G16" s="80">
        <f>DataT9!H18</f>
        <v>1</v>
      </c>
      <c r="H16" s="80">
        <f>DataT9!I18</f>
        <v>2.913837194442749</v>
      </c>
      <c r="I16" s="80">
        <f>DataT9!J18</f>
        <v>2.6727533340454102</v>
      </c>
      <c r="J16" s="80">
        <f>DataT9!K18</f>
        <v>3.5613706111907959</v>
      </c>
      <c r="K16" s="80">
        <f>DataT9!L18</f>
        <v>1.9673526287078857</v>
      </c>
      <c r="L16" s="80">
        <f>DataT9!M18</f>
        <v>3.5524742603302002</v>
      </c>
    </row>
    <row r="17" spans="1:12" ht="18" thickBot="1" x14ac:dyDescent="0.25">
      <c r="A17" s="181"/>
      <c r="B17" s="1" t="str">
        <f>DataT9!C19</f>
        <v>Italy</v>
      </c>
      <c r="C17" s="80">
        <f>DataT9!D19</f>
        <v>1.5736367786303163E-3</v>
      </c>
      <c r="D17" s="80">
        <f>DataT9!E19</f>
        <v>0.3051515519618988</v>
      </c>
      <c r="E17" s="80">
        <f>DataT9!F19</f>
        <v>0.61442852020263672</v>
      </c>
      <c r="F17" s="80">
        <f>DataT9!G19</f>
        <v>0.83984196186065674</v>
      </c>
      <c r="G17" s="80">
        <f>DataT9!H19</f>
        <v>1</v>
      </c>
      <c r="H17" s="80">
        <f>DataT9!I19</f>
        <v>2.9101479053497314</v>
      </c>
      <c r="I17" s="80">
        <f>DataT9!J19</f>
        <v>2.6727535724639893</v>
      </c>
      <c r="J17" s="80">
        <f>DataT9!K19</f>
        <v>3.5613706111907959</v>
      </c>
      <c r="K17" s="80">
        <f>DataT9!L19</f>
        <v>1.9673529863357544</v>
      </c>
      <c r="L17" s="80">
        <f>DataT9!M19</f>
        <v>3.5524756908416748</v>
      </c>
    </row>
    <row r="18" spans="1:12" ht="18" thickBot="1" x14ac:dyDescent="0.25">
      <c r="A18" s="180"/>
      <c r="B18" s="1" t="str">
        <f>DataT9!C20</f>
        <v>Spain</v>
      </c>
      <c r="C18" s="80">
        <f>DataT9!D20</f>
        <v>1.5874695964157581E-3</v>
      </c>
      <c r="D18" s="80">
        <f>DataT9!E20</f>
        <v>0.30515158176422119</v>
      </c>
      <c r="E18" s="80">
        <f>DataT9!F20</f>
        <v>0.61442857980728149</v>
      </c>
      <c r="F18" s="80">
        <f>DataT9!G20</f>
        <v>0.83984202146530151</v>
      </c>
      <c r="G18" s="80">
        <f>DataT9!H20</f>
        <v>1</v>
      </c>
      <c r="H18" s="80">
        <f>DataT9!I20</f>
        <v>2.9061450958251953</v>
      </c>
      <c r="I18" s="80">
        <f>DataT9!J20</f>
        <v>2.6727533340454102</v>
      </c>
      <c r="J18" s="80">
        <f>DataT9!K20</f>
        <v>3.5613706111907959</v>
      </c>
      <c r="K18" s="80">
        <f>DataT9!L20</f>
        <v>1.9673526287078857</v>
      </c>
      <c r="L18" s="80">
        <f>DataT9!M20</f>
        <v>3.5524742603302002</v>
      </c>
    </row>
    <row r="19" spans="1:12" ht="18" thickBot="1" x14ac:dyDescent="0.25">
      <c r="A19" s="179" t="str">
        <f>DataT9!B21</f>
        <v>Latin America</v>
      </c>
      <c r="B19" s="1" t="str">
        <f>DataT9!C21</f>
        <v>Mexico</v>
      </c>
      <c r="C19" s="80">
        <f>DataT9!D21</f>
        <v>1.6143149696290493E-3</v>
      </c>
      <c r="D19" s="80">
        <f>DataT9!E21</f>
        <v>0.3051515519618988</v>
      </c>
      <c r="E19" s="80">
        <f>DataT9!F21</f>
        <v>0.61442852020263672</v>
      </c>
      <c r="F19" s="80">
        <f>DataT9!G21</f>
        <v>0.83984190225601196</v>
      </c>
      <c r="G19" s="80">
        <f>DataT9!H21</f>
        <v>1</v>
      </c>
      <c r="H19" s="80">
        <f>DataT9!I21</f>
        <v>2.8984756469726562</v>
      </c>
      <c r="I19" s="80">
        <f>DataT9!J21</f>
        <v>2.6727535724639893</v>
      </c>
      <c r="J19" s="80">
        <f>DataT9!K21</f>
        <v>3.5613706111907959</v>
      </c>
      <c r="K19" s="80">
        <f>DataT9!L21</f>
        <v>1.9673529863357544</v>
      </c>
      <c r="L19" s="80">
        <f>DataT9!M21</f>
        <v>3.5524771213531494</v>
      </c>
    </row>
    <row r="20" spans="1:12" ht="18" thickBot="1" x14ac:dyDescent="0.25">
      <c r="A20" s="181"/>
      <c r="B20" s="1" t="str">
        <f>DataT9!C22</f>
        <v>Brazil</v>
      </c>
      <c r="C20" s="80">
        <f>DataT9!D22</f>
        <v>1.6312360530719161E-3</v>
      </c>
      <c r="D20" s="80">
        <f>DataT9!E22</f>
        <v>0.3051515519618988</v>
      </c>
      <c r="E20" s="80">
        <f>DataT9!F22</f>
        <v>0.61442852020263672</v>
      </c>
      <c r="F20" s="80">
        <f>DataT9!G22</f>
        <v>0.83984190225601196</v>
      </c>
      <c r="G20" s="80">
        <f>DataT9!H22</f>
        <v>1</v>
      </c>
      <c r="H20" s="80">
        <f>DataT9!I22</f>
        <v>2.8937070369720459</v>
      </c>
      <c r="I20" s="80">
        <f>DataT9!J22</f>
        <v>2.6727535724639893</v>
      </c>
      <c r="J20" s="80">
        <f>DataT9!K22</f>
        <v>3.5613706111907959</v>
      </c>
      <c r="K20" s="80">
        <f>DataT9!L22</f>
        <v>1.9673529863357544</v>
      </c>
      <c r="L20" s="80">
        <f>DataT9!M22</f>
        <v>3.5524771213531494</v>
      </c>
    </row>
    <row r="21" spans="1:12" ht="18" thickBot="1" x14ac:dyDescent="0.25">
      <c r="A21" s="181"/>
      <c r="B21" s="1" t="str">
        <f>DataT9!C23</f>
        <v>Chile</v>
      </c>
      <c r="C21" s="80">
        <f>DataT9!D23</f>
        <v>1.6360345762223005E-3</v>
      </c>
      <c r="D21" s="80">
        <f>DataT9!E23</f>
        <v>0.3051515519618988</v>
      </c>
      <c r="E21" s="80">
        <f>DataT9!F23</f>
        <v>0.61442852020263672</v>
      </c>
      <c r="F21" s="80">
        <f>DataT9!G23</f>
        <v>0.83984190225601196</v>
      </c>
      <c r="G21" s="80">
        <f>DataT9!H23</f>
        <v>1</v>
      </c>
      <c r="H21" s="80">
        <f>DataT9!I23</f>
        <v>2.8923637866973877</v>
      </c>
      <c r="I21" s="80">
        <f>DataT9!J23</f>
        <v>2.6727535724639893</v>
      </c>
      <c r="J21" s="80">
        <f>DataT9!K23</f>
        <v>3.5613706111907959</v>
      </c>
      <c r="K21" s="80">
        <f>DataT9!L23</f>
        <v>1.9673529863357544</v>
      </c>
      <c r="L21" s="80">
        <f>DataT9!M23</f>
        <v>3.5524771213531494</v>
      </c>
    </row>
    <row r="22" spans="1:12" ht="18" thickBot="1" x14ac:dyDescent="0.25">
      <c r="A22" s="181"/>
      <c r="B22" s="1" t="str">
        <f>DataT9!C24</f>
        <v>Other Latin America</v>
      </c>
      <c r="C22" s="80">
        <f>DataT9!D24</f>
        <v>1.5958268195390701E-3</v>
      </c>
      <c r="D22" s="80">
        <f>DataT9!E24</f>
        <v>0.27937924861907959</v>
      </c>
      <c r="E22" s="80">
        <f>DataT9!F24</f>
        <v>0.5718768835067749</v>
      </c>
      <c r="F22" s="80">
        <f>DataT9!G24</f>
        <v>0.82461261749267578</v>
      </c>
      <c r="G22" s="80">
        <f>DataT9!H24</f>
        <v>1</v>
      </c>
      <c r="H22" s="80">
        <f>DataT9!I24</f>
        <v>2.9037435054779053</v>
      </c>
      <c r="I22" s="80">
        <f>DataT9!J24</f>
        <v>2.8742771148681641</v>
      </c>
      <c r="J22" s="80">
        <f>DataT9!K24</f>
        <v>3.6466858386993408</v>
      </c>
      <c r="K22" s="80">
        <f>DataT9!L24</f>
        <v>2.2604968547821045</v>
      </c>
      <c r="L22" s="80">
        <f>DataT9!M24</f>
        <v>3.9321722984313965</v>
      </c>
    </row>
    <row r="23" spans="1:12" ht="18" thickBot="1" x14ac:dyDescent="0.25">
      <c r="A23" s="181"/>
      <c r="B23" s="1" t="str">
        <f>DataT9!C25</f>
        <v>Argentina</v>
      </c>
      <c r="C23" s="80">
        <f>DataT9!D25</f>
        <v>2.1459544077515602E-3</v>
      </c>
      <c r="D23" s="80">
        <f>DataT9!E25</f>
        <v>0.3051515519618988</v>
      </c>
      <c r="E23" s="80">
        <f>DataT9!F25</f>
        <v>0.61442863941192627</v>
      </c>
      <c r="F23" s="80">
        <f>DataT9!G25</f>
        <v>0.83984190225601196</v>
      </c>
      <c r="G23" s="80">
        <f>DataT9!H25</f>
        <v>1</v>
      </c>
      <c r="H23" s="80">
        <f>DataT9!I25</f>
        <v>2.768369197845459</v>
      </c>
      <c r="I23" s="80">
        <f>DataT9!J25</f>
        <v>2.6727535724639893</v>
      </c>
      <c r="J23" s="80">
        <f>DataT9!K25</f>
        <v>3.5613715648651123</v>
      </c>
      <c r="K23" s="80">
        <f>DataT9!L25</f>
        <v>1.9673521518707275</v>
      </c>
      <c r="L23" s="80">
        <f>DataT9!M25</f>
        <v>3.5524771213531494</v>
      </c>
    </row>
    <row r="24" spans="1:12" ht="18" thickBot="1" x14ac:dyDescent="0.25">
      <c r="A24" s="180"/>
      <c r="B24" s="1" t="str">
        <f>DataT9!C26</f>
        <v>Colombia</v>
      </c>
      <c r="C24" s="80">
        <f>DataT9!D26</f>
        <v>1.6265356680378318E-3</v>
      </c>
      <c r="D24" s="80">
        <f>DataT9!E26</f>
        <v>0.30515158176422119</v>
      </c>
      <c r="E24" s="80">
        <f>DataT9!F26</f>
        <v>0.61442857980728149</v>
      </c>
      <c r="F24" s="80">
        <f>DataT9!G26</f>
        <v>0.83984196186065674</v>
      </c>
      <c r="G24" s="80">
        <f>DataT9!H26</f>
        <v>1</v>
      </c>
      <c r="H24" s="80">
        <f>DataT9!I26</f>
        <v>2.895026683807373</v>
      </c>
      <c r="I24" s="80">
        <f>DataT9!J26</f>
        <v>2.6727533340454102</v>
      </c>
      <c r="J24" s="80">
        <f>DataT9!K26</f>
        <v>3.5613706111907959</v>
      </c>
      <c r="K24" s="80">
        <f>DataT9!L26</f>
        <v>1.9673526287078857</v>
      </c>
      <c r="L24" s="80">
        <f>DataT9!M26</f>
        <v>3.5524756908416748</v>
      </c>
    </row>
    <row r="25" spans="1:12" ht="35" thickBot="1" x14ac:dyDescent="0.25">
      <c r="A25" s="179" t="str">
        <f>DataT9!B27</f>
        <v>MENA</v>
      </c>
      <c r="B25" s="1" t="str">
        <f>DataT9!C27</f>
        <v>United Arab Emirates</v>
      </c>
      <c r="C25" s="80">
        <f>DataT9!D27</f>
        <v>1.5092360554262996E-3</v>
      </c>
      <c r="D25" s="80">
        <f>DataT9!E27</f>
        <v>0.30515152215957642</v>
      </c>
      <c r="E25" s="80">
        <f>DataT9!F27</f>
        <v>0.61442852020263672</v>
      </c>
      <c r="F25" s="80">
        <f>DataT9!G27</f>
        <v>0.83984178304672241</v>
      </c>
      <c r="G25" s="80">
        <f>DataT9!H27</f>
        <v>1</v>
      </c>
      <c r="H25" s="80">
        <f>DataT9!I27</f>
        <v>2.9292614459991455</v>
      </c>
      <c r="I25" s="80">
        <f>DataT9!J27</f>
        <v>2.6727538108825684</v>
      </c>
      <c r="J25" s="80">
        <f>DataT9!K27</f>
        <v>3.5613710880279541</v>
      </c>
      <c r="K25" s="80">
        <f>DataT9!L27</f>
        <v>1.9673529863357544</v>
      </c>
      <c r="L25" s="80">
        <f>DataT9!M27</f>
        <v>3.5524799823760986</v>
      </c>
    </row>
    <row r="26" spans="1:12" ht="18" thickBot="1" x14ac:dyDescent="0.25">
      <c r="A26" s="181"/>
      <c r="B26" s="1" t="str">
        <f>DataT9!C28</f>
        <v>Saudi Arabia</v>
      </c>
      <c r="C26" s="80">
        <f>DataT9!D28</f>
        <v>1.5032439259812236E-3</v>
      </c>
      <c r="D26" s="80">
        <f>DataT9!E28</f>
        <v>0.3051515519618988</v>
      </c>
      <c r="E26" s="80">
        <f>DataT9!F28</f>
        <v>0.61442852020263672</v>
      </c>
      <c r="F26" s="80">
        <f>DataT9!G28</f>
        <v>0.83984190225601196</v>
      </c>
      <c r="G26" s="80">
        <f>DataT9!H28</f>
        <v>1</v>
      </c>
      <c r="H26" s="80">
        <f>DataT9!I28</f>
        <v>2.9310815334320068</v>
      </c>
      <c r="I26" s="80">
        <f>DataT9!J28</f>
        <v>2.6727535724639893</v>
      </c>
      <c r="J26" s="80">
        <f>DataT9!K28</f>
        <v>3.5613706111907959</v>
      </c>
      <c r="K26" s="80">
        <f>DataT9!L28</f>
        <v>1.9673529863357544</v>
      </c>
      <c r="L26" s="80">
        <f>DataT9!M28</f>
        <v>3.5524771213531494</v>
      </c>
    </row>
    <row r="27" spans="1:12" ht="18" thickBot="1" x14ac:dyDescent="0.25">
      <c r="A27" s="181"/>
      <c r="B27" s="1" t="str">
        <f>DataT9!C29</f>
        <v>Algeria</v>
      </c>
      <c r="C27" s="80">
        <f>DataT9!D29</f>
        <v>1.5457540284842253E-3</v>
      </c>
      <c r="D27" s="80">
        <f>DataT9!E29</f>
        <v>0.30515158176422119</v>
      </c>
      <c r="E27" s="80">
        <f>DataT9!F29</f>
        <v>0.61442852020263672</v>
      </c>
      <c r="F27" s="80">
        <f>DataT9!G29</f>
        <v>0.83984202146530151</v>
      </c>
      <c r="G27" s="80">
        <f>DataT9!H29</f>
        <v>1</v>
      </c>
      <c r="H27" s="80">
        <f>DataT9!I29</f>
        <v>2.9183249473571777</v>
      </c>
      <c r="I27" s="80">
        <f>DataT9!J29</f>
        <v>2.6727533340454102</v>
      </c>
      <c r="J27" s="80">
        <f>DataT9!K29</f>
        <v>3.5613698959350586</v>
      </c>
      <c r="K27" s="80">
        <f>DataT9!L29</f>
        <v>1.9673529863357544</v>
      </c>
      <c r="L27" s="80">
        <f>DataT9!M29</f>
        <v>3.5524742603302002</v>
      </c>
    </row>
    <row r="28" spans="1:12" ht="18" thickBot="1" x14ac:dyDescent="0.25">
      <c r="A28" s="181"/>
      <c r="B28" s="1" t="str">
        <f>DataT9!C30</f>
        <v>Morocco</v>
      </c>
      <c r="C28" s="80">
        <f>DataT9!D30</f>
        <v>1.5725244302302599E-3</v>
      </c>
      <c r="D28" s="80">
        <f>DataT9!E30</f>
        <v>0.30515158176422119</v>
      </c>
      <c r="E28" s="80">
        <f>DataT9!F30</f>
        <v>0.61442857980728149</v>
      </c>
      <c r="F28" s="80">
        <f>DataT9!G30</f>
        <v>0.83984196186065674</v>
      </c>
      <c r="G28" s="80">
        <f>DataT9!H30</f>
        <v>1</v>
      </c>
      <c r="H28" s="80">
        <f>DataT9!I30</f>
        <v>2.9104712009429932</v>
      </c>
      <c r="I28" s="80">
        <f>DataT9!J30</f>
        <v>2.6727533340454102</v>
      </c>
      <c r="J28" s="80">
        <f>DataT9!K30</f>
        <v>3.5613706111907959</v>
      </c>
      <c r="K28" s="80">
        <f>DataT9!L30</f>
        <v>1.9673526287078857</v>
      </c>
      <c r="L28" s="80">
        <f>DataT9!M30</f>
        <v>3.5524756908416748</v>
      </c>
    </row>
    <row r="29" spans="1:12" ht="18" thickBot="1" x14ac:dyDescent="0.25">
      <c r="A29" s="181"/>
      <c r="B29" s="1" t="str">
        <f>DataT9!C31</f>
        <v>Iran</v>
      </c>
      <c r="C29" s="80">
        <f>DataT9!D31</f>
        <v>2.3055972997099161E-3</v>
      </c>
      <c r="D29" s="80">
        <f>DataT9!E31</f>
        <v>0.30515158176422119</v>
      </c>
      <c r="E29" s="80">
        <f>DataT9!F31</f>
        <v>0.61442863941192627</v>
      </c>
      <c r="F29" s="80">
        <f>DataT9!G31</f>
        <v>0.83984202146530151</v>
      </c>
      <c r="G29" s="80">
        <f>DataT9!H31</f>
        <v>1</v>
      </c>
      <c r="H29" s="80">
        <f>DataT9!I31</f>
        <v>2.7356002330780029</v>
      </c>
      <c r="I29" s="80">
        <f>DataT9!J31</f>
        <v>2.6727533340454102</v>
      </c>
      <c r="J29" s="80">
        <f>DataT9!K31</f>
        <v>3.5613710880279541</v>
      </c>
      <c r="K29" s="80">
        <f>DataT9!L31</f>
        <v>1.9673521518707275</v>
      </c>
      <c r="L29" s="80">
        <f>DataT9!M31</f>
        <v>3.5524742603302002</v>
      </c>
    </row>
    <row r="30" spans="1:12" ht="18" thickBot="1" x14ac:dyDescent="0.25">
      <c r="A30" s="181"/>
      <c r="B30" s="1" t="str">
        <f>DataT9!C32</f>
        <v>Egypt</v>
      </c>
      <c r="C30" s="80">
        <f>DataT9!D32</f>
        <v>1.928027137182653E-3</v>
      </c>
      <c r="D30" s="80">
        <f>DataT9!E32</f>
        <v>0.3051515519618988</v>
      </c>
      <c r="E30" s="80">
        <f>DataT9!F32</f>
        <v>0.61442857980728149</v>
      </c>
      <c r="F30" s="80">
        <f>DataT9!G32</f>
        <v>0.83984196186065674</v>
      </c>
      <c r="G30" s="80">
        <f>DataT9!H32</f>
        <v>1</v>
      </c>
      <c r="H30" s="80">
        <f>DataT9!I32</f>
        <v>2.8172926902770996</v>
      </c>
      <c r="I30" s="80">
        <f>DataT9!J32</f>
        <v>2.6727535724639893</v>
      </c>
      <c r="J30" s="80">
        <f>DataT9!K32</f>
        <v>3.5613710880279541</v>
      </c>
      <c r="K30" s="80">
        <f>DataT9!L32</f>
        <v>1.9673526287078857</v>
      </c>
      <c r="L30" s="80">
        <f>DataT9!M32</f>
        <v>3.5524756908416748</v>
      </c>
    </row>
    <row r="31" spans="1:12" ht="18" thickBot="1" x14ac:dyDescent="0.25">
      <c r="A31" s="181"/>
      <c r="B31" s="1" t="str">
        <f>DataT9!C33</f>
        <v>Other MENA</v>
      </c>
      <c r="C31" s="80">
        <f>DataT9!D33</f>
        <v>1.5898804413154721E-3</v>
      </c>
      <c r="D31" s="80">
        <f>DataT9!E33</f>
        <v>0.36086258292198181</v>
      </c>
      <c r="E31" s="80">
        <f>DataT9!F33</f>
        <v>0.65877103805541992</v>
      </c>
      <c r="F31" s="80">
        <f>DataT9!G33</f>
        <v>0.84996521472930908</v>
      </c>
      <c r="G31" s="80">
        <f>DataT9!H33</f>
        <v>1</v>
      </c>
      <c r="H31" s="80">
        <f>DataT9!I33</f>
        <v>2.9054510593414307</v>
      </c>
      <c r="I31" s="80">
        <f>DataT9!J33</f>
        <v>2.2908642292022705</v>
      </c>
      <c r="J31" s="80">
        <f>DataT9!K33</f>
        <v>3.0551340579986572</v>
      </c>
      <c r="K31" s="80">
        <f>DataT9!L33</f>
        <v>1.6835312843322754</v>
      </c>
      <c r="L31" s="80">
        <f>DataT9!M33</f>
        <v>3.3046259880065918</v>
      </c>
    </row>
    <row r="32" spans="1:12" ht="18" thickBot="1" x14ac:dyDescent="0.25">
      <c r="A32" s="180"/>
      <c r="B32" s="1" t="str">
        <f>DataT9!C34</f>
        <v>Turkiye</v>
      </c>
      <c r="C32" s="80">
        <f>DataT9!D34</f>
        <v>2.1048614289611578E-3</v>
      </c>
      <c r="D32" s="80">
        <f>DataT9!E34</f>
        <v>0.30515158176422119</v>
      </c>
      <c r="E32" s="80">
        <f>DataT9!F34</f>
        <v>0.61442863941192627</v>
      </c>
      <c r="F32" s="80">
        <f>DataT9!G34</f>
        <v>0.83984202146530151</v>
      </c>
      <c r="G32" s="80">
        <f>DataT9!H34</f>
        <v>1</v>
      </c>
      <c r="H32" s="80">
        <f>DataT9!I34</f>
        <v>2.7772006988525391</v>
      </c>
      <c r="I32" s="80">
        <f>DataT9!J34</f>
        <v>2.6727533340454102</v>
      </c>
      <c r="J32" s="80">
        <f>DataT9!K34</f>
        <v>3.5613710880279541</v>
      </c>
      <c r="K32" s="80">
        <f>DataT9!L34</f>
        <v>1.9673521518707275</v>
      </c>
      <c r="L32" s="80">
        <f>DataT9!M34</f>
        <v>3.5524742603302002</v>
      </c>
    </row>
    <row r="33" spans="1:12" ht="18" thickBot="1" x14ac:dyDescent="0.25">
      <c r="A33" s="179" t="str">
        <f>DataT9!B35</f>
        <v>North America &amp; Oceania</v>
      </c>
      <c r="B33" s="1" t="str">
        <f>DataT9!C35</f>
        <v>Australia</v>
      </c>
      <c r="C33" s="80">
        <f>DataT9!D35</f>
        <v>1.5843040309846401E-3</v>
      </c>
      <c r="D33" s="80">
        <f>DataT9!E35</f>
        <v>0.30515152215957642</v>
      </c>
      <c r="E33" s="80">
        <f>DataT9!F35</f>
        <v>0.61442852020263672</v>
      </c>
      <c r="F33" s="80">
        <f>DataT9!G35</f>
        <v>0.83984196186065674</v>
      </c>
      <c r="G33" s="80">
        <f>DataT9!H35</f>
        <v>1</v>
      </c>
      <c r="H33" s="80">
        <f>DataT9!I35</f>
        <v>2.9070580005645752</v>
      </c>
      <c r="I33" s="80">
        <f>DataT9!J35</f>
        <v>2.6727538108825684</v>
      </c>
      <c r="J33" s="80">
        <f>DataT9!K35</f>
        <v>3.5613710880279541</v>
      </c>
      <c r="K33" s="80">
        <f>DataT9!L35</f>
        <v>1.9673529863357544</v>
      </c>
      <c r="L33" s="80">
        <f>DataT9!M35</f>
        <v>3.5524756908416748</v>
      </c>
    </row>
    <row r="34" spans="1:12" ht="18" thickBot="1" x14ac:dyDescent="0.25">
      <c r="A34" s="181"/>
      <c r="B34" s="1" t="str">
        <f>DataT9!C36</f>
        <v>USA</v>
      </c>
      <c r="C34" s="80">
        <f>DataT9!D36</f>
        <v>1.5866351313889027E-3</v>
      </c>
      <c r="D34" s="80">
        <f>DataT9!E36</f>
        <v>0.3051515519618988</v>
      </c>
      <c r="E34" s="80">
        <f>DataT9!F36</f>
        <v>0.61442857980728149</v>
      </c>
      <c r="F34" s="80">
        <f>DataT9!G36</f>
        <v>0.83984196186065674</v>
      </c>
      <c r="G34" s="80">
        <f>DataT9!H36</f>
        <v>1</v>
      </c>
      <c r="H34" s="80">
        <f>DataT9!I36</f>
        <v>2.9063854217529297</v>
      </c>
      <c r="I34" s="80">
        <f>DataT9!J36</f>
        <v>2.6727535724639893</v>
      </c>
      <c r="J34" s="80">
        <f>DataT9!K36</f>
        <v>3.5613710880279541</v>
      </c>
      <c r="K34" s="80">
        <f>DataT9!L36</f>
        <v>1.9673526287078857</v>
      </c>
      <c r="L34" s="80">
        <f>DataT9!M36</f>
        <v>3.5524756908416748</v>
      </c>
    </row>
    <row r="35" spans="1:12" ht="18" thickBot="1" x14ac:dyDescent="0.25">
      <c r="A35" s="181"/>
      <c r="B35" s="1" t="str">
        <f>DataT9!C37</f>
        <v>New Zealand</v>
      </c>
      <c r="C35" s="80">
        <f>DataT9!D37</f>
        <v>1.6032565617933869E-3</v>
      </c>
      <c r="D35" s="80">
        <f>DataT9!E37</f>
        <v>0.30515158176422119</v>
      </c>
      <c r="E35" s="80">
        <f>DataT9!F37</f>
        <v>0.61442857980728149</v>
      </c>
      <c r="F35" s="80">
        <f>DataT9!G37</f>
        <v>0.83984196186065674</v>
      </c>
      <c r="G35" s="80">
        <f>DataT9!H37</f>
        <v>1</v>
      </c>
      <c r="H35" s="80">
        <f>DataT9!I37</f>
        <v>2.9016191959381104</v>
      </c>
      <c r="I35" s="80">
        <f>DataT9!J37</f>
        <v>2.6727533340454102</v>
      </c>
      <c r="J35" s="80">
        <f>DataT9!K37</f>
        <v>3.5613706111907959</v>
      </c>
      <c r="K35" s="80">
        <f>DataT9!L37</f>
        <v>1.9673526287078857</v>
      </c>
      <c r="L35" s="80">
        <f>DataT9!M37</f>
        <v>3.5524756908416748</v>
      </c>
    </row>
    <row r="36" spans="1:12" ht="18" thickBot="1" x14ac:dyDescent="0.25">
      <c r="A36" s="181"/>
      <c r="B36" s="1" t="str">
        <f>DataT9!C38</f>
        <v>Canada</v>
      </c>
      <c r="C36" s="80">
        <f>DataT9!D38</f>
        <v>1.5822590794414282E-3</v>
      </c>
      <c r="D36" s="80">
        <f>DataT9!E38</f>
        <v>0.30515152215957642</v>
      </c>
      <c r="E36" s="80">
        <f>DataT9!F38</f>
        <v>0.61442857980728149</v>
      </c>
      <c r="F36" s="80">
        <f>DataT9!G38</f>
        <v>0.83984190225601196</v>
      </c>
      <c r="G36" s="80">
        <f>DataT9!H38</f>
        <v>1</v>
      </c>
      <c r="H36" s="80">
        <f>DataT9!I38</f>
        <v>2.9076485633850098</v>
      </c>
      <c r="I36" s="80">
        <f>DataT9!J38</f>
        <v>2.6727538108825684</v>
      </c>
      <c r="J36" s="80">
        <f>DataT9!K38</f>
        <v>3.5613715648651123</v>
      </c>
      <c r="K36" s="80">
        <f>DataT9!L38</f>
        <v>1.9673526287078857</v>
      </c>
      <c r="L36" s="80">
        <f>DataT9!M38</f>
        <v>3.5524771213531494</v>
      </c>
    </row>
    <row r="37" spans="1:12" ht="35" thickBot="1" x14ac:dyDescent="0.25">
      <c r="A37" s="180"/>
      <c r="B37" s="1" t="str">
        <f>DataT9!C39</f>
        <v>Other North America &amp; Oceania</v>
      </c>
      <c r="C37" s="80">
        <f>DataT9!D39</f>
        <v>1.5928191132843494E-3</v>
      </c>
      <c r="D37" s="80">
        <f>DataT9!E39</f>
        <v>0.28733617067337036</v>
      </c>
      <c r="E37" s="80">
        <f>DataT9!F39</f>
        <v>0.56538957357406616</v>
      </c>
      <c r="F37" s="80">
        <f>DataT9!G39</f>
        <v>0.8153766393661499</v>
      </c>
      <c r="G37" s="80">
        <f>DataT9!H39</f>
        <v>1</v>
      </c>
      <c r="H37" s="80">
        <f>DataT9!I39</f>
        <v>2.9046063423156738</v>
      </c>
      <c r="I37" s="80">
        <f>DataT9!J39</f>
        <v>2.8100974559783936</v>
      </c>
      <c r="J37" s="80">
        <f>DataT9!K39</f>
        <v>3.4422299861907959</v>
      </c>
      <c r="K37" s="80">
        <f>DataT9!L39</f>
        <v>2.3071739673614502</v>
      </c>
      <c r="L37" s="80">
        <f>DataT9!M39</f>
        <v>4.1665658950805664</v>
      </c>
    </row>
    <row r="38" spans="1:12" ht="18" thickBot="1" x14ac:dyDescent="0.25">
      <c r="A38" s="179" t="str">
        <f>DataT9!B40</f>
        <v>Russia &amp; Central Asia</v>
      </c>
      <c r="B38" s="1" t="str">
        <f>DataT9!C40</f>
        <v>Russia</v>
      </c>
      <c r="C38" s="80">
        <f>DataT9!D40</f>
        <v>1.6124194953590631E-3</v>
      </c>
      <c r="D38" s="80">
        <f>DataT9!E40</f>
        <v>0.3051515519618988</v>
      </c>
      <c r="E38" s="80">
        <f>DataT9!F40</f>
        <v>0.61442863941192627</v>
      </c>
      <c r="F38" s="80">
        <f>DataT9!G40</f>
        <v>0.83984196186065674</v>
      </c>
      <c r="G38" s="80">
        <f>DataT9!H40</f>
        <v>1</v>
      </c>
      <c r="H38" s="80">
        <f>DataT9!I40</f>
        <v>2.8990128040313721</v>
      </c>
      <c r="I38" s="80">
        <f>DataT9!J40</f>
        <v>2.6727535724639893</v>
      </c>
      <c r="J38" s="80">
        <f>DataT9!K40</f>
        <v>3.5613715648651123</v>
      </c>
      <c r="K38" s="80">
        <f>DataT9!L40</f>
        <v>1.9673521518707275</v>
      </c>
      <c r="L38" s="80">
        <f>DataT9!M40</f>
        <v>3.5524756908416748</v>
      </c>
    </row>
    <row r="39" spans="1:12" ht="35" thickBot="1" x14ac:dyDescent="0.25">
      <c r="A39" s="180"/>
      <c r="B39" s="1" t="str">
        <f>DataT9!C41</f>
        <v>Other Russia &amp; Central Asia</v>
      </c>
      <c r="C39" s="80">
        <f>DataT9!D41</f>
        <v>1.6215186333283782E-3</v>
      </c>
      <c r="D39" s="80">
        <f>DataT9!E41</f>
        <v>0.31158331036567688</v>
      </c>
      <c r="E39" s="80">
        <f>DataT9!F41</f>
        <v>0.62458509206771851</v>
      </c>
      <c r="F39" s="80">
        <f>DataT9!G41</f>
        <v>0.8447607159614563</v>
      </c>
      <c r="G39" s="80">
        <f>DataT9!H41</f>
        <v>1</v>
      </c>
      <c r="H39" s="80">
        <f>DataT9!I41</f>
        <v>2.8964393138885498</v>
      </c>
      <c r="I39" s="80">
        <f>DataT9!J41</f>
        <v>2.6251740455627441</v>
      </c>
      <c r="J39" s="80">
        <f>DataT9!K41</f>
        <v>3.5382621288299561</v>
      </c>
      <c r="K39" s="80">
        <f>DataT9!L41</f>
        <v>1.9005048274993896</v>
      </c>
      <c r="L39" s="80">
        <f>DataT9!M41</f>
        <v>3.4316036701202393</v>
      </c>
    </row>
    <row r="40" spans="1:12" ht="18" thickBot="1" x14ac:dyDescent="0.25">
      <c r="A40" s="179" t="str">
        <f>DataT9!B42</f>
        <v>South &amp; South-East Asia</v>
      </c>
      <c r="B40" s="1" t="str">
        <f>DataT9!C42</f>
        <v>Pakistan</v>
      </c>
      <c r="C40" s="80">
        <f>DataT9!D42</f>
        <v>1.6180804232135415E-3</v>
      </c>
      <c r="D40" s="80">
        <f>DataT9!E42</f>
        <v>0.30515158176422119</v>
      </c>
      <c r="E40" s="80">
        <f>DataT9!F42</f>
        <v>0.61442857980728149</v>
      </c>
      <c r="F40" s="80">
        <f>DataT9!G42</f>
        <v>0.83984196186065674</v>
      </c>
      <c r="G40" s="80">
        <f>DataT9!H42</f>
        <v>1</v>
      </c>
      <c r="H40" s="80">
        <f>DataT9!I42</f>
        <v>2.8974101543426514</v>
      </c>
      <c r="I40" s="80">
        <f>DataT9!J42</f>
        <v>2.6727533340454102</v>
      </c>
      <c r="J40" s="80">
        <f>DataT9!K42</f>
        <v>3.5613706111907959</v>
      </c>
      <c r="K40" s="80">
        <f>DataT9!L42</f>
        <v>1.9673526287078857</v>
      </c>
      <c r="L40" s="80">
        <f>DataT9!M42</f>
        <v>3.5524756908416748</v>
      </c>
    </row>
    <row r="41" spans="1:12" ht="18" thickBot="1" x14ac:dyDescent="0.25">
      <c r="A41" s="181"/>
      <c r="B41" s="1" t="str">
        <f>DataT9!C43</f>
        <v>Viet Nam</v>
      </c>
      <c r="C41" s="80">
        <f>DataT9!D43</f>
        <v>1.5942724421620369E-3</v>
      </c>
      <c r="D41" s="80">
        <f>DataT9!E43</f>
        <v>0.30515152215957642</v>
      </c>
      <c r="E41" s="80">
        <f>DataT9!F43</f>
        <v>0.61442857980728149</v>
      </c>
      <c r="F41" s="80">
        <f>DataT9!G43</f>
        <v>0.83984196186065674</v>
      </c>
      <c r="G41" s="80">
        <f>DataT9!H43</f>
        <v>1</v>
      </c>
      <c r="H41" s="80">
        <f>DataT9!I43</f>
        <v>2.9041893482208252</v>
      </c>
      <c r="I41" s="80">
        <f>DataT9!J43</f>
        <v>2.6727538108825684</v>
      </c>
      <c r="J41" s="80">
        <f>DataT9!K43</f>
        <v>3.5613715648651123</v>
      </c>
      <c r="K41" s="80">
        <f>DataT9!L43</f>
        <v>1.9673526287078857</v>
      </c>
      <c r="L41" s="80">
        <f>DataT9!M43</f>
        <v>3.5524756908416748</v>
      </c>
    </row>
    <row r="42" spans="1:12" ht="18" thickBot="1" x14ac:dyDescent="0.25">
      <c r="A42" s="181"/>
      <c r="B42" s="1" t="str">
        <f>DataT9!C44</f>
        <v>Bangladesh</v>
      </c>
      <c r="C42" s="80">
        <f>DataT9!D44</f>
        <v>1.6435246216133237E-3</v>
      </c>
      <c r="D42" s="80">
        <f>DataT9!E44</f>
        <v>0.30515158176422119</v>
      </c>
      <c r="E42" s="80">
        <f>DataT9!F44</f>
        <v>0.61442857980728149</v>
      </c>
      <c r="F42" s="80">
        <f>DataT9!G44</f>
        <v>0.83984202146530151</v>
      </c>
      <c r="G42" s="80">
        <f>DataT9!H44</f>
        <v>1</v>
      </c>
      <c r="H42" s="80">
        <f>DataT9!I44</f>
        <v>2.8902750015258789</v>
      </c>
      <c r="I42" s="80">
        <f>DataT9!J44</f>
        <v>2.6727533340454102</v>
      </c>
      <c r="J42" s="80">
        <f>DataT9!K44</f>
        <v>3.5613706111907959</v>
      </c>
      <c r="K42" s="80">
        <f>DataT9!L44</f>
        <v>1.9673526287078857</v>
      </c>
      <c r="L42" s="80">
        <f>DataT9!M44</f>
        <v>3.5524742603302002</v>
      </c>
    </row>
    <row r="43" spans="1:12" ht="18" thickBot="1" x14ac:dyDescent="0.25">
      <c r="A43" s="181"/>
      <c r="B43" s="1" t="str">
        <f>DataT9!C45</f>
        <v>Indonesia</v>
      </c>
      <c r="C43" s="80">
        <f>DataT9!D45</f>
        <v>1.5794177306815982E-3</v>
      </c>
      <c r="D43" s="80">
        <f>DataT9!E45</f>
        <v>0.3051515519618988</v>
      </c>
      <c r="E43" s="80">
        <f>DataT9!F45</f>
        <v>0.61442857980728149</v>
      </c>
      <c r="F43" s="80">
        <f>DataT9!G45</f>
        <v>0.83984202146530151</v>
      </c>
      <c r="G43" s="80">
        <f>DataT9!H45</f>
        <v>1</v>
      </c>
      <c r="H43" s="80">
        <f>DataT9!I45</f>
        <v>2.908470630645752</v>
      </c>
      <c r="I43" s="80">
        <f>DataT9!J45</f>
        <v>2.6727535724639893</v>
      </c>
      <c r="J43" s="80">
        <f>DataT9!K45</f>
        <v>3.5613710880279541</v>
      </c>
      <c r="K43" s="80">
        <f>DataT9!L45</f>
        <v>1.9673526287078857</v>
      </c>
      <c r="L43" s="80">
        <f>DataT9!M45</f>
        <v>3.5524742603302002</v>
      </c>
    </row>
    <row r="44" spans="1:12" ht="18" thickBot="1" x14ac:dyDescent="0.25">
      <c r="A44" s="181"/>
      <c r="B44" s="1" t="str">
        <f>DataT9!C46</f>
        <v>Philippines</v>
      </c>
      <c r="C44" s="80">
        <f>DataT9!D46</f>
        <v>1.5654101734980941E-3</v>
      </c>
      <c r="D44" s="80">
        <f>DataT9!E46</f>
        <v>0.3051515519618988</v>
      </c>
      <c r="E44" s="80">
        <f>DataT9!F46</f>
        <v>0.61442863941192627</v>
      </c>
      <c r="F44" s="80">
        <f>DataT9!G46</f>
        <v>0.83984202146530151</v>
      </c>
      <c r="G44" s="80">
        <f>DataT9!H46</f>
        <v>1</v>
      </c>
      <c r="H44" s="80">
        <f>DataT9!I46</f>
        <v>2.9125452041625977</v>
      </c>
      <c r="I44" s="80">
        <f>DataT9!J46</f>
        <v>2.6727535724639893</v>
      </c>
      <c r="J44" s="80">
        <f>DataT9!K46</f>
        <v>3.5613715648651123</v>
      </c>
      <c r="K44" s="80">
        <f>DataT9!L46</f>
        <v>1.9673521518707275</v>
      </c>
      <c r="L44" s="80">
        <f>DataT9!M46</f>
        <v>3.5524742603302002</v>
      </c>
    </row>
    <row r="45" spans="1:12" ht="18" thickBot="1" x14ac:dyDescent="0.25">
      <c r="A45" s="181"/>
      <c r="B45" s="1" t="str">
        <f>DataT9!C47</f>
        <v>Thailand</v>
      </c>
      <c r="C45" s="80">
        <f>DataT9!D47</f>
        <v>1.5298952348530293E-3</v>
      </c>
      <c r="D45" s="80">
        <f>DataT9!E47</f>
        <v>0.3051515519618988</v>
      </c>
      <c r="E45" s="80">
        <f>DataT9!F47</f>
        <v>0.61442852020263672</v>
      </c>
      <c r="F45" s="80">
        <f>DataT9!G47</f>
        <v>0.83984202146530151</v>
      </c>
      <c r="G45" s="80">
        <f>DataT9!H47</f>
        <v>1</v>
      </c>
      <c r="H45" s="80">
        <f>DataT9!I47</f>
        <v>2.9230422973632812</v>
      </c>
      <c r="I45" s="80">
        <f>DataT9!J47</f>
        <v>2.6727535724639893</v>
      </c>
      <c r="J45" s="80">
        <f>DataT9!K47</f>
        <v>3.5613706111907959</v>
      </c>
      <c r="K45" s="80">
        <f>DataT9!L47</f>
        <v>1.9673529863357544</v>
      </c>
      <c r="L45" s="80">
        <f>DataT9!M47</f>
        <v>3.5524742603302002</v>
      </c>
    </row>
    <row r="46" spans="1:12" ht="35" thickBot="1" x14ac:dyDescent="0.25">
      <c r="A46" s="181"/>
      <c r="B46" s="1" t="str">
        <f>DataT9!C48</f>
        <v>Other South &amp; South-East Asia</v>
      </c>
      <c r="C46" s="80">
        <f>DataT9!D48</f>
        <v>1.6182649414986372E-3</v>
      </c>
      <c r="D46" s="80">
        <f>DataT9!E48</f>
        <v>0.34603416919708252</v>
      </c>
      <c r="E46" s="80">
        <f>DataT9!F48</f>
        <v>0.60797756910324097</v>
      </c>
      <c r="F46" s="80">
        <f>DataT9!G48</f>
        <v>0.83605450391769409</v>
      </c>
      <c r="G46" s="80">
        <f>DataT9!H48</f>
        <v>1</v>
      </c>
      <c r="H46" s="80">
        <f>DataT9!I48</f>
        <v>2.8973579406738281</v>
      </c>
      <c r="I46" s="80">
        <f>DataT9!J48</f>
        <v>2.3862886428833008</v>
      </c>
      <c r="J46" s="80">
        <f>DataT9!K48</f>
        <v>2.8580837249755859</v>
      </c>
      <c r="K46" s="80">
        <f>DataT9!L48</f>
        <v>2.0104110240936279</v>
      </c>
      <c r="L46" s="80">
        <f>DataT9!M48</f>
        <v>3.6461279392242432</v>
      </c>
    </row>
    <row r="47" spans="1:12" ht="18" thickBot="1" x14ac:dyDescent="0.25">
      <c r="A47" s="181"/>
      <c r="B47" s="1" t="str">
        <f>DataT9!C49</f>
        <v>India</v>
      </c>
      <c r="C47" s="80">
        <f>DataT9!D49</f>
        <v>1.5618226025253534E-3</v>
      </c>
      <c r="D47" s="80">
        <f>DataT9!E49</f>
        <v>0.30515158176422119</v>
      </c>
      <c r="E47" s="80">
        <f>DataT9!F49</f>
        <v>0.61442857980728149</v>
      </c>
      <c r="F47" s="80">
        <f>DataT9!G49</f>
        <v>0.83984196186065674</v>
      </c>
      <c r="G47" s="80">
        <f>DataT9!H49</f>
        <v>1</v>
      </c>
      <c r="H47" s="80">
        <f>DataT9!I49</f>
        <v>2.9135947227478027</v>
      </c>
      <c r="I47" s="80">
        <f>DataT9!J49</f>
        <v>2.6727533340454102</v>
      </c>
      <c r="J47" s="80">
        <f>DataT9!K49</f>
        <v>3.5613706111907959</v>
      </c>
      <c r="K47" s="80">
        <f>DataT9!L49</f>
        <v>1.9673526287078857</v>
      </c>
      <c r="L47" s="80">
        <f>DataT9!M49</f>
        <v>3.5524756908416748</v>
      </c>
    </row>
    <row r="48" spans="1:12" ht="18" thickBot="1" x14ac:dyDescent="0.25">
      <c r="A48" s="180"/>
      <c r="B48" s="1" t="str">
        <f>DataT9!C50</f>
        <v>Myanmar</v>
      </c>
      <c r="C48" s="80">
        <f>DataT9!D50</f>
        <v>1.6894431319087744E-3</v>
      </c>
      <c r="D48" s="80">
        <f>DataT9!E50</f>
        <v>0.3051515519618988</v>
      </c>
      <c r="E48" s="80">
        <f>DataT9!F50</f>
        <v>0.61442857980728149</v>
      </c>
      <c r="F48" s="80">
        <f>DataT9!G50</f>
        <v>0.83984190225601196</v>
      </c>
      <c r="G48" s="80">
        <f>DataT9!H50</f>
        <v>1</v>
      </c>
      <c r="H48" s="80">
        <f>DataT9!I50</f>
        <v>2.8776748180389404</v>
      </c>
      <c r="I48" s="80">
        <f>DataT9!J50</f>
        <v>2.6727535724639893</v>
      </c>
      <c r="J48" s="80">
        <f>DataT9!K50</f>
        <v>3.5613710880279541</v>
      </c>
      <c r="K48" s="80">
        <f>DataT9!L50</f>
        <v>1.9673526287078857</v>
      </c>
      <c r="L48" s="80">
        <f>DataT9!M50</f>
        <v>3.5524771213531494</v>
      </c>
    </row>
    <row r="49" spans="1:12" ht="35" thickBot="1" x14ac:dyDescent="0.25">
      <c r="A49" s="179" t="str">
        <f>DataT9!B51</f>
        <v>Sub-Saharan Africa</v>
      </c>
      <c r="B49" s="1" t="str">
        <f>DataT9!C51</f>
        <v>Other Sub-Saharan Africa</v>
      </c>
      <c r="C49" s="80">
        <f>DataT9!D51</f>
        <v>2.2855103015899658E-3</v>
      </c>
      <c r="D49" s="80">
        <f>DataT9!E51</f>
        <v>0.3252570629119873</v>
      </c>
      <c r="E49" s="80">
        <f>DataT9!F51</f>
        <v>0.51476478576660156</v>
      </c>
      <c r="F49" s="80">
        <f>DataT9!G51</f>
        <v>0.80061638355255127</v>
      </c>
      <c r="G49" s="80">
        <f>DataT9!H51</f>
        <v>1</v>
      </c>
      <c r="H49" s="80">
        <f>DataT9!I51</f>
        <v>2.7395956516265869</v>
      </c>
      <c r="I49" s="80">
        <f>DataT9!J51</f>
        <v>2.5272729396820068</v>
      </c>
      <c r="J49" s="80">
        <f>DataT9!K51</f>
        <v>2.3220198154449463</v>
      </c>
      <c r="K49" s="80">
        <f>DataT9!L51</f>
        <v>2.6917717456817627</v>
      </c>
      <c r="L49" s="80">
        <f>DataT9!M51</f>
        <v>4.5478496551513672</v>
      </c>
    </row>
    <row r="50" spans="1:12" ht="18" thickBot="1" x14ac:dyDescent="0.25">
      <c r="A50" s="181"/>
      <c r="B50" s="1" t="str">
        <f>DataT9!C52</f>
        <v>Niger</v>
      </c>
      <c r="C50" s="80">
        <f>DataT9!D52</f>
        <v>1.5199847985059023E-3</v>
      </c>
      <c r="D50" s="80">
        <f>DataT9!E52</f>
        <v>0.3051515519618988</v>
      </c>
      <c r="E50" s="80">
        <f>DataT9!F52</f>
        <v>0.61442852020263672</v>
      </c>
      <c r="F50" s="80">
        <f>DataT9!G52</f>
        <v>0.83984196186065674</v>
      </c>
      <c r="G50" s="80">
        <f>DataT9!H52</f>
        <v>1</v>
      </c>
      <c r="H50" s="80">
        <f>DataT9!I52</f>
        <v>2.9260151386260986</v>
      </c>
      <c r="I50" s="80">
        <f>DataT9!J52</f>
        <v>2.6727535724639893</v>
      </c>
      <c r="J50" s="80">
        <f>DataT9!K52</f>
        <v>3.5613706111907959</v>
      </c>
      <c r="K50" s="80">
        <f>DataT9!L52</f>
        <v>1.9673529863357544</v>
      </c>
      <c r="L50" s="80">
        <f>DataT9!M52</f>
        <v>3.5524756908416748</v>
      </c>
    </row>
    <row r="51" spans="1:12" ht="18" thickBot="1" x14ac:dyDescent="0.25">
      <c r="A51" s="181"/>
      <c r="B51" s="1" t="str">
        <f>DataT9!C53</f>
        <v>DR Congo</v>
      </c>
      <c r="C51" s="80">
        <f>DataT9!D53</f>
        <v>1.6739633865654469E-3</v>
      </c>
      <c r="D51" s="80">
        <f>DataT9!E53</f>
        <v>0.3051515519618988</v>
      </c>
      <c r="E51" s="80">
        <f>DataT9!F53</f>
        <v>0.61442857980728149</v>
      </c>
      <c r="F51" s="80">
        <f>DataT9!G53</f>
        <v>0.83984190225601196</v>
      </c>
      <c r="G51" s="80">
        <f>DataT9!H53</f>
        <v>1</v>
      </c>
      <c r="H51" s="80">
        <f>DataT9!I53</f>
        <v>2.8818836212158203</v>
      </c>
      <c r="I51" s="80">
        <f>DataT9!J53</f>
        <v>2.6727535724639893</v>
      </c>
      <c r="J51" s="80">
        <f>DataT9!K53</f>
        <v>3.5613710880279541</v>
      </c>
      <c r="K51" s="80">
        <f>DataT9!L53</f>
        <v>1.9673526287078857</v>
      </c>
      <c r="L51" s="80">
        <f>DataT9!M53</f>
        <v>3.5524771213531494</v>
      </c>
    </row>
    <row r="52" spans="1:12" ht="18" thickBot="1" x14ac:dyDescent="0.25">
      <c r="A52" s="181"/>
      <c r="B52" s="1" t="str">
        <f>DataT9!C54</f>
        <v>South Africa</v>
      </c>
      <c r="C52" s="80">
        <f>DataT9!D54</f>
        <v>1.5859086997807026E-3</v>
      </c>
      <c r="D52" s="80">
        <f>DataT9!E54</f>
        <v>0.3051515519618988</v>
      </c>
      <c r="E52" s="80">
        <f>DataT9!F54</f>
        <v>0.61442857980728149</v>
      </c>
      <c r="F52" s="80">
        <f>DataT9!G54</f>
        <v>0.83984196186065674</v>
      </c>
      <c r="G52" s="80">
        <f>DataT9!H54</f>
        <v>1</v>
      </c>
      <c r="H52" s="80">
        <f>DataT9!I54</f>
        <v>2.90659499168396</v>
      </c>
      <c r="I52" s="80">
        <f>DataT9!J54</f>
        <v>2.6727535724639893</v>
      </c>
      <c r="J52" s="80">
        <f>DataT9!K54</f>
        <v>3.5613710880279541</v>
      </c>
      <c r="K52" s="80">
        <f>DataT9!L54</f>
        <v>1.9673526287078857</v>
      </c>
      <c r="L52" s="80">
        <f>DataT9!M54</f>
        <v>3.5524756908416748</v>
      </c>
    </row>
    <row r="53" spans="1:12" ht="18" thickBot="1" x14ac:dyDescent="0.25">
      <c r="A53" s="181"/>
      <c r="B53" s="1" t="str">
        <f>DataT9!C55</f>
        <v>Rwanda</v>
      </c>
      <c r="C53" s="80">
        <f>DataT9!D55</f>
        <v>1.6521401703357697E-3</v>
      </c>
      <c r="D53" s="80">
        <f>DataT9!E55</f>
        <v>0.30515158176422119</v>
      </c>
      <c r="E53" s="80">
        <f>DataT9!F55</f>
        <v>0.61442852020263672</v>
      </c>
      <c r="F53" s="80">
        <f>DataT9!G55</f>
        <v>0.83984196186065674</v>
      </c>
      <c r="G53" s="80">
        <f>DataT9!H55</f>
        <v>1</v>
      </c>
      <c r="H53" s="80">
        <f>DataT9!I55</f>
        <v>2.8878841400146484</v>
      </c>
      <c r="I53" s="80">
        <f>DataT9!J55</f>
        <v>2.6727533340454102</v>
      </c>
      <c r="J53" s="80">
        <f>DataT9!K55</f>
        <v>3.5613698959350586</v>
      </c>
      <c r="K53" s="80">
        <f>DataT9!L55</f>
        <v>1.9673529863357544</v>
      </c>
      <c r="L53" s="80">
        <f>DataT9!M55</f>
        <v>3.5524756908416748</v>
      </c>
    </row>
    <row r="54" spans="1:12" ht="18" thickBot="1" x14ac:dyDescent="0.25">
      <c r="A54" s="181"/>
      <c r="B54" s="1" t="str">
        <f>DataT9!C56</f>
        <v>Kenya</v>
      </c>
      <c r="C54" s="80">
        <f>DataT9!D56</f>
        <v>1.5992993721738458E-3</v>
      </c>
      <c r="D54" s="80">
        <f>DataT9!E56</f>
        <v>0.30515152215957642</v>
      </c>
      <c r="E54" s="80">
        <f>DataT9!F56</f>
        <v>0.61442852020263672</v>
      </c>
      <c r="F54" s="80">
        <f>DataT9!G56</f>
        <v>0.83984190225601196</v>
      </c>
      <c r="G54" s="80">
        <f>DataT9!H56</f>
        <v>1</v>
      </c>
      <c r="H54" s="80">
        <f>DataT9!I56</f>
        <v>2.9027495384216309</v>
      </c>
      <c r="I54" s="80">
        <f>DataT9!J56</f>
        <v>2.6727538108825684</v>
      </c>
      <c r="J54" s="80">
        <f>DataT9!K56</f>
        <v>3.5613710880279541</v>
      </c>
      <c r="K54" s="80">
        <f>DataT9!L56</f>
        <v>1.9673529863357544</v>
      </c>
      <c r="L54" s="80">
        <f>DataT9!M56</f>
        <v>3.5524771213531494</v>
      </c>
    </row>
    <row r="55" spans="1:12" ht="18" thickBot="1" x14ac:dyDescent="0.25">
      <c r="A55" s="181"/>
      <c r="B55" s="1" t="str">
        <f>DataT9!C57</f>
        <v>Sudan</v>
      </c>
      <c r="C55" s="80">
        <f>DataT9!D57</f>
        <v>3.1430607195943594E-3</v>
      </c>
      <c r="D55" s="80">
        <f>DataT9!E57</f>
        <v>0.30515158176422119</v>
      </c>
      <c r="E55" s="80">
        <f>DataT9!F57</f>
        <v>0.61442857980728149</v>
      </c>
      <c r="F55" s="80">
        <f>DataT9!G57</f>
        <v>0.83984196186065674</v>
      </c>
      <c r="G55" s="80">
        <f>DataT9!H57</f>
        <v>1</v>
      </c>
      <c r="H55" s="80">
        <f>DataT9!I57</f>
        <v>2.5942158699035645</v>
      </c>
      <c r="I55" s="80">
        <f>DataT9!J57</f>
        <v>2.6727533340454102</v>
      </c>
      <c r="J55" s="80">
        <f>DataT9!K57</f>
        <v>3.5613706111907959</v>
      </c>
      <c r="K55" s="80">
        <f>DataT9!L57</f>
        <v>1.9673526287078857</v>
      </c>
      <c r="L55" s="80">
        <f>DataT9!M57</f>
        <v>3.5524756908416748</v>
      </c>
    </row>
    <row r="56" spans="1:12" ht="18" thickBot="1" x14ac:dyDescent="0.25">
      <c r="A56" s="181"/>
      <c r="B56" s="1" t="str">
        <f>DataT9!C58</f>
        <v>Ethiopia</v>
      </c>
      <c r="C56" s="80">
        <f>DataT9!D58</f>
        <v>1.8155100988224149E-3</v>
      </c>
      <c r="D56" s="80">
        <f>DataT9!E58</f>
        <v>0.3051515519618988</v>
      </c>
      <c r="E56" s="80">
        <f>DataT9!F58</f>
        <v>0.61442863941192627</v>
      </c>
      <c r="F56" s="80">
        <f>DataT9!G58</f>
        <v>0.83984190225601196</v>
      </c>
      <c r="G56" s="80">
        <f>DataT9!H58</f>
        <v>1</v>
      </c>
      <c r="H56" s="80">
        <f>DataT9!I58</f>
        <v>2.8447740077972412</v>
      </c>
      <c r="I56" s="80">
        <f>DataT9!J58</f>
        <v>2.6727535724639893</v>
      </c>
      <c r="J56" s="80">
        <f>DataT9!K58</f>
        <v>3.5613715648651123</v>
      </c>
      <c r="K56" s="80">
        <f>DataT9!L58</f>
        <v>1.9673521518707275</v>
      </c>
      <c r="L56" s="80">
        <f>DataT9!M58</f>
        <v>3.5524771213531494</v>
      </c>
    </row>
    <row r="57" spans="1:12" ht="18" thickBot="1" x14ac:dyDescent="0.25">
      <c r="A57" s="181"/>
      <c r="B57" s="1" t="str">
        <f>DataT9!C59</f>
        <v>Cote d’Ivoire</v>
      </c>
      <c r="C57" s="80">
        <f>DataT9!D59</f>
        <v>1.5752627514302731E-3</v>
      </c>
      <c r="D57" s="80">
        <f>DataT9!E59</f>
        <v>0.30515158176422119</v>
      </c>
      <c r="E57" s="80">
        <f>DataT9!F59</f>
        <v>0.61442852020263672</v>
      </c>
      <c r="F57" s="80">
        <f>DataT9!G59</f>
        <v>0.83984190225601196</v>
      </c>
      <c r="G57" s="80">
        <f>DataT9!H59</f>
        <v>1</v>
      </c>
      <c r="H57" s="80">
        <f>DataT9!I59</f>
        <v>2.9096755981445312</v>
      </c>
      <c r="I57" s="80">
        <f>DataT9!J59</f>
        <v>2.6727533340454102</v>
      </c>
      <c r="J57" s="80">
        <f>DataT9!K59</f>
        <v>3.5613698959350586</v>
      </c>
      <c r="K57" s="80">
        <f>DataT9!L59</f>
        <v>1.9673529863357544</v>
      </c>
      <c r="L57" s="80">
        <f>DataT9!M59</f>
        <v>3.5524771213531494</v>
      </c>
    </row>
    <row r="58" spans="1:12" ht="18" thickBot="1" x14ac:dyDescent="0.25">
      <c r="A58" s="181"/>
      <c r="B58" s="1" t="str">
        <f>DataT9!C60</f>
        <v>Mali</v>
      </c>
      <c r="C58" s="80">
        <f>DataT9!D60</f>
        <v>1.5814343933016062E-3</v>
      </c>
      <c r="D58" s="80">
        <f>DataT9!E60</f>
        <v>0.3051515519618988</v>
      </c>
      <c r="E58" s="80">
        <f>DataT9!F60</f>
        <v>0.61442857980728149</v>
      </c>
      <c r="F58" s="80">
        <f>DataT9!G60</f>
        <v>0.83984196186065674</v>
      </c>
      <c r="G58" s="80">
        <f>DataT9!H60</f>
        <v>1</v>
      </c>
      <c r="H58" s="80">
        <f>DataT9!I60</f>
        <v>2.9078872203826904</v>
      </c>
      <c r="I58" s="80">
        <f>DataT9!J60</f>
        <v>2.6727535724639893</v>
      </c>
      <c r="J58" s="80">
        <f>DataT9!K60</f>
        <v>3.5613710880279541</v>
      </c>
      <c r="K58" s="80">
        <f>DataT9!L60</f>
        <v>1.9673526287078857</v>
      </c>
      <c r="L58" s="80">
        <f>DataT9!M60</f>
        <v>3.5524756908416748</v>
      </c>
    </row>
    <row r="59" spans="1:12" ht="18" thickBot="1" x14ac:dyDescent="0.25">
      <c r="A59" s="180"/>
      <c r="B59" s="1" t="str">
        <f>DataT9!C61</f>
        <v>Nigeria</v>
      </c>
      <c r="C59" s="80">
        <f>DataT9!D61</f>
        <v>1.7566742608323693E-3</v>
      </c>
      <c r="D59" s="80">
        <f>DataT9!E61</f>
        <v>0.30515158176422119</v>
      </c>
      <c r="E59" s="80">
        <f>DataT9!F61</f>
        <v>0.61442857980728149</v>
      </c>
      <c r="F59" s="80">
        <f>DataT9!G61</f>
        <v>0.83984196186065674</v>
      </c>
      <c r="G59" s="80">
        <f>DataT9!H61</f>
        <v>1</v>
      </c>
      <c r="H59" s="80">
        <f>DataT9!I61</f>
        <v>2.8598334789276123</v>
      </c>
      <c r="I59" s="80">
        <f>DataT9!J61</f>
        <v>2.6727533340454102</v>
      </c>
      <c r="J59" s="80">
        <f>DataT9!K61</f>
        <v>3.5613706111907959</v>
      </c>
      <c r="K59" s="80">
        <f>DataT9!L61</f>
        <v>1.9673526287078857</v>
      </c>
      <c r="L59" s="80">
        <f>DataT9!M61</f>
        <v>3.5524756908416748</v>
      </c>
    </row>
    <row r="60" spans="1:12" ht="18" thickBot="1" x14ac:dyDescent="0.25">
      <c r="A60" s="74" t="str">
        <f>DataT9!B62</f>
        <v>World</v>
      </c>
      <c r="B60" s="74" t="str">
        <f>DataT9!C62</f>
        <v>World</v>
      </c>
      <c r="C60" s="81">
        <f>DataT9!D62</f>
        <v>1.628259546123445E-3</v>
      </c>
      <c r="D60" s="81">
        <f>DataT9!E62</f>
        <v>0.2837778627872467</v>
      </c>
      <c r="E60" s="81">
        <f>DataT9!F62</f>
        <v>0.53426247835159302</v>
      </c>
      <c r="F60" s="81">
        <f>DataT9!G62</f>
        <v>0.82272088527679443</v>
      </c>
      <c r="G60" s="81">
        <f>DataT9!H62</f>
        <v>1</v>
      </c>
      <c r="H60" s="81">
        <f>DataT9!I62</f>
        <v>2.8945422172546387</v>
      </c>
      <c r="I60" s="81">
        <f>DataT9!J62</f>
        <v>2.8385708332061768</v>
      </c>
      <c r="J60" s="81">
        <f>DataT9!K62</f>
        <v>3.2140471935272217</v>
      </c>
      <c r="K60" s="81">
        <f>DataT9!L62</f>
        <v>2.5391736030578613</v>
      </c>
      <c r="L60" s="81">
        <f>DataT9!M62</f>
        <v>3.9799239635467529</v>
      </c>
    </row>
    <row r="61" spans="1:12" ht="18" customHeight="1" x14ac:dyDescent="0.2">
      <c r="A61" s="173" t="s">
        <v>649</v>
      </c>
      <c r="B61" s="174"/>
      <c r="C61" s="174"/>
      <c r="D61" s="174"/>
      <c r="E61" s="174"/>
      <c r="F61" s="174"/>
      <c r="G61" s="174"/>
      <c r="H61" s="174"/>
      <c r="I61" s="174"/>
      <c r="J61" s="174"/>
      <c r="K61" s="174"/>
      <c r="L61" s="174"/>
    </row>
    <row r="62" spans="1:12" ht="26" customHeight="1" x14ac:dyDescent="0.2">
      <c r="A62" s="184"/>
      <c r="B62" s="185"/>
      <c r="C62" s="185"/>
      <c r="D62" s="185"/>
      <c r="E62" s="185"/>
      <c r="F62" s="185"/>
      <c r="G62" s="185"/>
      <c r="H62" s="185"/>
      <c r="I62" s="185"/>
      <c r="J62" s="185"/>
      <c r="K62" s="185"/>
      <c r="L62" s="185"/>
    </row>
  </sheetData>
  <mergeCells count="10">
    <mergeCell ref="A1:L1"/>
    <mergeCell ref="A61:L62"/>
    <mergeCell ref="A38:A39"/>
    <mergeCell ref="A40:A48"/>
    <mergeCell ref="A49:A59"/>
    <mergeCell ref="A3:A7"/>
    <mergeCell ref="A8:A18"/>
    <mergeCell ref="A19:A24"/>
    <mergeCell ref="A25:A32"/>
    <mergeCell ref="A33:A3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BF52-ABE5-0E45-A245-9DC8CB13E89A}">
  <sheetPr>
    <tabColor rgb="FF7030A0"/>
  </sheetPr>
  <dimension ref="A1:G23"/>
  <sheetViews>
    <sheetView workbookViewId="0">
      <selection activeCell="A2" sqref="A2"/>
    </sheetView>
  </sheetViews>
  <sheetFormatPr baseColWidth="10" defaultRowHeight="15" x14ac:dyDescent="0.2"/>
  <cols>
    <col min="2" max="2" width="21.33203125" customWidth="1"/>
    <col min="3" max="3" width="16.5" customWidth="1"/>
    <col min="4" max="4" width="12.1640625" bestFit="1" customWidth="1"/>
    <col min="5" max="5" width="20.5" customWidth="1"/>
    <col min="6" max="6" width="22" customWidth="1"/>
    <col min="7" max="7" width="21.1640625" customWidth="1"/>
  </cols>
  <sheetData>
    <row r="1" spans="1:7" ht="17" thickBot="1" x14ac:dyDescent="0.25">
      <c r="A1" s="189" t="s">
        <v>718</v>
      </c>
      <c r="B1" s="190"/>
      <c r="C1" s="190"/>
      <c r="D1" s="190"/>
      <c r="E1" s="190"/>
      <c r="F1" s="190"/>
      <c r="G1" s="191"/>
    </row>
    <row r="2" spans="1:7" ht="69" thickBot="1" x14ac:dyDescent="0.25">
      <c r="A2" s="20"/>
      <c r="B2" s="1" t="str">
        <f>DataT10!C4</f>
        <v>Name of Country</v>
      </c>
      <c r="C2" s="1" t="str">
        <f>DataT10!D4</f>
        <v>Per capita national income   (PPP 2025 €)</v>
      </c>
      <c r="D2" s="1" t="str">
        <f>DataT10!E4</f>
        <v xml:space="preserve">Total Population </v>
      </c>
      <c r="E2" s="14" t="str">
        <f>DataT10!F4</f>
        <v>Net Foreign Income as % of Net Domestic Product (PPP)</v>
      </c>
      <c r="F2" s="14" t="str">
        <f>DataT10!G4</f>
        <v>Ratio between MER and PPP Per Capita National Income</v>
      </c>
      <c r="G2" s="14" t="str">
        <f>DataT10!H4</f>
        <v>Net Foreign Wealth as % of Net Domestic Product (PPP 2025 €)</v>
      </c>
    </row>
    <row r="3" spans="1:7" ht="18" thickBot="1" x14ac:dyDescent="0.25">
      <c r="A3" s="21">
        <f>DataT10!B5</f>
        <v>1</v>
      </c>
      <c r="B3" s="15" t="str">
        <f>DataT10!C5</f>
        <v>Monaco</v>
      </c>
      <c r="C3" s="47">
        <f>DataT10!D5</f>
        <v>169163.171875</v>
      </c>
      <c r="D3" s="47">
        <f>DataT10!E5</f>
        <v>38341</v>
      </c>
      <c r="E3" s="49">
        <f>DataT10!F5</f>
        <v>-0.28889778256416321</v>
      </c>
      <c r="F3" s="48">
        <f>DataT10!G5</f>
        <v>0.99974638223648071</v>
      </c>
      <c r="G3" s="49">
        <f>DataT10!H5</f>
        <v>10.960053443908691</v>
      </c>
    </row>
    <row r="4" spans="1:7" ht="18" thickBot="1" x14ac:dyDescent="0.25">
      <c r="A4" s="21">
        <f>DataT10!B6</f>
        <v>2</v>
      </c>
      <c r="B4" s="15" t="str">
        <f>DataT10!C6</f>
        <v>Liechtenstein</v>
      </c>
      <c r="C4" s="47">
        <f>DataT10!D6</f>
        <v>147878.453125</v>
      </c>
      <c r="D4" s="47">
        <f>DataT10!E6</f>
        <v>40128</v>
      </c>
      <c r="E4" s="49">
        <f>DataT10!F6</f>
        <v>0.23186711966991425</v>
      </c>
      <c r="F4" s="48">
        <f>DataT10!G6</f>
        <v>1.4142367839813232</v>
      </c>
      <c r="G4" s="49">
        <f>DataT10!H6</f>
        <v>14.356439590454102</v>
      </c>
    </row>
    <row r="5" spans="1:7" ht="18" thickBot="1" x14ac:dyDescent="0.25">
      <c r="A5" s="21">
        <f>DataT10!B7</f>
        <v>3</v>
      </c>
      <c r="B5" s="15" t="str">
        <f>DataT10!C7</f>
        <v>Luxembourg</v>
      </c>
      <c r="C5" s="47">
        <f>DataT10!D7</f>
        <v>127784.8515625</v>
      </c>
      <c r="D5" s="47">
        <f>DataT10!E7</f>
        <v>680453</v>
      </c>
      <c r="E5" s="49">
        <f>DataT10!F7</f>
        <v>0.47231429815292358</v>
      </c>
      <c r="F5" s="48">
        <f>DataT10!G7</f>
        <v>1.2885355949401855</v>
      </c>
      <c r="G5" s="49">
        <f>DataT10!H7</f>
        <v>6.8448987007141113</v>
      </c>
    </row>
    <row r="6" spans="1:7" ht="18" thickBot="1" x14ac:dyDescent="0.25">
      <c r="A6" s="21">
        <f>DataT10!B8</f>
        <v>4</v>
      </c>
      <c r="B6" s="15" t="str">
        <f>DataT10!C8</f>
        <v>Bermuda</v>
      </c>
      <c r="C6" s="47">
        <f>DataT10!D8</f>
        <v>126080.4609375</v>
      </c>
      <c r="D6" s="47">
        <f>DataT10!E8</f>
        <v>64555</v>
      </c>
      <c r="E6" s="49">
        <f>DataT10!F8</f>
        <v>0.58675259351730347</v>
      </c>
      <c r="F6" s="48">
        <f>DataT10!G8</f>
        <v>1.4313023090362549</v>
      </c>
      <c r="G6" s="49">
        <f>DataT10!H8</f>
        <v>50.688442230224609</v>
      </c>
    </row>
    <row r="7" spans="1:7" ht="18" thickBot="1" x14ac:dyDescent="0.25">
      <c r="A7" s="21">
        <f>DataT10!B9</f>
        <v>5</v>
      </c>
      <c r="B7" s="15" t="str">
        <f>DataT10!C9</f>
        <v>Guernsey</v>
      </c>
      <c r="C7" s="47">
        <f>DataT10!D9</f>
        <v>125533.953125</v>
      </c>
      <c r="D7" s="47">
        <f>DataT10!E9</f>
        <v>64477</v>
      </c>
      <c r="E7" s="49">
        <f>DataT10!F9</f>
        <v>0.92716485261917114</v>
      </c>
      <c r="F7" s="48">
        <f>DataT10!G9</f>
        <v>1.1858710050582886</v>
      </c>
      <c r="G7" s="49">
        <f>DataT10!H9</f>
        <v>32.579826354980469</v>
      </c>
    </row>
    <row r="8" spans="1:7" ht="18" thickBot="1" x14ac:dyDescent="0.25">
      <c r="A8" s="21">
        <f>DataT10!B10</f>
        <v>6</v>
      </c>
      <c r="B8" s="15" t="str">
        <f>DataT10!C10</f>
        <v>Jersey</v>
      </c>
      <c r="C8" s="47">
        <f>DataT10!D10</f>
        <v>121734.2421875</v>
      </c>
      <c r="D8" s="47">
        <f>DataT10!E10</f>
        <v>103989</v>
      </c>
      <c r="E8" s="49">
        <f>DataT10!F10</f>
        <v>0.89299792051315308</v>
      </c>
      <c r="F8" s="48">
        <f>DataT10!G10</f>
        <v>1.1858710050582886</v>
      </c>
      <c r="G8" s="49">
        <f>DataT10!H10</f>
        <v>21.811874389648438</v>
      </c>
    </row>
    <row r="9" spans="1:7" ht="18" thickBot="1" x14ac:dyDescent="0.25">
      <c r="A9" s="21">
        <f>DataT10!B11</f>
        <v>7</v>
      </c>
      <c r="B9" s="15" t="str">
        <f>DataT10!C11</f>
        <v>Singapore</v>
      </c>
      <c r="C9" s="47">
        <f>DataT10!D11</f>
        <v>107491.484375</v>
      </c>
      <c r="D9" s="47">
        <f>DataT10!E11</f>
        <v>5870750</v>
      </c>
      <c r="E9" s="49">
        <f>DataT10!F11</f>
        <v>0.11871433258056641</v>
      </c>
      <c r="F9" s="48">
        <f>DataT10!G11</f>
        <v>0.75498580932617188</v>
      </c>
      <c r="G9" s="49">
        <f>DataT10!H11</f>
        <v>2.2225155830383301</v>
      </c>
    </row>
    <row r="10" spans="1:7" ht="18" thickBot="1" x14ac:dyDescent="0.25">
      <c r="A10" s="21">
        <f>DataT10!B12</f>
        <v>8</v>
      </c>
      <c r="B10" s="15" t="str">
        <f>DataT10!C12</f>
        <v>Cayman Islands</v>
      </c>
      <c r="C10" s="47">
        <f>DataT10!D12</f>
        <v>101096.9296875</v>
      </c>
      <c r="D10" s="47">
        <f>DataT10!E12</f>
        <v>75844</v>
      </c>
      <c r="E10" s="49">
        <f>DataT10!F12</f>
        <v>0.69490140676498413</v>
      </c>
      <c r="F10" s="48">
        <f>DataT10!G12</f>
        <v>1.4001543521881104</v>
      </c>
      <c r="G10" s="49">
        <f>DataT10!H12</f>
        <v>-68.204185485839844</v>
      </c>
    </row>
    <row r="11" spans="1:7" ht="18" thickBot="1" x14ac:dyDescent="0.25">
      <c r="A11" s="21">
        <f>DataT10!B13</f>
        <v>9</v>
      </c>
      <c r="B11" s="50" t="str">
        <f>DataT10!C13</f>
        <v>Gibraltar</v>
      </c>
      <c r="C11" s="47">
        <f>DataT10!D13</f>
        <v>86012.515625</v>
      </c>
      <c r="D11" s="47">
        <f>DataT10!E13</f>
        <v>40126</v>
      </c>
      <c r="E11" s="49">
        <f>DataT10!F13</f>
        <v>0.37179815769195557</v>
      </c>
      <c r="F11" s="48">
        <f>DataT10!G13</f>
        <v>1.1858710050582886</v>
      </c>
      <c r="G11" s="49">
        <f>DataT10!H13</f>
        <v>8.1169557571411133</v>
      </c>
    </row>
    <row r="12" spans="1:7" ht="18" thickBot="1" x14ac:dyDescent="0.25">
      <c r="A12" s="56">
        <f>DataT10!B14</f>
        <v>10</v>
      </c>
      <c r="B12" s="58" t="str">
        <f>DataT10!C14</f>
        <v>Macao</v>
      </c>
      <c r="C12" s="57">
        <f>DataT10!D14</f>
        <v>78176.765625</v>
      </c>
      <c r="D12" s="57">
        <f>DataT10!E14</f>
        <v>722007</v>
      </c>
      <c r="E12" s="91">
        <f>DataT10!F14</f>
        <v>5.4944336414337158E-2</v>
      </c>
      <c r="F12" s="90">
        <f>DataT10!G14</f>
        <v>0.68804359436035156</v>
      </c>
      <c r="G12" s="91">
        <f>DataT10!H14</f>
        <v>4.0976324081420898</v>
      </c>
    </row>
    <row r="13" spans="1:7" ht="16" customHeight="1" thickBot="1" x14ac:dyDescent="0.25">
      <c r="A13" s="56">
        <f>DataT10!B15</f>
        <v>11</v>
      </c>
      <c r="B13" s="58" t="str">
        <f>DataT10!C15</f>
        <v>Anguilla</v>
      </c>
      <c r="C13" s="57">
        <f>DataT10!D15</f>
        <v>73980.734375</v>
      </c>
      <c r="D13" s="57">
        <f>DataT10!E15</f>
        <v>14728</v>
      </c>
      <c r="E13" s="91">
        <f>DataT10!F15</f>
        <v>-3.3290822058916092E-2</v>
      </c>
      <c r="F13" s="90">
        <f>DataT10!G15</f>
        <v>0.30965298414230347</v>
      </c>
      <c r="G13" s="91">
        <f>DataT10!H15</f>
        <v>-1.6904958486557007</v>
      </c>
    </row>
    <row r="14" spans="1:7" ht="18" thickBot="1" x14ac:dyDescent="0.25">
      <c r="A14" s="56">
        <f>DataT10!B16</f>
        <v>12</v>
      </c>
      <c r="B14" s="58" t="str">
        <f>DataT10!C16</f>
        <v>Norway</v>
      </c>
      <c r="C14" s="57">
        <f>DataT10!D16</f>
        <v>70146.875</v>
      </c>
      <c r="D14" s="57">
        <f>DataT10!E16</f>
        <v>5623071</v>
      </c>
      <c r="E14" s="91">
        <f>DataT10!F16</f>
        <v>0.16000695526599884</v>
      </c>
      <c r="F14" s="90">
        <f>DataT10!G16</f>
        <v>1.1006633043289185</v>
      </c>
      <c r="G14" s="91">
        <f>DataT10!H16</f>
        <v>4.0930852890014648</v>
      </c>
    </row>
    <row r="15" spans="1:7" ht="18" thickBot="1" x14ac:dyDescent="0.25">
      <c r="A15" s="56">
        <f>DataT10!B17</f>
        <v>13</v>
      </c>
      <c r="B15" s="58" t="str">
        <f>DataT10!C17</f>
        <v>Qatar</v>
      </c>
      <c r="C15" s="57">
        <f>DataT10!D17</f>
        <v>69266.0625</v>
      </c>
      <c r="D15" s="57">
        <f>DataT10!E17</f>
        <v>3115889</v>
      </c>
      <c r="E15" s="91">
        <f>DataT10!F17</f>
        <v>-2.9187716543674469E-2</v>
      </c>
      <c r="F15" s="90">
        <f>DataT10!G17</f>
        <v>0.72564476728439331</v>
      </c>
      <c r="G15" s="91">
        <f>DataT10!H17</f>
        <v>3.4581706523895264</v>
      </c>
    </row>
    <row r="16" spans="1:7" ht="18" thickBot="1" x14ac:dyDescent="0.25">
      <c r="A16" s="56">
        <f>DataT10!B18</f>
        <v>14</v>
      </c>
      <c r="B16" s="58" t="str">
        <f>DataT10!C18</f>
        <v>Isle of Man</v>
      </c>
      <c r="C16" s="57">
        <f>DataT10!D18</f>
        <v>67616.46875</v>
      </c>
      <c r="D16" s="57">
        <f>DataT10!E18</f>
        <v>84118</v>
      </c>
      <c r="E16" s="91">
        <f>DataT10!F18</f>
        <v>3.5405192524194717E-2</v>
      </c>
      <c r="F16" s="90">
        <f>DataT10!G18</f>
        <v>1.2242245674133301</v>
      </c>
      <c r="G16" s="91">
        <f>DataT10!H18</f>
        <v>1.7848591804504395</v>
      </c>
    </row>
    <row r="17" spans="1:7" ht="18" thickBot="1" x14ac:dyDescent="0.25">
      <c r="A17" s="56">
        <f>DataT10!B19</f>
        <v>15</v>
      </c>
      <c r="B17" s="58" t="str">
        <f>DataT10!C19</f>
        <v>Ireland</v>
      </c>
      <c r="C17" s="57">
        <f>DataT10!D19</f>
        <v>60793.3125</v>
      </c>
      <c r="D17" s="57">
        <f>DataT10!E19</f>
        <v>5308039</v>
      </c>
      <c r="E17" s="91">
        <f>DataT10!F19</f>
        <v>-0.25263944268226624</v>
      </c>
      <c r="F17" s="90">
        <f>DataT10!G19</f>
        <v>1.0893610715866089</v>
      </c>
      <c r="G17" s="91">
        <f>DataT10!H19</f>
        <v>-0.40784290432929993</v>
      </c>
    </row>
    <row r="18" spans="1:7" ht="18" thickBot="1" x14ac:dyDescent="0.25">
      <c r="A18" s="56">
        <f>DataT10!B20</f>
        <v>16</v>
      </c>
      <c r="B18" s="58" t="str">
        <f>DataT10!C20</f>
        <v>Hong Kong</v>
      </c>
      <c r="C18" s="57">
        <f>DataT10!D20</f>
        <v>56006.68359375</v>
      </c>
      <c r="D18" s="57">
        <f>DataT10!E20</f>
        <v>7396076</v>
      </c>
      <c r="E18" s="91">
        <f>DataT10!F20</f>
        <v>0.19516621530056</v>
      </c>
      <c r="F18" s="90">
        <f>DataT10!G20</f>
        <v>0.8775554895401001</v>
      </c>
      <c r="G18" s="91">
        <f>DataT10!H20</f>
        <v>6.7546801567077637</v>
      </c>
    </row>
    <row r="19" spans="1:7" ht="18" thickBot="1" x14ac:dyDescent="0.25">
      <c r="A19" s="56">
        <f>DataT10!B21</f>
        <v>17</v>
      </c>
      <c r="B19" s="58" t="str">
        <f>DataT10!C21</f>
        <v>Taiwan</v>
      </c>
      <c r="C19" s="57">
        <f>DataT10!D21</f>
        <v>55286.77734375</v>
      </c>
      <c r="D19" s="57">
        <f>DataT10!E21</f>
        <v>23112793</v>
      </c>
      <c r="E19" s="91">
        <f>DataT10!F21</f>
        <v>5.9912707656621933E-2</v>
      </c>
      <c r="F19" s="90">
        <f>DataT10!G21</f>
        <v>0.58458113670349121</v>
      </c>
      <c r="G19" s="91">
        <f>DataT10!H21</f>
        <v>2.0169506072998047</v>
      </c>
    </row>
    <row r="20" spans="1:7" ht="18" thickBot="1" x14ac:dyDescent="0.25">
      <c r="A20" s="56">
        <f>DataT10!B22</f>
        <v>18</v>
      </c>
      <c r="B20" s="58" t="str">
        <f>DataT10!C22</f>
        <v>United Arab Emirates</v>
      </c>
      <c r="C20" s="57">
        <f>DataT10!D22</f>
        <v>53645.61328125</v>
      </c>
      <c r="D20" s="57">
        <f>DataT10!E22</f>
        <v>11346000</v>
      </c>
      <c r="E20" s="91">
        <f>DataT10!F22</f>
        <v>4.2752936482429504E-2</v>
      </c>
      <c r="F20" s="90">
        <f>DataT10!G22</f>
        <v>0.75419008731842041</v>
      </c>
      <c r="G20" s="91">
        <f>DataT10!H22</f>
        <v>2.7793922424316406</v>
      </c>
    </row>
    <row r="21" spans="1:7" ht="18" thickBot="1" x14ac:dyDescent="0.25">
      <c r="A21" s="56">
        <f>DataT10!B23</f>
        <v>19</v>
      </c>
      <c r="B21" s="58" t="str">
        <f>DataT10!C23</f>
        <v>Brunei Darussalam</v>
      </c>
      <c r="C21" s="57">
        <f>DataT10!D23</f>
        <v>53241.6328125</v>
      </c>
      <c r="D21" s="57">
        <f>DataT10!E23</f>
        <v>466330</v>
      </c>
      <c r="E21" s="91">
        <f>DataT10!F23</f>
        <v>7.0918728597462177E-3</v>
      </c>
      <c r="F21" s="90">
        <f>DataT10!G23</f>
        <v>0.47829243540763855</v>
      </c>
      <c r="G21" s="91">
        <f>DataT10!H23</f>
        <v>7.1635446548461914</v>
      </c>
    </row>
    <row r="22" spans="1:7" ht="17" x14ac:dyDescent="0.2">
      <c r="A22" s="56">
        <f>DataT10!B24</f>
        <v>20</v>
      </c>
      <c r="B22" s="58" t="str">
        <f>DataT10!C24</f>
        <v>Montserrat</v>
      </c>
      <c r="C22" s="57">
        <f>DataT10!D24</f>
        <v>52952.34765625</v>
      </c>
      <c r="D22" s="57">
        <f>DataT10!E24</f>
        <v>4359</v>
      </c>
      <c r="E22" s="91">
        <f>DataT10!F24</f>
        <v>6.7695476114749908E-2</v>
      </c>
      <c r="F22" s="90">
        <f>DataT10!G24</f>
        <v>0.29125013947486877</v>
      </c>
      <c r="G22" s="91">
        <f>DataT10!H24</f>
        <v>1.5353235006332397</v>
      </c>
    </row>
    <row r="23" spans="1:7" ht="60" customHeight="1" thickBot="1" x14ac:dyDescent="0.25">
      <c r="A23" s="186" t="s">
        <v>650</v>
      </c>
      <c r="B23" s="187"/>
      <c r="C23" s="187"/>
      <c r="D23" s="187"/>
      <c r="E23" s="187"/>
      <c r="F23" s="187"/>
      <c r="G23" s="188"/>
    </row>
  </sheetData>
  <mergeCells count="2">
    <mergeCell ref="A23:G23"/>
    <mergeCell ref="A1:G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F94B4-6FEC-AE45-8376-1D2CE0253DCC}">
  <sheetPr>
    <tabColor rgb="FF7030A0"/>
  </sheetPr>
  <dimension ref="A1:G24"/>
  <sheetViews>
    <sheetView workbookViewId="0">
      <selection activeCell="A2" sqref="A2"/>
    </sheetView>
  </sheetViews>
  <sheetFormatPr baseColWidth="10" defaultRowHeight="15" x14ac:dyDescent="0.2"/>
  <cols>
    <col min="2" max="2" width="21.5" customWidth="1"/>
    <col min="3" max="3" width="16.5" customWidth="1"/>
    <col min="4" max="4" width="22" customWidth="1"/>
    <col min="5" max="5" width="20.6640625" customWidth="1"/>
    <col min="6" max="6" width="21.83203125" customWidth="1"/>
    <col min="7" max="7" width="21.33203125" customWidth="1"/>
  </cols>
  <sheetData>
    <row r="1" spans="1:7" ht="17" thickBot="1" x14ac:dyDescent="0.25">
      <c r="A1" s="138" t="s">
        <v>719</v>
      </c>
      <c r="B1" s="139"/>
      <c r="C1" s="139"/>
      <c r="D1" s="139"/>
      <c r="E1" s="139"/>
      <c r="F1" s="139"/>
      <c r="G1" s="140"/>
    </row>
    <row r="2" spans="1:7" ht="86" customHeight="1" thickBot="1" x14ac:dyDescent="0.25">
      <c r="A2" s="20"/>
      <c r="B2" s="14" t="str">
        <f>DataT10!I4</f>
        <v>Name of Country (excluding small countries)</v>
      </c>
      <c r="C2" s="14" t="str">
        <f>DataT10!J4</f>
        <v>Per capita national income   (PPP 2025 €)
(excluding small countries)</v>
      </c>
      <c r="D2" s="14" t="str">
        <f>DataT10!K4</f>
        <v>Total Population 
(excluding small countries)</v>
      </c>
      <c r="E2" s="14" t="str">
        <f>DataT10!L4</f>
        <v>Net Foreign Income as % of Net Domestic Product (PPP)
(excluding small countries)</v>
      </c>
      <c r="F2" s="14" t="str">
        <f>DataT10!M4</f>
        <v>Ratio between MER and PPP Per Capita National Income
(excluding small countries)</v>
      </c>
      <c r="G2" s="14" t="str">
        <f>DataT10!N4</f>
        <v>Net Foreign Wealth as % of Net Domestic Product (PPP 2025 €)
(excluding small countries)</v>
      </c>
    </row>
    <row r="3" spans="1:7" ht="18" thickBot="1" x14ac:dyDescent="0.25">
      <c r="A3" s="21">
        <f>DataT10!B5</f>
        <v>1</v>
      </c>
      <c r="B3" s="14" t="str">
        <f>DataT10!I5</f>
        <v>Taiwan</v>
      </c>
      <c r="C3" s="47">
        <f>DataT10!J5</f>
        <v>55286.77734375</v>
      </c>
      <c r="D3" s="47">
        <f>DataT10!K5</f>
        <v>23112793</v>
      </c>
      <c r="E3" s="49">
        <f>DataT10!L5</f>
        <v>5.9912707656621933E-2</v>
      </c>
      <c r="F3" s="48">
        <f>DataT10!M5</f>
        <v>0.58458113670349121</v>
      </c>
      <c r="G3" s="49">
        <f>DataT10!N5</f>
        <v>2.0169506072998047</v>
      </c>
    </row>
    <row r="4" spans="1:7" ht="18" thickBot="1" x14ac:dyDescent="0.25">
      <c r="A4" s="21">
        <f>DataT10!B6</f>
        <v>2</v>
      </c>
      <c r="B4" s="14" t="str">
        <f>DataT10!I6</f>
        <v>United Arab Emirates</v>
      </c>
      <c r="C4" s="47">
        <f>DataT10!J6</f>
        <v>53645.61328125</v>
      </c>
      <c r="D4" s="47">
        <f>DataT10!K6</f>
        <v>11346000</v>
      </c>
      <c r="E4" s="49">
        <f>DataT10!L6</f>
        <v>4.2752936482429504E-2</v>
      </c>
      <c r="F4" s="48">
        <f>DataT10!M6</f>
        <v>0.75419008731842041</v>
      </c>
      <c r="G4" s="49">
        <f>DataT10!N6</f>
        <v>2.7793922424316406</v>
      </c>
    </row>
    <row r="5" spans="1:7" ht="18" thickBot="1" x14ac:dyDescent="0.25">
      <c r="A5" s="21">
        <f>DataT10!B7</f>
        <v>3</v>
      </c>
      <c r="B5" s="14" t="str">
        <f>DataT10!I7</f>
        <v>USA</v>
      </c>
      <c r="C5" s="47">
        <f>DataT10!J7</f>
        <v>49940.43359375</v>
      </c>
      <c r="D5" s="47">
        <f>DataT10!K7</f>
        <v>347275807</v>
      </c>
      <c r="E5" s="49">
        <f>DataT10!L7</f>
        <v>-6.5918167820200324E-4</v>
      </c>
      <c r="F5" s="48">
        <f>DataT10!M7</f>
        <v>1.2513744831085205</v>
      </c>
      <c r="G5" s="49">
        <f>DataT10!N7</f>
        <v>-1.0439835786819458</v>
      </c>
    </row>
    <row r="6" spans="1:7" ht="18" thickBot="1" x14ac:dyDescent="0.25">
      <c r="A6" s="21">
        <f>DataT10!B8</f>
        <v>4</v>
      </c>
      <c r="B6" s="14" t="str">
        <f>DataT10!I8</f>
        <v>Saudi Arabia</v>
      </c>
      <c r="C6" s="47">
        <f>DataT10!J8</f>
        <v>48625.1640625</v>
      </c>
      <c r="D6" s="47">
        <f>DataT10!K8</f>
        <v>34566328</v>
      </c>
      <c r="E6" s="49">
        <f>DataT10!L8</f>
        <v>3.5969710443168879E-3</v>
      </c>
      <c r="F6" s="48">
        <f>DataT10!M8</f>
        <v>0.58542263507843018</v>
      </c>
      <c r="G6" s="49">
        <f>DataT10!N8</f>
        <v>1.5154331922531128</v>
      </c>
    </row>
    <row r="7" spans="1:7" ht="18" thickBot="1" x14ac:dyDescent="0.25">
      <c r="A7" s="21">
        <f>DataT10!B9</f>
        <v>5</v>
      </c>
      <c r="B7" s="14" t="str">
        <f>DataT10!I9</f>
        <v>Netherlands</v>
      </c>
      <c r="C7" s="47">
        <f>DataT10!J9</f>
        <v>47551.421875</v>
      </c>
      <c r="D7" s="47">
        <f>DataT10!K9</f>
        <v>18346819</v>
      </c>
      <c r="E7" s="49">
        <f>DataT10!L9</f>
        <v>2.0829034969210625E-2</v>
      </c>
      <c r="F7" s="48">
        <f>DataT10!M9</f>
        <v>1.1503193378448486</v>
      </c>
      <c r="G7" s="49">
        <f>DataT10!N9</f>
        <v>1.14823317527771</v>
      </c>
    </row>
    <row r="8" spans="1:7" ht="18" thickBot="1" x14ac:dyDescent="0.25">
      <c r="A8" s="21">
        <f>DataT10!B10</f>
        <v>6</v>
      </c>
      <c r="B8" s="14" t="str">
        <f>DataT10!I10</f>
        <v>Sweden</v>
      </c>
      <c r="C8" s="47">
        <f>DataT10!J10</f>
        <v>45180.1484375</v>
      </c>
      <c r="D8" s="47">
        <f>DataT10!K10</f>
        <v>10656633</v>
      </c>
      <c r="E8" s="49">
        <f>DataT10!L10</f>
        <v>9.2048801481723785E-2</v>
      </c>
      <c r="F8" s="48">
        <f>DataT10!M10</f>
        <v>1.1068054437637329</v>
      </c>
      <c r="G8" s="49">
        <f>DataT10!N10</f>
        <v>0.81506252288818359</v>
      </c>
    </row>
    <row r="9" spans="1:7" ht="18" thickBot="1" x14ac:dyDescent="0.25">
      <c r="A9" s="21">
        <f>DataT10!B11</f>
        <v>7</v>
      </c>
      <c r="B9" s="14" t="str">
        <f>DataT10!I11</f>
        <v>Canada</v>
      </c>
      <c r="C9" s="47">
        <f>DataT10!J11</f>
        <v>42166.83984375</v>
      </c>
      <c r="D9" s="47">
        <f>DataT10!K11</f>
        <v>40126723</v>
      </c>
      <c r="E9" s="49">
        <f>DataT10!L11</f>
        <v>3.0414273962378502E-2</v>
      </c>
      <c r="F9" s="48">
        <f>DataT10!M11</f>
        <v>1.0549725294113159</v>
      </c>
      <c r="G9" s="49">
        <f>DataT10!N11</f>
        <v>0.8632122278213501</v>
      </c>
    </row>
    <row r="10" spans="1:7" ht="18" thickBot="1" x14ac:dyDescent="0.25">
      <c r="A10" s="21">
        <f>DataT10!B12</f>
        <v>8</v>
      </c>
      <c r="B10" s="14" t="str">
        <f>DataT10!I12</f>
        <v>Belgium</v>
      </c>
      <c r="C10" s="47">
        <f>DataT10!J12</f>
        <v>42067.3671875</v>
      </c>
      <c r="D10" s="47">
        <f>DataT10!K12</f>
        <v>11758603</v>
      </c>
      <c r="E10" s="49">
        <f>DataT10!L12</f>
        <v>2.8689658269286156E-2</v>
      </c>
      <c r="F10" s="48">
        <f>DataT10!M12</f>
        <v>1.0582047700881958</v>
      </c>
      <c r="G10" s="49">
        <f>DataT10!N12</f>
        <v>0.79132294654846191</v>
      </c>
    </row>
    <row r="11" spans="1:7" ht="18" thickBot="1" x14ac:dyDescent="0.25">
      <c r="A11" s="21">
        <f>DataT10!B13</f>
        <v>9</v>
      </c>
      <c r="B11" s="14" t="str">
        <f>DataT10!I13</f>
        <v>Germany</v>
      </c>
      <c r="C11" s="47">
        <f>DataT10!J13</f>
        <v>41797.828125</v>
      </c>
      <c r="D11" s="47">
        <f>DataT10!K13</f>
        <v>84075075</v>
      </c>
      <c r="E11" s="49">
        <f>DataT10!L13</f>
        <v>4.6689584851264954E-2</v>
      </c>
      <c r="F11" s="48">
        <f>DataT10!M13</f>
        <v>1.0649185180664062</v>
      </c>
      <c r="G11" s="49">
        <f>DataT10!N13</f>
        <v>0.88065731525421143</v>
      </c>
    </row>
    <row r="12" spans="1:7" ht="18" thickBot="1" x14ac:dyDescent="0.25">
      <c r="A12" s="21">
        <f>DataT10!B14</f>
        <v>10</v>
      </c>
      <c r="B12" s="14" t="str">
        <f>DataT10!I14</f>
        <v>Australia</v>
      </c>
      <c r="C12" s="57">
        <f>DataT10!J14</f>
        <v>41639.90234375</v>
      </c>
      <c r="D12" s="57">
        <f>DataT10!K14</f>
        <v>26974026</v>
      </c>
      <c r="E12" s="91">
        <f>DataT10!L14</f>
        <v>-1.3718719594180584E-2</v>
      </c>
      <c r="F12" s="90">
        <f>DataT10!M14</f>
        <v>1.1546171903610229</v>
      </c>
      <c r="G12" s="91">
        <f>DataT10!N14</f>
        <v>-0.21116961538791656</v>
      </c>
    </row>
    <row r="13" spans="1:7" ht="18" thickBot="1" x14ac:dyDescent="0.25">
      <c r="A13" s="21">
        <f>DataT10!B15</f>
        <v>11</v>
      </c>
      <c r="B13" s="14" t="str">
        <f>DataT10!I15</f>
        <v>United Kingdom</v>
      </c>
      <c r="C13" s="57">
        <f>DataT10!J15</f>
        <v>38013.4453125</v>
      </c>
      <c r="D13" s="57">
        <f>DataT10!K15</f>
        <v>69551332</v>
      </c>
      <c r="E13" s="91">
        <f>DataT10!L15</f>
        <v>1.5832845121622086E-2</v>
      </c>
      <c r="F13" s="90">
        <f>DataT10!M15</f>
        <v>1.1858707666397095</v>
      </c>
      <c r="G13" s="91">
        <f>DataT10!N15</f>
        <v>5.2646949887275696E-2</v>
      </c>
    </row>
    <row r="14" spans="1:7" ht="18" thickBot="1" x14ac:dyDescent="0.25">
      <c r="A14" s="21">
        <f>DataT10!B16</f>
        <v>12</v>
      </c>
      <c r="B14" s="14" t="str">
        <f>DataT10!I16</f>
        <v>France</v>
      </c>
      <c r="C14" s="57">
        <f>DataT10!J16</f>
        <v>37176.40234375</v>
      </c>
      <c r="D14" s="57">
        <f>DataT10!K16</f>
        <v>68898112</v>
      </c>
      <c r="E14" s="91">
        <f>DataT10!L16</f>
        <v>3.7949465215206146E-2</v>
      </c>
      <c r="F14" s="90">
        <f>DataT10!M16</f>
        <v>0.99082261323928833</v>
      </c>
      <c r="G14" s="91">
        <f>DataT10!N16</f>
        <v>-0.23334269225597382</v>
      </c>
    </row>
    <row r="15" spans="1:7" ht="18" thickBot="1" x14ac:dyDescent="0.25">
      <c r="A15" s="21">
        <f>DataT10!B17</f>
        <v>13</v>
      </c>
      <c r="B15" s="14" t="str">
        <f>DataT10!I17</f>
        <v>South Korea</v>
      </c>
      <c r="C15" s="57">
        <f>DataT10!J17</f>
        <v>35047.8359375</v>
      </c>
      <c r="D15" s="57">
        <f>DataT10!K17</f>
        <v>51667029</v>
      </c>
      <c r="E15" s="91">
        <f>DataT10!L17</f>
        <v>1.0052783414721489E-2</v>
      </c>
      <c r="F15" s="90">
        <f>DataT10!M17</f>
        <v>0.73212629556655884</v>
      </c>
      <c r="G15" s="91">
        <f>DataT10!N17</f>
        <v>0.77019166946411133</v>
      </c>
    </row>
    <row r="16" spans="1:7" ht="18" thickBot="1" x14ac:dyDescent="0.25">
      <c r="A16" s="21">
        <f>DataT10!B18</f>
        <v>14</v>
      </c>
      <c r="B16" s="14" t="str">
        <f>DataT10!I18</f>
        <v>Italy</v>
      </c>
      <c r="C16" s="57">
        <f>DataT10!J18</f>
        <v>34700.1328125</v>
      </c>
      <c r="D16" s="57">
        <f>DataT10!K18</f>
        <v>59146260</v>
      </c>
      <c r="E16" s="91">
        <f>DataT10!L18</f>
        <v>-9.6027139807119966E-4</v>
      </c>
      <c r="F16" s="90">
        <f>DataT10!M18</f>
        <v>0.90017372369766235</v>
      </c>
      <c r="G16" s="91">
        <f>DataT10!N18</f>
        <v>0.10818072408437729</v>
      </c>
    </row>
    <row r="17" spans="1:7" ht="18" thickBot="1" x14ac:dyDescent="0.25">
      <c r="A17" s="21">
        <f>DataT10!B19</f>
        <v>15</v>
      </c>
      <c r="B17" s="14" t="str">
        <f>DataT10!I19</f>
        <v>Spain</v>
      </c>
      <c r="C17" s="57">
        <f>DataT10!J19</f>
        <v>33533.7109375</v>
      </c>
      <c r="D17" s="57">
        <f>DataT10!K19</f>
        <v>47889958</v>
      </c>
      <c r="E17" s="91">
        <f>DataT10!L19</f>
        <v>-2.1940383594483137E-3</v>
      </c>
      <c r="F17" s="90">
        <f>DataT10!M19</f>
        <v>0.87393653392791748</v>
      </c>
      <c r="G17" s="91">
        <f>DataT10!N19</f>
        <v>-0.35259202122688293</v>
      </c>
    </row>
    <row r="18" spans="1:7" ht="18" thickBot="1" x14ac:dyDescent="0.25">
      <c r="A18" s="21">
        <f>DataT10!B20</f>
        <v>16</v>
      </c>
      <c r="B18" s="14" t="str">
        <f>DataT10!I20</f>
        <v>Japan</v>
      </c>
      <c r="C18" s="57">
        <f>DataT10!J20</f>
        <v>30128.634765625</v>
      </c>
      <c r="D18" s="57">
        <f>DataT10!K20</f>
        <v>123103479</v>
      </c>
      <c r="E18" s="91">
        <f>DataT10!L20</f>
        <v>8.8244929909706116E-2</v>
      </c>
      <c r="F18" s="90">
        <f>DataT10!M20</f>
        <v>0.81981241703033447</v>
      </c>
      <c r="G18" s="91">
        <f>DataT10!N20</f>
        <v>1.0297107696533203</v>
      </c>
    </row>
    <row r="19" spans="1:7" ht="18" thickBot="1" x14ac:dyDescent="0.25">
      <c r="A19" s="21">
        <f>DataT10!B21</f>
        <v>17</v>
      </c>
      <c r="B19" s="14" t="str">
        <f>DataT10!I21</f>
        <v>Poland</v>
      </c>
      <c r="C19" s="57">
        <f>DataT10!J21</f>
        <v>29576.16796875</v>
      </c>
      <c r="D19" s="57">
        <f>DataT10!K21</f>
        <v>38140910</v>
      </c>
      <c r="E19" s="91">
        <f>DataT10!L21</f>
        <v>-5.2898112684488297E-2</v>
      </c>
      <c r="F19" s="90">
        <f>DataT10!M21</f>
        <v>0.61017483472824097</v>
      </c>
      <c r="G19" s="91">
        <f>DataT10!N21</f>
        <v>-0.31963521242141724</v>
      </c>
    </row>
    <row r="20" spans="1:7" ht="18" thickBot="1" x14ac:dyDescent="0.25">
      <c r="A20" s="21">
        <f>DataT10!B22</f>
        <v>18</v>
      </c>
      <c r="B20" s="14" t="str">
        <f>DataT10!I22</f>
        <v>Czechia</v>
      </c>
      <c r="C20" s="57">
        <f>DataT10!J22</f>
        <v>29224.78125</v>
      </c>
      <c r="D20" s="57">
        <f>DataT10!K22</f>
        <v>10609239</v>
      </c>
      <c r="E20" s="91">
        <f>DataT10!L22</f>
        <v>-6.6982850432395935E-2</v>
      </c>
      <c r="F20" s="90">
        <f>DataT10!M22</f>
        <v>0.80542570352554321</v>
      </c>
      <c r="G20" s="91">
        <f>DataT10!N22</f>
        <v>-2.7565281838178635E-2</v>
      </c>
    </row>
    <row r="21" spans="1:7" ht="18" thickBot="1" x14ac:dyDescent="0.25">
      <c r="A21" s="21">
        <f>DataT10!B23</f>
        <v>19</v>
      </c>
      <c r="B21" s="14" t="str">
        <f>DataT10!I23</f>
        <v>Russia</v>
      </c>
      <c r="C21" s="57">
        <f>DataT10!J23</f>
        <v>29058.408203125</v>
      </c>
      <c r="D21" s="57">
        <f>DataT10!K23</f>
        <v>143997393</v>
      </c>
      <c r="E21" s="91">
        <f>DataT10!L23</f>
        <v>-9.4344867393374443E-3</v>
      </c>
      <c r="F21" s="90">
        <f>DataT10!M23</f>
        <v>0.47193947434425354</v>
      </c>
      <c r="G21" s="91">
        <f>DataT10!N23</f>
        <v>0.35032591223716736</v>
      </c>
    </row>
    <row r="22" spans="1:7" ht="18" thickBot="1" x14ac:dyDescent="0.25">
      <c r="A22" s="21">
        <f>DataT10!B24</f>
        <v>20</v>
      </c>
      <c r="B22" s="14" t="str">
        <f>DataT10!I24</f>
        <v>Romania</v>
      </c>
      <c r="C22" s="57">
        <f>DataT10!J24</f>
        <v>28085.98046875</v>
      </c>
      <c r="D22" s="57">
        <f>DataT10!K24</f>
        <v>18908650</v>
      </c>
      <c r="E22" s="91">
        <f>DataT10!L24</f>
        <v>-3.3819660544395447E-2</v>
      </c>
      <c r="F22" s="90">
        <f>DataT10!M24</f>
        <v>0.60826408863067627</v>
      </c>
      <c r="G22" s="91">
        <f>DataT10!N24</f>
        <v>3.0247768387198448E-2</v>
      </c>
    </row>
    <row r="23" spans="1:7" x14ac:dyDescent="0.2">
      <c r="A23" s="141" t="s">
        <v>529</v>
      </c>
      <c r="B23" s="142"/>
      <c r="C23" s="142"/>
      <c r="D23" s="142"/>
      <c r="E23" s="142"/>
      <c r="F23" s="142"/>
      <c r="G23" s="143"/>
    </row>
    <row r="24" spans="1:7" ht="65" customHeight="1" thickBot="1" x14ac:dyDescent="0.25">
      <c r="A24" s="144"/>
      <c r="B24" s="145"/>
      <c r="C24" s="145"/>
      <c r="D24" s="145"/>
      <c r="E24" s="145"/>
      <c r="F24" s="145"/>
      <c r="G24" s="146"/>
    </row>
  </sheetData>
  <mergeCells count="2">
    <mergeCell ref="A1:G1"/>
    <mergeCell ref="A23:G2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DCBF4-89B6-AA42-8069-9F64222B5C44}">
  <sheetPr>
    <tabColor rgb="FF7030A0"/>
  </sheetPr>
  <dimension ref="A1:G23"/>
  <sheetViews>
    <sheetView zoomScaleNormal="100" workbookViewId="0">
      <selection activeCell="N23" sqref="N23"/>
    </sheetView>
  </sheetViews>
  <sheetFormatPr baseColWidth="10" defaultColWidth="13.5" defaultRowHeight="15" x14ac:dyDescent="0.2"/>
  <cols>
    <col min="3" max="3" width="18" customWidth="1"/>
    <col min="4" max="4" width="15" customWidth="1"/>
    <col min="5" max="5" width="21.1640625" customWidth="1"/>
    <col min="6" max="6" width="20.33203125" customWidth="1"/>
    <col min="7" max="7" width="20" customWidth="1"/>
  </cols>
  <sheetData>
    <row r="1" spans="1:7" ht="17" thickBot="1" x14ac:dyDescent="0.25">
      <c r="A1" s="138" t="str">
        <f>DataT11!B3</f>
        <v>Table 11. Bottom 10 Poorest Countries (2025)</v>
      </c>
      <c r="B1" s="139"/>
      <c r="C1" s="139"/>
      <c r="D1" s="139"/>
      <c r="E1" s="139"/>
      <c r="F1" s="139"/>
      <c r="G1" s="140"/>
    </row>
    <row r="2" spans="1:7" ht="47" customHeight="1" thickBot="1" x14ac:dyDescent="0.25">
      <c r="A2" s="20"/>
      <c r="B2" s="1" t="str">
        <f>DataT11!C4</f>
        <v>Name of Country</v>
      </c>
      <c r="C2" s="1" t="str">
        <f>DataT11!D4</f>
        <v>Per capita national income   (PPP 2025 €)</v>
      </c>
      <c r="D2" s="1" t="str">
        <f>DataT11!E4</f>
        <v xml:space="preserve">Total Population </v>
      </c>
      <c r="E2" s="1" t="str">
        <f>DataT11!F4</f>
        <v>Net Foreign Income as % of Net Domestic Product (PPP)</v>
      </c>
      <c r="F2" s="1" t="str">
        <f>DataT11!G4</f>
        <v>Ratio between MER and PPP Per Capita National Income</v>
      </c>
      <c r="G2" s="1" t="str">
        <f>DataT11!H4</f>
        <v>Net Foreign Wealth as % of Net Domestic Product (PPP 2025 €)</v>
      </c>
    </row>
    <row r="3" spans="1:7" ht="18" thickBot="1" x14ac:dyDescent="0.25">
      <c r="A3" s="21" t="s">
        <v>518</v>
      </c>
      <c r="B3" s="15" t="str">
        <f>DataT11!C5</f>
        <v>Burundi</v>
      </c>
      <c r="C3" s="15">
        <f>DataT11!D5</f>
        <v>622.8375244140625</v>
      </c>
      <c r="D3" s="15">
        <f>DataT11!E5</f>
        <v>14390003</v>
      </c>
      <c r="E3" s="92">
        <f>DataT11!F5</f>
        <v>-9.7411144524812698E-3</v>
      </c>
      <c r="F3" s="28">
        <f>DataT11!G5</f>
        <v>0.49313712120056152</v>
      </c>
      <c r="G3" s="92">
        <f>DataT11!H5</f>
        <v>-0.87071436643600464</v>
      </c>
    </row>
    <row r="4" spans="1:7" ht="18" thickBot="1" x14ac:dyDescent="0.25">
      <c r="A4" s="21" t="s">
        <v>519</v>
      </c>
      <c r="B4" s="46" t="str">
        <f>DataT11!C6</f>
        <v>Yemen</v>
      </c>
      <c r="C4" s="46">
        <f>DataT11!D6</f>
        <v>708.8441162109375</v>
      </c>
      <c r="D4" s="46">
        <f>DataT11!E6</f>
        <v>41773878</v>
      </c>
      <c r="E4" s="53">
        <f>DataT11!F6</f>
        <v>-1.09359051566571E-3</v>
      </c>
      <c r="F4" s="59">
        <f>DataT11!G6</f>
        <v>0.94936573505401611</v>
      </c>
      <c r="G4" s="53">
        <f>DataT11!H6</f>
        <v>-7.7065609395503998E-2</v>
      </c>
    </row>
    <row r="5" spans="1:7" ht="52" thickBot="1" x14ac:dyDescent="0.25">
      <c r="A5" s="21" t="s">
        <v>520</v>
      </c>
      <c r="B5" s="15" t="str">
        <f>DataT11!C7</f>
        <v>Central African Republic</v>
      </c>
      <c r="C5" s="15">
        <f>DataT11!D7</f>
        <v>828.289794921875</v>
      </c>
      <c r="D5" s="15">
        <f>DataT11!E7</f>
        <v>5513282</v>
      </c>
      <c r="E5" s="92">
        <f>DataT11!F7</f>
        <v>9.829419432207942E-4</v>
      </c>
      <c r="F5" s="28">
        <f>DataT11!G7</f>
        <v>0.55026483535766602</v>
      </c>
      <c r="G5" s="92">
        <f>DataT11!H7</f>
        <v>-0.56027281284332275</v>
      </c>
    </row>
    <row r="6" spans="1:7" ht="18" thickBot="1" x14ac:dyDescent="0.25">
      <c r="A6" s="21" t="s">
        <v>521</v>
      </c>
      <c r="B6" s="15" t="str">
        <f>DataT11!C8</f>
        <v>Mozambique</v>
      </c>
      <c r="C6" s="15">
        <f>DataT11!D8</f>
        <v>879.0474853515625</v>
      </c>
      <c r="D6" s="15">
        <f>DataT11!E8</f>
        <v>35631653</v>
      </c>
      <c r="E6" s="92">
        <f>DataT11!F8</f>
        <v>-0.13162092864513397</v>
      </c>
      <c r="F6" s="28">
        <f>DataT11!G8</f>
        <v>0.46290615200996399</v>
      </c>
      <c r="G6" s="92">
        <f>DataT11!H8</f>
        <v>-3.4789266586303711</v>
      </c>
    </row>
    <row r="7" spans="1:7" ht="18" thickBot="1" x14ac:dyDescent="0.25">
      <c r="A7" s="21" t="s">
        <v>522</v>
      </c>
      <c r="B7" s="46" t="str">
        <f>DataT11!C9</f>
        <v>Sudan</v>
      </c>
      <c r="C7" s="46">
        <f>DataT11!D9</f>
        <v>916.99810791015625</v>
      </c>
      <c r="D7" s="46">
        <f>DataT11!E9</f>
        <v>51662147</v>
      </c>
      <c r="E7" s="53">
        <f>DataT11!F9</f>
        <v>-2.3718969896435738E-2</v>
      </c>
      <c r="F7" s="59">
        <f>DataT11!G9</f>
        <v>1.9754618406295776</v>
      </c>
      <c r="G7" s="53">
        <f>DataT11!H9</f>
        <v>-0.68855971097946167</v>
      </c>
    </row>
    <row r="8" spans="1:7" ht="18" thickBot="1" x14ac:dyDescent="0.25">
      <c r="A8" s="21" t="s">
        <v>523</v>
      </c>
      <c r="B8" s="46" t="str">
        <f>DataT11!C10</f>
        <v>Somalia</v>
      </c>
      <c r="C8" s="46">
        <f>DataT11!D10</f>
        <v>969.79803466796875</v>
      </c>
      <c r="D8" s="46">
        <f>DataT11!E10</f>
        <v>19654739</v>
      </c>
      <c r="E8" s="53">
        <f>DataT11!F10</f>
        <v>3.0080038122832775E-3</v>
      </c>
      <c r="F8" s="59">
        <f>DataT11!G10</f>
        <v>0.52909469604492188</v>
      </c>
      <c r="G8" s="53">
        <f>DataT11!H10</f>
        <v>-0.52960789203643799</v>
      </c>
    </row>
    <row r="9" spans="1:7" ht="18" thickBot="1" x14ac:dyDescent="0.25">
      <c r="A9" s="21" t="s">
        <v>524</v>
      </c>
      <c r="B9" s="55" t="str">
        <f>DataT11!C11</f>
        <v>Malawi</v>
      </c>
      <c r="C9" s="55">
        <f>DataT11!D11</f>
        <v>1164.001953125</v>
      </c>
      <c r="D9" s="55">
        <f>DataT11!E11</f>
        <v>22216120</v>
      </c>
      <c r="E9" s="43">
        <f>DataT11!F11</f>
        <v>-1.7494872212409973E-2</v>
      </c>
      <c r="F9" s="94">
        <f>DataT11!G11</f>
        <v>0.4458371102809906</v>
      </c>
      <c r="G9" s="43">
        <f>DataT11!H11</f>
        <v>-0.34616190195083618</v>
      </c>
    </row>
    <row r="10" spans="1:7" ht="18" thickBot="1" x14ac:dyDescent="0.25">
      <c r="A10" s="21" t="s">
        <v>525</v>
      </c>
      <c r="B10" s="55" t="str">
        <f>DataT11!C12</f>
        <v>DR Congo</v>
      </c>
      <c r="C10" s="55">
        <f>DataT11!D12</f>
        <v>1174.989501953125</v>
      </c>
      <c r="D10" s="55">
        <f>DataT11!E12</f>
        <v>112832473</v>
      </c>
      <c r="E10" s="43">
        <f>DataT11!F12</f>
        <v>-3.974258154630661E-2</v>
      </c>
      <c r="F10" s="94">
        <f>DataT11!G12</f>
        <v>0.47531852126121521</v>
      </c>
      <c r="G10" s="43">
        <f>DataT11!H12</f>
        <v>-0.50315612554550171</v>
      </c>
    </row>
    <row r="11" spans="1:7" ht="18" thickBot="1" x14ac:dyDescent="0.25">
      <c r="A11" s="21" t="s">
        <v>526</v>
      </c>
      <c r="B11" s="50" t="str">
        <f>DataT11!C13</f>
        <v>Madagascar</v>
      </c>
      <c r="C11" s="50">
        <f>DataT11!D13</f>
        <v>1177.6971435546875</v>
      </c>
      <c r="D11" s="50">
        <f>DataT11!E13</f>
        <v>32740678</v>
      </c>
      <c r="E11" s="93">
        <f>DataT11!F13</f>
        <v>-3.6227110773324966E-2</v>
      </c>
      <c r="F11" s="95">
        <f>DataT11!G13</f>
        <v>0.39191314578056335</v>
      </c>
      <c r="G11" s="93">
        <f>DataT11!H13</f>
        <v>-0.39424020051956177</v>
      </c>
    </row>
    <row r="12" spans="1:7" ht="18" thickBot="1" x14ac:dyDescent="0.25">
      <c r="A12" s="56" t="s">
        <v>527</v>
      </c>
      <c r="B12" s="50" t="str">
        <f>DataT11!C14</f>
        <v>Niger</v>
      </c>
      <c r="C12" s="50">
        <f>DataT11!D14</f>
        <v>1268.6312255859375</v>
      </c>
      <c r="D12" s="50">
        <f>DataT11!E14</f>
        <v>27917831</v>
      </c>
      <c r="E12" s="93">
        <f>DataT11!F14</f>
        <v>-2.1101184189319611E-2</v>
      </c>
      <c r="F12" s="95">
        <f>DataT11!G14</f>
        <v>0.43841031193733215</v>
      </c>
      <c r="G12" s="93">
        <f>DataT11!H14</f>
        <v>-0.95446407794952393</v>
      </c>
    </row>
    <row r="13" spans="1:7" ht="18" thickBot="1" x14ac:dyDescent="0.25">
      <c r="A13" s="21" t="s">
        <v>534</v>
      </c>
      <c r="B13" s="50" t="str">
        <f>DataT11!C15</f>
        <v>Liberia</v>
      </c>
      <c r="C13" s="50">
        <f>DataT11!D15</f>
        <v>1309.9266357421875</v>
      </c>
      <c r="D13" s="50">
        <f>DataT11!E15</f>
        <v>5731206</v>
      </c>
      <c r="E13" s="93">
        <f>DataT11!F15</f>
        <v>-7.5811602175235748E-2</v>
      </c>
      <c r="F13" s="95">
        <f>DataT11!G15</f>
        <v>0.54056793451309204</v>
      </c>
      <c r="G13" s="93">
        <f>DataT11!H15</f>
        <v>-0.64368510246276855</v>
      </c>
    </row>
    <row r="14" spans="1:7" ht="18" thickBot="1" x14ac:dyDescent="0.25">
      <c r="A14" s="21" t="s">
        <v>535</v>
      </c>
      <c r="B14" s="50" t="str">
        <f>DataT11!C16</f>
        <v>Afghanistan</v>
      </c>
      <c r="C14" s="50">
        <f>DataT11!D16</f>
        <v>1408.230224609375</v>
      </c>
      <c r="D14" s="50">
        <f>DataT11!E16</f>
        <v>43844111</v>
      </c>
      <c r="E14" s="93">
        <f>DataT11!F16</f>
        <v>9.6867717802524567E-3</v>
      </c>
      <c r="F14" s="95">
        <f>DataT11!G16</f>
        <v>0.24501150846481323</v>
      </c>
      <c r="G14" s="93">
        <f>DataT11!H16</f>
        <v>2.5133462622761726E-2</v>
      </c>
    </row>
    <row r="15" spans="1:7" ht="18" thickBot="1" x14ac:dyDescent="0.25">
      <c r="A15" s="21" t="s">
        <v>536</v>
      </c>
      <c r="B15" s="50" t="str">
        <f>DataT11!C17</f>
        <v>Eritrea</v>
      </c>
      <c r="C15" s="50">
        <f>DataT11!D17</f>
        <v>1519.3408203125</v>
      </c>
      <c r="D15" s="50">
        <f>DataT11!E17</f>
        <v>3607003</v>
      </c>
      <c r="E15" s="93">
        <f>DataT11!F17</f>
        <v>-6.27872534096241E-3</v>
      </c>
      <c r="F15" s="95">
        <f>DataT11!G17</f>
        <v>0.23008744418621063</v>
      </c>
      <c r="G15" s="93">
        <f>DataT11!H17</f>
        <v>-0.68385297060012817</v>
      </c>
    </row>
    <row r="16" spans="1:7" ht="35" thickBot="1" x14ac:dyDescent="0.25">
      <c r="A16" s="21" t="s">
        <v>537</v>
      </c>
      <c r="B16" s="50" t="str">
        <f>DataT11!C18</f>
        <v>Solomon Islands</v>
      </c>
      <c r="C16" s="50">
        <f>DataT11!D18</f>
        <v>1668.9830322265625</v>
      </c>
      <c r="D16" s="50">
        <f>DataT11!E18</f>
        <v>838645</v>
      </c>
      <c r="E16" s="93">
        <f>DataT11!F18</f>
        <v>-8.5585042834281921E-3</v>
      </c>
      <c r="F16" s="95">
        <f>DataT11!G18</f>
        <v>0.91903764009475708</v>
      </c>
      <c r="G16" s="93">
        <f>DataT11!H18</f>
        <v>-6.7004010081291199E-2</v>
      </c>
    </row>
    <row r="17" spans="1:7" ht="35" thickBot="1" x14ac:dyDescent="0.25">
      <c r="A17" s="21" t="s">
        <v>538</v>
      </c>
      <c r="B17" s="50" t="str">
        <f>DataT11!C19</f>
        <v>Guinea-Bissau</v>
      </c>
      <c r="C17" s="50">
        <f>DataT11!D19</f>
        <v>1689.7430419921875</v>
      </c>
      <c r="D17" s="50">
        <f>DataT11!E19</f>
        <v>2249515</v>
      </c>
      <c r="E17" s="93">
        <f>DataT11!F19</f>
        <v>-2.5780876167118549E-3</v>
      </c>
      <c r="F17" s="95">
        <f>DataT11!G19</f>
        <v>0.47568973898887634</v>
      </c>
      <c r="G17" s="93">
        <f>DataT11!H19</f>
        <v>-0.4345640242099762</v>
      </c>
    </row>
    <row r="18" spans="1:7" ht="18" thickBot="1" x14ac:dyDescent="0.25">
      <c r="A18" s="21" t="s">
        <v>539</v>
      </c>
      <c r="B18" s="50" t="str">
        <f>DataT11!C20</f>
        <v>Burkina Faso</v>
      </c>
      <c r="C18" s="50">
        <f>DataT11!D20</f>
        <v>1818.2225341796875</v>
      </c>
      <c r="D18" s="50">
        <f>DataT11!E20</f>
        <v>24074580</v>
      </c>
      <c r="E18" s="93">
        <f>DataT11!F20</f>
        <v>-5.4291456937789917E-2</v>
      </c>
      <c r="F18" s="95">
        <f>DataT11!G20</f>
        <v>0.48323255777359009</v>
      </c>
      <c r="G18" s="93">
        <f>DataT11!H20</f>
        <v>-0.3803851306438446</v>
      </c>
    </row>
    <row r="19" spans="1:7" ht="18" thickBot="1" x14ac:dyDescent="0.25">
      <c r="A19" s="21" t="s">
        <v>540</v>
      </c>
      <c r="B19" s="50" t="str">
        <f>DataT11!C21</f>
        <v>Chad</v>
      </c>
      <c r="C19" s="50">
        <f>DataT11!D21</f>
        <v>1873.329833984375</v>
      </c>
      <c r="D19" s="50">
        <f>DataT11!E21</f>
        <v>21003705</v>
      </c>
      <c r="E19" s="93">
        <f>DataT11!F21</f>
        <v>1.3764944160357118E-3</v>
      </c>
      <c r="F19" s="95">
        <f>DataT11!G21</f>
        <v>0.45588979125022888</v>
      </c>
      <c r="G19" s="93">
        <f>DataT11!H21</f>
        <v>-0.61020714044570923</v>
      </c>
    </row>
    <row r="20" spans="1:7" ht="18" thickBot="1" x14ac:dyDescent="0.25">
      <c r="A20" s="21" t="s">
        <v>541</v>
      </c>
      <c r="B20" s="50" t="str">
        <f>DataT11!C22</f>
        <v>Venezuela</v>
      </c>
      <c r="C20" s="50">
        <f>DataT11!D22</f>
        <v>1897.364013671875</v>
      </c>
      <c r="D20" s="50">
        <f>DataT11!E22</f>
        <v>28516896</v>
      </c>
      <c r="E20" s="93">
        <f>DataT11!F22</f>
        <v>-0.14423733949661255</v>
      </c>
      <c r="F20" s="95">
        <f>DataT11!G22</f>
        <v>0.80865681171417236</v>
      </c>
      <c r="G20" s="93">
        <f>DataT11!H22</f>
        <v>2.5164055824279785</v>
      </c>
    </row>
    <row r="21" spans="1:7" ht="18" thickBot="1" x14ac:dyDescent="0.25">
      <c r="A21" s="21" t="s">
        <v>542</v>
      </c>
      <c r="B21" s="50" t="str">
        <f>DataT11!C23</f>
        <v>South Sudan</v>
      </c>
      <c r="C21" s="50">
        <f>DataT11!D23</f>
        <v>1949.9443359375</v>
      </c>
      <c r="D21" s="50">
        <f>DataT11!E23</f>
        <v>12188788</v>
      </c>
      <c r="E21" s="93">
        <f>DataT11!F23</f>
        <v>-8.8209949433803558E-2</v>
      </c>
      <c r="F21" s="95">
        <f>DataT11!G23</f>
        <v>13.594285011291504</v>
      </c>
      <c r="G21" s="93">
        <f>DataT11!H23</f>
        <v>-6.3666100613772869E-3</v>
      </c>
    </row>
    <row r="22" spans="1:7" ht="18" thickBot="1" x14ac:dyDescent="0.25">
      <c r="A22" s="21" t="s">
        <v>543</v>
      </c>
      <c r="B22" s="50" t="str">
        <f>DataT11!C24</f>
        <v>Haiti</v>
      </c>
      <c r="C22" s="50">
        <f>DataT11!D24</f>
        <v>2065.291259765625</v>
      </c>
      <c r="D22" s="50">
        <f>DataT11!E24</f>
        <v>11906095</v>
      </c>
      <c r="E22" s="93">
        <f>DataT11!F24</f>
        <v>7.8438222408294678E-4</v>
      </c>
      <c r="F22" s="95">
        <f>DataT11!G24</f>
        <v>1.0489646196365356</v>
      </c>
      <c r="G22" s="93">
        <f>DataT11!H24</f>
        <v>1.2041267938911915E-2</v>
      </c>
    </row>
    <row r="23" spans="1:7" ht="74" customHeight="1" thickBot="1" x14ac:dyDescent="0.25">
      <c r="A23" s="186" t="s">
        <v>528</v>
      </c>
      <c r="B23" s="187"/>
      <c r="C23" s="187"/>
      <c r="D23" s="187"/>
      <c r="E23" s="187"/>
      <c r="F23" s="187"/>
      <c r="G23" s="188"/>
    </row>
  </sheetData>
  <mergeCells count="2">
    <mergeCell ref="A23:G23"/>
    <mergeCell ref="A1:G1"/>
  </mergeCells>
  <phoneticPr fontId="1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FEA0E-2FC2-3344-900A-CF8ADAC508B9}">
  <sheetPr>
    <tabColor rgb="FF7030A0"/>
  </sheetPr>
  <dimension ref="A1:L14"/>
  <sheetViews>
    <sheetView zoomScale="83" workbookViewId="0">
      <selection activeCell="D18" sqref="D18"/>
    </sheetView>
  </sheetViews>
  <sheetFormatPr baseColWidth="10" defaultRowHeight="32" customHeight="1" x14ac:dyDescent="0.2"/>
  <cols>
    <col min="1" max="8" width="18.33203125" customWidth="1"/>
    <col min="9" max="9" width="20.6640625" customWidth="1"/>
    <col min="10" max="10" width="16.83203125" customWidth="1"/>
    <col min="11" max="11" width="18.5" customWidth="1"/>
    <col min="12" max="12" width="18.1640625" customWidth="1"/>
  </cols>
  <sheetData>
    <row r="1" spans="1:12" ht="19" thickBot="1" x14ac:dyDescent="0.25">
      <c r="A1" s="192" t="str">
        <f>DataT12!B3</f>
        <v>Table 12. Top 10 Largest Economies (2025)</v>
      </c>
      <c r="B1" s="193"/>
      <c r="C1" s="193"/>
      <c r="D1" s="193"/>
      <c r="E1" s="193"/>
      <c r="F1" s="193"/>
      <c r="G1" s="193"/>
      <c r="H1" s="193"/>
      <c r="I1" s="193"/>
      <c r="J1" s="193"/>
      <c r="K1" s="193"/>
      <c r="L1" s="194"/>
    </row>
    <row r="2" spans="1:12" ht="69" thickBot="1" x14ac:dyDescent="0.25">
      <c r="A2" s="20"/>
      <c r="B2" s="15" t="str">
        <f>DataT12!B4</f>
        <v>Name of Country</v>
      </c>
      <c r="C2" s="15" t="str">
        <f>DataT12!C4</f>
        <v>National income        (PPP 2025 billions €)</v>
      </c>
      <c r="D2" s="15" t="str">
        <f>DataT12!D4</f>
        <v>Total Population (millions)</v>
      </c>
      <c r="E2" s="15" t="str">
        <f>DataT12!E4</f>
        <v xml:space="preserve">Per Capita National Income
(PPP 2025 €)
</v>
      </c>
      <c r="F2" s="15" t="str">
        <f>DataT12!F4</f>
        <v>National income        (MER 2025 billions €)</v>
      </c>
      <c r="G2" s="15" t="str">
        <f>DataT12!G4</f>
        <v>Gross domestic product 
(PPP 2025 billions €)</v>
      </c>
      <c r="H2" s="15" t="str">
        <f>DataT12!H4</f>
        <v>Gross domestic product 
(MER 2025 billions €)</v>
      </c>
      <c r="I2" s="15" t="str">
        <f>DataT12!I4</f>
        <v>Ranking
National income        (MER 2025 billions €)</v>
      </c>
      <c r="J2" s="15" t="str">
        <f>DataT12!J4</f>
        <v>Ratio MER/PPP National Income</v>
      </c>
      <c r="K2" s="15" t="str">
        <f>DataT12!K4</f>
        <v>Net Foreign Income as % NDP (MER 2025 $)</v>
      </c>
      <c r="L2" s="15" t="str">
        <f>DataT12!L4</f>
        <v>Net Foreign Wealth as % NDP (MER 2025 $)</v>
      </c>
    </row>
    <row r="3" spans="1:12" ht="32" customHeight="1" thickBot="1" x14ac:dyDescent="0.25">
      <c r="A3" s="21" t="s">
        <v>518</v>
      </c>
      <c r="B3" s="46" t="str">
        <f>DataT12!B5</f>
        <v>China</v>
      </c>
      <c r="C3" s="62">
        <f>DataT12!C5</f>
        <v>22503.658203125</v>
      </c>
      <c r="D3" s="62">
        <f>DataT12!D5</f>
        <v>1416.096094</v>
      </c>
      <c r="E3" s="62">
        <f>DataT12!E5</f>
        <v>15891.3349609375</v>
      </c>
      <c r="F3" s="62">
        <f>DataT12!F5</f>
        <v>13347.4677734375</v>
      </c>
      <c r="G3" s="62">
        <f>DataT12!G5</f>
        <v>27988.65234375</v>
      </c>
      <c r="H3" s="62">
        <f>DataT12!H5</f>
        <v>16600.751953125</v>
      </c>
      <c r="I3" s="46">
        <f>DataT12!I5</f>
        <v>2</v>
      </c>
      <c r="J3" s="59">
        <f>DataT12!J5</f>
        <v>0.5931243896484375</v>
      </c>
      <c r="K3" s="54">
        <f>DataT12!K5</f>
        <v>-1.6875583678483963E-2</v>
      </c>
      <c r="L3" s="54">
        <f>DataT12!L5</f>
        <v>0.24394328892230988</v>
      </c>
    </row>
    <row r="4" spans="1:12" ht="32" customHeight="1" thickBot="1" x14ac:dyDescent="0.25">
      <c r="A4" s="21" t="s">
        <v>519</v>
      </c>
      <c r="B4" s="46" t="str">
        <f>DataT12!B6</f>
        <v>USA</v>
      </c>
      <c r="C4" s="62">
        <f>DataT12!C6</f>
        <v>17343.103515625</v>
      </c>
      <c r="D4" s="62">
        <f>DataT12!D6</f>
        <v>347.27580699999999</v>
      </c>
      <c r="E4" s="62">
        <f>DataT12!E6</f>
        <v>49940.43359375</v>
      </c>
      <c r="F4" s="62">
        <f>DataT12!F6</f>
        <v>21702.71875</v>
      </c>
      <c r="G4" s="62">
        <f>DataT12!G6</f>
        <v>20860.193359375</v>
      </c>
      <c r="H4" s="62">
        <f>DataT12!H6</f>
        <v>26103.916015625</v>
      </c>
      <c r="I4" s="46">
        <f>DataT12!I6</f>
        <v>1</v>
      </c>
      <c r="J4" s="59">
        <f>DataT12!J6</f>
        <v>1.2513744831085205</v>
      </c>
      <c r="K4" s="54">
        <f>DataT12!K6</f>
        <v>-6.5918167820200324E-4</v>
      </c>
      <c r="L4" s="54">
        <f>DataT12!L6</f>
        <v>-1.0446722507476807</v>
      </c>
    </row>
    <row r="5" spans="1:12" ht="32" customHeight="1" thickBot="1" x14ac:dyDescent="0.25">
      <c r="A5" s="21" t="s">
        <v>520</v>
      </c>
      <c r="B5" s="46" t="str">
        <f>DataT12!B7</f>
        <v>India</v>
      </c>
      <c r="C5" s="62">
        <f>DataT12!C7</f>
        <v>10240.458984375</v>
      </c>
      <c r="D5" s="62">
        <f>DataT12!D7</f>
        <v>1463.8655249999999</v>
      </c>
      <c r="E5" s="62">
        <f>DataT12!E7</f>
        <v>6995.49169921875</v>
      </c>
      <c r="F5" s="62">
        <f>DataT12!F7</f>
        <v>3037.53759765625</v>
      </c>
      <c r="G5" s="62">
        <f>DataT12!G7</f>
        <v>11755.3974609375</v>
      </c>
      <c r="H5" s="62">
        <f>DataT12!H7</f>
        <v>3486.900634765625</v>
      </c>
      <c r="I5" s="46">
        <f>DataT12!I7</f>
        <v>6</v>
      </c>
      <c r="J5" s="59">
        <f>DataT12!J7</f>
        <v>0.29662123322486877</v>
      </c>
      <c r="K5" s="54">
        <f>DataT12!K7</f>
        <v>-2.980164997279644E-2</v>
      </c>
      <c r="L5" s="54">
        <f>DataT12!L7</f>
        <v>-0.37667301297187805</v>
      </c>
    </row>
    <row r="6" spans="1:12" ht="32" customHeight="1" thickBot="1" x14ac:dyDescent="0.25">
      <c r="A6" s="41" t="s">
        <v>521</v>
      </c>
      <c r="B6" s="50" t="str">
        <f>DataT12!B8</f>
        <v>Russia</v>
      </c>
      <c r="C6" s="78">
        <f>DataT12!C8</f>
        <v>4184.3349609375</v>
      </c>
      <c r="D6" s="78">
        <f>DataT12!D8</f>
        <v>143.99739299999999</v>
      </c>
      <c r="E6" s="78">
        <f>DataT12!E8</f>
        <v>29058.408203125</v>
      </c>
      <c r="F6" s="78">
        <f>DataT12!F8</f>
        <v>1974.7528076171875</v>
      </c>
      <c r="G6" s="78">
        <f>DataT12!G8</f>
        <v>4880.2099609375</v>
      </c>
      <c r="H6" s="78">
        <f>DataT12!H8</f>
        <v>2303.163818359375</v>
      </c>
      <c r="I6" s="50">
        <f>DataT12!I8</f>
        <v>8</v>
      </c>
      <c r="J6" s="95">
        <f>DataT12!J8</f>
        <v>0.47193947434425354</v>
      </c>
      <c r="K6" s="100">
        <f>DataT12!K8</f>
        <v>-9.4344867393374443E-3</v>
      </c>
      <c r="L6" s="100">
        <f>DataT12!L8</f>
        <v>0.35366252064704895</v>
      </c>
    </row>
    <row r="7" spans="1:12" ht="32" customHeight="1" thickBot="1" x14ac:dyDescent="0.25">
      <c r="A7" s="21" t="s">
        <v>522</v>
      </c>
      <c r="B7" s="46" t="str">
        <f>DataT12!B9</f>
        <v>Japan</v>
      </c>
      <c r="C7" s="62">
        <f>DataT12!C9</f>
        <v>3708.939697265625</v>
      </c>
      <c r="D7" s="62">
        <f>DataT12!D9</f>
        <v>123.10347899999999</v>
      </c>
      <c r="E7" s="62">
        <f>DataT12!E9</f>
        <v>30128.634765625</v>
      </c>
      <c r="F7" s="62">
        <f>DataT12!F9</f>
        <v>3040.634765625</v>
      </c>
      <c r="G7" s="62">
        <f>DataT12!G9</f>
        <v>4492.49951171875</v>
      </c>
      <c r="H7" s="62">
        <f>DataT12!H9</f>
        <v>3683.0068359375</v>
      </c>
      <c r="I7" s="46">
        <f>DataT12!I9</f>
        <v>5</v>
      </c>
      <c r="J7" s="59">
        <f>DataT12!J9</f>
        <v>0.81981241703033447</v>
      </c>
      <c r="K7" s="54">
        <f>DataT12!K9</f>
        <v>8.8244929909706116E-2</v>
      </c>
      <c r="L7" s="54">
        <f>DataT12!L9</f>
        <v>0.9462122917175293</v>
      </c>
    </row>
    <row r="8" spans="1:12" ht="32" customHeight="1" thickBot="1" x14ac:dyDescent="0.25">
      <c r="A8" s="21" t="s">
        <v>523</v>
      </c>
      <c r="B8" s="46" t="str">
        <f>DataT12!B10</f>
        <v>Germany</v>
      </c>
      <c r="C8" s="62">
        <f>DataT12!C10</f>
        <v>3514.155517578125</v>
      </c>
      <c r="D8" s="62">
        <f>DataT12!D10</f>
        <v>84.075074999999998</v>
      </c>
      <c r="E8" s="62">
        <f>DataT12!E10</f>
        <v>41797.828125</v>
      </c>
      <c r="F8" s="62">
        <f>DataT12!F10</f>
        <v>3742.289306640625</v>
      </c>
      <c r="G8" s="62">
        <f>DataT12!G10</f>
        <v>4159.1982421875</v>
      </c>
      <c r="H8" s="62">
        <f>DataT12!H10</f>
        <v>4429.20703125</v>
      </c>
      <c r="I8" s="46">
        <f>DataT12!I10</f>
        <v>3</v>
      </c>
      <c r="J8" s="59">
        <f>DataT12!J10</f>
        <v>1.0649185180664062</v>
      </c>
      <c r="K8" s="54">
        <f>DataT12!K10</f>
        <v>4.6689588576555252E-2</v>
      </c>
      <c r="L8" s="54">
        <f>DataT12!L10</f>
        <v>0.84137386083602905</v>
      </c>
    </row>
    <row r="9" spans="1:12" ht="32" customHeight="1" thickBot="1" x14ac:dyDescent="0.25">
      <c r="A9" s="21" t="s">
        <v>524</v>
      </c>
      <c r="B9" s="46" t="str">
        <f>DataT12!B11</f>
        <v>Brazil</v>
      </c>
      <c r="C9" s="62">
        <f>DataT12!C11</f>
        <v>2789.93798828125</v>
      </c>
      <c r="D9" s="62">
        <f>DataT12!D11</f>
        <v>212.81240500000001</v>
      </c>
      <c r="E9" s="62">
        <f>DataT12!E11</f>
        <v>13109.8466796875</v>
      </c>
      <c r="F9" s="62">
        <f>DataT12!F11</f>
        <v>1641.2935791015625</v>
      </c>
      <c r="G9" s="62">
        <f>DataT12!G11</f>
        <v>3382.244384765625</v>
      </c>
      <c r="H9" s="62">
        <f>DataT12!H11</f>
        <v>1989.74169921875</v>
      </c>
      <c r="I9" s="46">
        <f>DataT12!I11</f>
        <v>11</v>
      </c>
      <c r="J9" s="59">
        <f>DataT12!J11</f>
        <v>0.58829033374786377</v>
      </c>
      <c r="K9" s="54">
        <f>DataT12!K11</f>
        <v>-4.1597779840230942E-2</v>
      </c>
      <c r="L9" s="54">
        <f>DataT12!L11</f>
        <v>-0.40240809321403503</v>
      </c>
    </row>
    <row r="10" spans="1:12" ht="32" customHeight="1" thickBot="1" x14ac:dyDescent="0.25">
      <c r="A10" s="21" t="s">
        <v>525</v>
      </c>
      <c r="B10" s="46" t="str">
        <f>DataT12!B12</f>
        <v>Indonesia</v>
      </c>
      <c r="C10" s="62">
        <f>DataT12!C12</f>
        <v>2787.31689453125</v>
      </c>
      <c r="D10" s="62">
        <f>DataT12!D12</f>
        <v>285.72123599999998</v>
      </c>
      <c r="E10" s="62">
        <f>DataT12!E12</f>
        <v>9755.3720703125</v>
      </c>
      <c r="F10" s="62">
        <f>DataT12!F12</f>
        <v>1019.352783203125</v>
      </c>
      <c r="G10" s="62">
        <f>DataT12!G12</f>
        <v>3409.27099609375</v>
      </c>
      <c r="H10" s="62">
        <f>DataT12!H12</f>
        <v>1246.808349609375</v>
      </c>
      <c r="I10" s="46">
        <f>DataT12!I12</f>
        <v>17</v>
      </c>
      <c r="J10" s="59">
        <f>DataT12!J12</f>
        <v>0.36571112275123596</v>
      </c>
      <c r="K10" s="54">
        <f>DataT12!K12</f>
        <v>-3.03078293800354E-2</v>
      </c>
      <c r="L10" s="54">
        <f>DataT12!L12</f>
        <v>-0.18292734026908875</v>
      </c>
    </row>
    <row r="11" spans="1:12" ht="32" customHeight="1" thickBot="1" x14ac:dyDescent="0.25">
      <c r="A11" s="21" t="s">
        <v>526</v>
      </c>
      <c r="B11" s="46" t="str">
        <f>DataT12!B13</f>
        <v>United Kingdom</v>
      </c>
      <c r="C11" s="62">
        <f>DataT12!C13</f>
        <v>2643.8857421875</v>
      </c>
      <c r="D11" s="62">
        <f>DataT12!D13</f>
        <v>69.551332000000002</v>
      </c>
      <c r="E11" s="62">
        <f>DataT12!E13</f>
        <v>38013.4453125</v>
      </c>
      <c r="F11" s="62">
        <f>DataT12!F13</f>
        <v>3135.306640625</v>
      </c>
      <c r="G11" s="62">
        <f>DataT12!G13</f>
        <v>2977.12646484375</v>
      </c>
      <c r="H11" s="62">
        <f>DataT12!H13</f>
        <v>3530.487060546875</v>
      </c>
      <c r="I11" s="46">
        <f>DataT12!I13</f>
        <v>4</v>
      </c>
      <c r="J11" s="59">
        <f>DataT12!J13</f>
        <v>1.1858707666397095</v>
      </c>
      <c r="K11" s="54">
        <f>DataT12!K13</f>
        <v>1.5832846984267235E-2</v>
      </c>
      <c r="L11" s="54">
        <f>DataT12!L13</f>
        <v>5.1826391369104385E-2</v>
      </c>
    </row>
    <row r="12" spans="1:12" ht="32" customHeight="1" thickBot="1" x14ac:dyDescent="0.25">
      <c r="A12" s="21" t="s">
        <v>527</v>
      </c>
      <c r="B12" s="15" t="str">
        <f>DataT12!B14</f>
        <v>France</v>
      </c>
      <c r="C12" s="2">
        <f>DataT12!C14</f>
        <v>2561.3837890625</v>
      </c>
      <c r="D12" s="2">
        <f>DataT12!D14</f>
        <v>68.898111999999998</v>
      </c>
      <c r="E12" s="2">
        <f>DataT12!E14</f>
        <v>37176.40234375</v>
      </c>
      <c r="F12" s="2">
        <f>DataT12!F14</f>
        <v>2537.877197265625</v>
      </c>
      <c r="G12" s="2">
        <f>DataT12!G14</f>
        <v>3040.565185546875</v>
      </c>
      <c r="H12" s="2">
        <f>DataT12!H14</f>
        <v>3012.660888671875</v>
      </c>
      <c r="I12" s="15">
        <f>DataT12!I14</f>
        <v>7</v>
      </c>
      <c r="J12" s="28">
        <f>DataT12!J14</f>
        <v>0.99082261323928833</v>
      </c>
      <c r="K12" s="101">
        <f>DataT12!K14</f>
        <v>3.7949468940496445E-2</v>
      </c>
      <c r="L12" s="101">
        <f>DataT12!L14</f>
        <v>-0.22481121122837067</v>
      </c>
    </row>
    <row r="13" spans="1:12" ht="20" customHeight="1" x14ac:dyDescent="0.2">
      <c r="A13" s="195" t="s">
        <v>651</v>
      </c>
      <c r="B13" s="196"/>
      <c r="C13" s="196"/>
      <c r="D13" s="196"/>
      <c r="E13" s="196"/>
      <c r="F13" s="196"/>
      <c r="G13" s="196"/>
      <c r="H13" s="196"/>
      <c r="I13" s="196"/>
      <c r="J13" s="196"/>
      <c r="K13" s="196"/>
      <c r="L13" s="197"/>
    </row>
    <row r="14" spans="1:12" ht="21" customHeight="1" thickBot="1" x14ac:dyDescent="0.25">
      <c r="A14" s="198"/>
      <c r="B14" s="199"/>
      <c r="C14" s="199"/>
      <c r="D14" s="199"/>
      <c r="E14" s="199"/>
      <c r="F14" s="199"/>
      <c r="G14" s="199"/>
      <c r="H14" s="199"/>
      <c r="I14" s="199"/>
      <c r="J14" s="199"/>
      <c r="K14" s="199"/>
      <c r="L14" s="200"/>
    </row>
  </sheetData>
  <mergeCells count="2">
    <mergeCell ref="A1:L1"/>
    <mergeCell ref="A13:L1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D477-19BD-D242-8DAB-E41B4AB0C52D}">
  <sheetPr>
    <tabColor rgb="FF00B050"/>
  </sheetPr>
  <dimension ref="A1:M14"/>
  <sheetViews>
    <sheetView zoomScaleNormal="100" workbookViewId="0">
      <selection activeCell="B2" sqref="B2:G2"/>
    </sheetView>
  </sheetViews>
  <sheetFormatPr baseColWidth="10" defaultRowHeight="15" x14ac:dyDescent="0.2"/>
  <cols>
    <col min="1" max="1" width="25.33203125" customWidth="1"/>
    <col min="2" max="13" width="16" customWidth="1"/>
  </cols>
  <sheetData>
    <row r="1" spans="1:13" ht="17" thickBot="1" x14ac:dyDescent="0.25">
      <c r="A1" s="204" t="str">
        <f>DataT13a!B2</f>
        <v>Table 13a. Current Account by World Region PPP € (2025)</v>
      </c>
      <c r="B1" s="205"/>
      <c r="C1" s="205"/>
      <c r="D1" s="205"/>
      <c r="E1" s="205"/>
      <c r="F1" s="205"/>
      <c r="G1" s="205"/>
      <c r="H1" s="205"/>
      <c r="I1" s="205"/>
      <c r="J1" s="205"/>
      <c r="K1" s="205"/>
      <c r="L1" s="205"/>
      <c r="M1" s="206"/>
    </row>
    <row r="2" spans="1:13" ht="17" thickBot="1" x14ac:dyDescent="0.25">
      <c r="A2" s="46"/>
      <c r="B2" s="201" t="str">
        <f>DataT13a!C3</f>
        <v>PPP 2025  billions €</v>
      </c>
      <c r="C2" s="202"/>
      <c r="D2" s="202"/>
      <c r="E2" s="202"/>
      <c r="F2" s="202"/>
      <c r="G2" s="203"/>
      <c r="H2" s="201" t="str">
        <f>DataT13a!I3</f>
        <v>% of Gross Domestic Product</v>
      </c>
      <c r="I2" s="202"/>
      <c r="J2" s="202"/>
      <c r="K2" s="202"/>
      <c r="L2" s="202"/>
      <c r="M2" s="203"/>
    </row>
    <row r="3" spans="1:13" s="70" customFormat="1" ht="82" customHeight="1" thickBot="1" x14ac:dyDescent="0.25">
      <c r="A3" s="15" t="str">
        <f>DataT13a!B4</f>
        <v>Region</v>
      </c>
      <c r="B3" s="15" t="str">
        <f>DataT13a!C4</f>
        <v xml:space="preserve"> Net foreign capital income</v>
      </c>
      <c r="C3" s="15" t="str">
        <f>DataT13a!D4</f>
        <v>Net foreign labor income</v>
      </c>
      <c r="D3" s="15" t="str">
        <f>DataT13a!E4</f>
        <v>Trade balance</v>
      </c>
      <c r="E3" s="15" t="str">
        <f>DataT13a!F4</f>
        <v xml:space="preserve"> Foreign subsidies less taxes on production and imports</v>
      </c>
      <c r="F3" s="15" t="str">
        <f>DataT13a!G4</f>
        <v>Net foreign transfers</v>
      </c>
      <c r="G3" s="18" t="str">
        <f>DataT13a!H4</f>
        <v>Current Account</v>
      </c>
      <c r="H3" s="15" t="str">
        <f>DataT13a!I4</f>
        <v xml:space="preserve"> Net foreign capital income as % of Gross Domestic Product</v>
      </c>
      <c r="I3" s="15" t="str">
        <f>DataT13a!J4</f>
        <v>Net foreign labor income  as % of Gross Domestic Product</v>
      </c>
      <c r="J3" s="15" t="str">
        <f>DataT13a!K4</f>
        <v>Trade balance  as % of Gross Domestic Product</v>
      </c>
      <c r="K3" s="15" t="str">
        <f>DataT13a!L4</f>
        <v xml:space="preserve"> Foreign subsidies less taxes on production and imports  as % of Gross Domestic Product</v>
      </c>
      <c r="L3" s="15" t="str">
        <f>DataT13a!M4</f>
        <v>Net foreign transfers  as % of Gross Domestic Product</v>
      </c>
      <c r="M3" s="18" t="str">
        <f>DataT13a!N4</f>
        <v>Current Account  as % of Gross Domestic Product</v>
      </c>
    </row>
    <row r="4" spans="1:13" ht="17" thickBot="1" x14ac:dyDescent="0.25">
      <c r="A4" s="46" t="str">
        <f>DataT13a!B5</f>
        <v>East Asia</v>
      </c>
      <c r="B4" s="47">
        <f>DataT13a!C5</f>
        <v>81.975501312000006</v>
      </c>
      <c r="C4" s="47">
        <f>DataT13a!D5</f>
        <v>-41.234278463999999</v>
      </c>
      <c r="D4" s="47">
        <f>DataT13a!E5</f>
        <v>1350.1177498239999</v>
      </c>
      <c r="E4" s="47">
        <f>DataT13a!F5</f>
        <v>2.7619335068750002</v>
      </c>
      <c r="F4" s="47">
        <f>DataT13a!G5</f>
        <v>-99.37778496</v>
      </c>
      <c r="G4" s="63">
        <f>DataT13a!H5</f>
        <v>1294.2431491519999</v>
      </c>
      <c r="H4" s="43">
        <f>DataT13a!I5</f>
        <v>2.1978458389639854E-3</v>
      </c>
      <c r="I4" s="43">
        <f>DataT13a!J5</f>
        <v>-1.1055325157940388E-3</v>
      </c>
      <c r="J4" s="43">
        <f>DataT13a!K5</f>
        <v>3.6198016256093979E-2</v>
      </c>
      <c r="K4" s="43">
        <f>DataT13a!L5</f>
        <v>7.4050221883226186E-5</v>
      </c>
      <c r="L4" s="43">
        <f>DataT13a!M5</f>
        <v>-2.6644184254109859E-3</v>
      </c>
      <c r="M4" s="105">
        <f>DataT13a!N5</f>
        <v>3.4699961543083191E-2</v>
      </c>
    </row>
    <row r="5" spans="1:13" ht="18" customHeight="1" thickBot="1" x14ac:dyDescent="0.25">
      <c r="A5" s="46" t="str">
        <f>DataT13a!B6</f>
        <v>Europe</v>
      </c>
      <c r="B5" s="47">
        <f>DataT13a!C6</f>
        <v>175.863675016</v>
      </c>
      <c r="C5" s="47">
        <f>DataT13a!D6</f>
        <v>24.683303929000001</v>
      </c>
      <c r="D5" s="47">
        <f>DataT13a!E6</f>
        <v>190.89740452800001</v>
      </c>
      <c r="E5" s="47">
        <f>DataT13a!F6</f>
        <v>17.972080699749998</v>
      </c>
      <c r="F5" s="47">
        <f>DataT13a!G6</f>
        <v>-150.920496112</v>
      </c>
      <c r="G5" s="63">
        <f>DataT13a!H6</f>
        <v>258.49596260800001</v>
      </c>
      <c r="H5" s="43">
        <f>DataT13a!I6</f>
        <v>7.2921854443848133E-3</v>
      </c>
      <c r="I5" s="43">
        <f>DataT13a!J6</f>
        <v>1.0234928922727704E-3</v>
      </c>
      <c r="J5" s="43">
        <f>DataT13a!K6</f>
        <v>7.9155582934617996E-3</v>
      </c>
      <c r="K5" s="43">
        <f>DataT13a!L6</f>
        <v>7.4521213537082076E-4</v>
      </c>
      <c r="L5" s="43">
        <f>DataT13a!M6</f>
        <v>-6.2579168006777763E-3</v>
      </c>
      <c r="M5" s="105">
        <f>DataT13a!N6</f>
        <v>1.0718531906604767E-2</v>
      </c>
    </row>
    <row r="6" spans="1:13" ht="17" thickBot="1" x14ac:dyDescent="0.25">
      <c r="A6" s="46" t="str">
        <f>DataT13a!B7</f>
        <v>Latin America</v>
      </c>
      <c r="B6" s="47">
        <f>DataT13a!C7</f>
        <v>-329.53625038199999</v>
      </c>
      <c r="C6" s="47">
        <f>DataT13a!D7</f>
        <v>4.2237663476406251</v>
      </c>
      <c r="D6" s="47">
        <f>DataT13a!E7</f>
        <v>-100.13473062174999</v>
      </c>
      <c r="E6" s="47">
        <f>DataT13a!F7</f>
        <v>-5.0075857702382809</v>
      </c>
      <c r="F6" s="47">
        <f>DataT13a!G7</f>
        <v>210.85455656600001</v>
      </c>
      <c r="G6" s="63">
        <f>DataT13a!H7</f>
        <v>-219.60024994</v>
      </c>
      <c r="H6" s="43">
        <f>DataT13a!I7</f>
        <v>-3.1925410032272339E-2</v>
      </c>
      <c r="I6" s="43">
        <f>DataT13a!J7</f>
        <v>4.0919770253822207E-4</v>
      </c>
      <c r="J6" s="43">
        <f>DataT13a!K7</f>
        <v>-9.7010340541601181E-3</v>
      </c>
      <c r="K6" s="43">
        <f>DataT13a!L7</f>
        <v>-4.8513399087823927E-4</v>
      </c>
      <c r="L6" s="43">
        <f>DataT13a!M7</f>
        <v>2.0427551120519638E-2</v>
      </c>
      <c r="M6" s="105">
        <f>DataT13a!N7</f>
        <v>-2.1274831146001816E-2</v>
      </c>
    </row>
    <row r="7" spans="1:13" ht="17" thickBot="1" x14ac:dyDescent="0.25">
      <c r="A7" s="46" t="str">
        <f>DataT13a!B8</f>
        <v>MENA</v>
      </c>
      <c r="B7" s="47">
        <f>DataT13a!C8</f>
        <v>-88.869305080000004</v>
      </c>
      <c r="C7" s="47">
        <f>DataT13a!D8</f>
        <v>12.759817247000001</v>
      </c>
      <c r="D7" s="47">
        <f>DataT13a!E8</f>
        <v>126.084427136</v>
      </c>
      <c r="E7" s="47">
        <f>DataT13a!F8</f>
        <v>2.2929245422578126</v>
      </c>
      <c r="F7" s="47">
        <f>DataT13a!G8</f>
        <v>23.732522815999999</v>
      </c>
      <c r="G7" s="63">
        <f>DataT13a!H8</f>
        <v>76.000367616000005</v>
      </c>
      <c r="H7" s="43">
        <f>DataT13a!I8</f>
        <v>-8.3288690075278282E-3</v>
      </c>
      <c r="I7" s="43">
        <f>DataT13a!J8</f>
        <v>1.195855438709259E-3</v>
      </c>
      <c r="J7" s="43">
        <f>DataT13a!K8</f>
        <v>1.1816686019301414E-2</v>
      </c>
      <c r="K7" s="43">
        <f>DataT13a!L8</f>
        <v>2.1489385107997805E-4</v>
      </c>
      <c r="L7" s="43">
        <f>DataT13a!M8</f>
        <v>2.2242220584303141E-3</v>
      </c>
      <c r="M7" s="105">
        <f>DataT13a!N8</f>
        <v>7.1227867156267166E-3</v>
      </c>
    </row>
    <row r="8" spans="1:13" ht="17" thickBot="1" x14ac:dyDescent="0.25">
      <c r="A8" s="46" t="str">
        <f>DataT13a!B9</f>
        <v>North America &amp; Oceania</v>
      </c>
      <c r="B8" s="47">
        <f>DataT13a!C9</f>
        <v>54.99356335225</v>
      </c>
      <c r="C8" s="47">
        <f>DataT13a!D9</f>
        <v>-14.774146565500001</v>
      </c>
      <c r="D8" s="47">
        <f>DataT13a!E9</f>
        <v>-790.64741670399997</v>
      </c>
      <c r="E8" s="47">
        <f>DataT13a!F9</f>
        <v>-18.435940764656252</v>
      </c>
      <c r="F8" s="47">
        <f>DataT13a!G9</f>
        <v>-140.33291926014061</v>
      </c>
      <c r="G8" s="63">
        <f>DataT13a!H9</f>
        <v>-909.19691378300001</v>
      </c>
      <c r="H8" s="43">
        <f>DataT13a!I9</f>
        <v>2.2504690568894148E-3</v>
      </c>
      <c r="I8" s="43">
        <f>DataT13a!J9</f>
        <v>-6.045936606824398E-4</v>
      </c>
      <c r="J8" s="43">
        <f>DataT13a!K9</f>
        <v>-3.235519677400589E-2</v>
      </c>
      <c r="K8" s="43">
        <f>DataT13a!L9</f>
        <v>-7.5444311369210482E-4</v>
      </c>
      <c r="L8" s="43">
        <f>DataT13a!M9</f>
        <v>-5.7427613064646721E-3</v>
      </c>
      <c r="M8" s="105">
        <f>DataT13a!N9</f>
        <v>-3.7206530570983887E-2</v>
      </c>
    </row>
    <row r="9" spans="1:13" ht="17" thickBot="1" x14ac:dyDescent="0.25">
      <c r="A9" s="46" t="str">
        <f>DataT13a!B10</f>
        <v>Russia &amp; Central Asia</v>
      </c>
      <c r="B9" s="47">
        <f>DataT13a!C10</f>
        <v>-128.276840064</v>
      </c>
      <c r="C9" s="47">
        <f>DataT13a!D10</f>
        <v>49.267139776</v>
      </c>
      <c r="D9" s="47">
        <f>DataT13a!E10</f>
        <v>-88.741472512000001</v>
      </c>
      <c r="E9" s="47">
        <f>DataT13a!F10</f>
        <v>-0.73526420000000003</v>
      </c>
      <c r="F9" s="47">
        <f>DataT13a!G10</f>
        <v>68.418802127999996</v>
      </c>
      <c r="G9" s="63">
        <f>DataT13a!H10</f>
        <v>-100.06762879999999</v>
      </c>
      <c r="H9" s="43">
        <f>DataT13a!I10</f>
        <v>-1.8295671790838242E-2</v>
      </c>
      <c r="I9" s="43">
        <f>DataT13a!J10</f>
        <v>7.0267980918288231E-3</v>
      </c>
      <c r="J9" s="43">
        <f>DataT13a!K10</f>
        <v>-1.2656882405281067E-2</v>
      </c>
      <c r="K9" s="43">
        <f>DataT13a!L10</f>
        <v>-1.0486813698662445E-4</v>
      </c>
      <c r="L9" s="43">
        <f>DataT13a!M10</f>
        <v>9.7583318129181862E-3</v>
      </c>
      <c r="M9" s="105">
        <f>DataT13a!N10</f>
        <v>-1.4272292144596577E-2</v>
      </c>
    </row>
    <row r="10" spans="1:13" ht="17" thickBot="1" x14ac:dyDescent="0.25">
      <c r="A10" s="46" t="str">
        <f>DataT13a!B11</f>
        <v>South &amp; South-East Asia</v>
      </c>
      <c r="B10" s="47">
        <f>DataT13a!C11</f>
        <v>-559.70778835199997</v>
      </c>
      <c r="C10" s="47">
        <f>DataT13a!D11</f>
        <v>13.00770233375</v>
      </c>
      <c r="D10" s="47">
        <f>DataT13a!E11</f>
        <v>-401.03062156800002</v>
      </c>
      <c r="E10" s="47">
        <f>DataT13a!F11</f>
        <v>16.140672948500001</v>
      </c>
      <c r="F10" s="47">
        <f>DataT13a!G11</f>
        <v>557.39739727200003</v>
      </c>
      <c r="G10" s="63">
        <f>DataT13a!H11</f>
        <v>-374.19269372799999</v>
      </c>
      <c r="H10" s="43">
        <f>DataT13a!I11</f>
        <v>-2.3574035614728928E-2</v>
      </c>
      <c r="I10" s="43">
        <f>DataT13a!J11</f>
        <v>5.4786453256383538E-4</v>
      </c>
      <c r="J10" s="43">
        <f>DataT13a!K11</f>
        <v>-1.6890795901417732E-2</v>
      </c>
      <c r="K10" s="43">
        <f>DataT13a!L11</f>
        <v>6.7982042673975229E-4</v>
      </c>
      <c r="L10" s="43">
        <f>DataT13a!M11</f>
        <v>2.3476725444197655E-2</v>
      </c>
      <c r="M10" s="105">
        <f>DataT13a!N11</f>
        <v>-1.5760423615574837E-2</v>
      </c>
    </row>
    <row r="11" spans="1:13" ht="17" thickBot="1" x14ac:dyDescent="0.25">
      <c r="A11" s="46" t="str">
        <f>DataT13a!B12</f>
        <v>Sub-Saharan Africa</v>
      </c>
      <c r="B11" s="47">
        <f>DataT13a!C12</f>
        <v>-141.48178803106251</v>
      </c>
      <c r="C11" s="47">
        <f>DataT13a!D12</f>
        <v>3.315987753375</v>
      </c>
      <c r="D11" s="47">
        <f>DataT13a!E12</f>
        <v>-161.082366272</v>
      </c>
      <c r="E11" s="47">
        <f>DataT13a!F12</f>
        <v>2.5743450392187501</v>
      </c>
      <c r="F11" s="47">
        <f>DataT13a!G12</f>
        <v>194.13289381600001</v>
      </c>
      <c r="G11" s="63">
        <f>DataT13a!H12</f>
        <v>-102.54093099400001</v>
      </c>
      <c r="H11" s="43">
        <f>DataT13a!I12</f>
        <v>-2.6701018214225769E-2</v>
      </c>
      <c r="I11" s="43">
        <f>DataT13a!J12</f>
        <v>6.2580668600276113E-4</v>
      </c>
      <c r="J11" s="43">
        <f>DataT13a!K12</f>
        <v>-3.0400119721889496E-2</v>
      </c>
      <c r="K11" s="43">
        <f>DataT13a!L12</f>
        <v>4.8584086471237242E-4</v>
      </c>
      <c r="L11" s="43">
        <f>DataT13a!M12</f>
        <v>3.6637548357248306E-2</v>
      </c>
      <c r="M11" s="105">
        <f>DataT13a!N12</f>
        <v>-1.9351940602064133E-2</v>
      </c>
    </row>
    <row r="12" spans="1:13" ht="17" thickBot="1" x14ac:dyDescent="0.25">
      <c r="A12" s="69" t="str">
        <f>DataT13a!B13</f>
        <v>World</v>
      </c>
      <c r="B12" s="63">
        <f>DataT13a!C13</f>
        <v>-935.03923222881247</v>
      </c>
      <c r="C12" s="63">
        <f>DataT13a!D13</f>
        <v>51.249292357265624</v>
      </c>
      <c r="D12" s="63">
        <f>DataT13a!E13</f>
        <v>125.46297381025001</v>
      </c>
      <c r="E12" s="63">
        <f>DataT13a!F13</f>
        <v>17.563166001707032</v>
      </c>
      <c r="F12" s="63">
        <f>DataT13a!G13</f>
        <v>663.90497226585933</v>
      </c>
      <c r="G12" s="63">
        <f>DataT13a!H13</f>
        <v>-76.858937869000002</v>
      </c>
      <c r="H12" s="105">
        <f>DataT13a!I13</f>
        <v>-6.5434924326837063E-3</v>
      </c>
      <c r="I12" s="105">
        <f>DataT13a!J13</f>
        <v>3.5864737583324313E-4</v>
      </c>
      <c r="J12" s="105">
        <f>DataT13a!K13</f>
        <v>8.7800167966634035E-4</v>
      </c>
      <c r="K12" s="105">
        <f>DataT13a!L13</f>
        <v>1.229086919920519E-4</v>
      </c>
      <c r="L12" s="105">
        <f>DataT13a!M13</f>
        <v>4.6460693702101707E-3</v>
      </c>
      <c r="M12" s="105">
        <f>DataT13a!N13</f>
        <v>-5.3786608623340726E-4</v>
      </c>
    </row>
    <row r="13" spans="1:13" ht="15" customHeight="1" x14ac:dyDescent="0.2">
      <c r="A13" s="207" t="s">
        <v>672</v>
      </c>
      <c r="B13" s="208"/>
      <c r="C13" s="208"/>
      <c r="D13" s="208"/>
      <c r="E13" s="208"/>
      <c r="F13" s="208"/>
      <c r="G13" s="208"/>
      <c r="H13" s="208"/>
      <c r="I13" s="208"/>
      <c r="J13" s="208"/>
      <c r="K13" s="208"/>
      <c r="L13" s="208"/>
      <c r="M13" s="209"/>
    </row>
    <row r="14" spans="1:13" ht="62" customHeight="1" thickBot="1" x14ac:dyDescent="0.25">
      <c r="A14" s="210"/>
      <c r="B14" s="211"/>
      <c r="C14" s="211"/>
      <c r="D14" s="211"/>
      <c r="E14" s="211"/>
      <c r="F14" s="211"/>
      <c r="G14" s="211"/>
      <c r="H14" s="211"/>
      <c r="I14" s="211"/>
      <c r="J14" s="211"/>
      <c r="K14" s="211"/>
      <c r="L14" s="211"/>
      <c r="M14" s="212"/>
    </row>
  </sheetData>
  <mergeCells count="4">
    <mergeCell ref="B2:G2"/>
    <mergeCell ref="H2:M2"/>
    <mergeCell ref="A1:M1"/>
    <mergeCell ref="A13:M1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1CE1-5E85-E74A-989B-33263C16A6E1}">
  <sheetPr>
    <tabColor rgb="FF00B050"/>
  </sheetPr>
  <dimension ref="A1:M14"/>
  <sheetViews>
    <sheetView workbookViewId="0">
      <selection activeCell="E37" sqref="E37"/>
    </sheetView>
  </sheetViews>
  <sheetFormatPr baseColWidth="10" defaultRowHeight="15" x14ac:dyDescent="0.2"/>
  <cols>
    <col min="1" max="1" width="26.5" customWidth="1"/>
    <col min="2" max="13" width="15.83203125" customWidth="1"/>
  </cols>
  <sheetData>
    <row r="1" spans="1:13" ht="17" thickBot="1" x14ac:dyDescent="0.25">
      <c r="A1" s="204" t="str">
        <f>DataT13b!B2</f>
        <v>Table 13b. Current Account by World Region PPP $ (2025)</v>
      </c>
      <c r="B1" s="205"/>
      <c r="C1" s="205"/>
      <c r="D1" s="205"/>
      <c r="E1" s="205"/>
      <c r="F1" s="205"/>
      <c r="G1" s="205"/>
      <c r="H1" s="205"/>
      <c r="I1" s="205"/>
      <c r="J1" s="205"/>
      <c r="K1" s="205"/>
      <c r="L1" s="205"/>
      <c r="M1" s="206"/>
    </row>
    <row r="2" spans="1:13" ht="17" thickBot="1" x14ac:dyDescent="0.25">
      <c r="A2" s="46"/>
      <c r="B2" s="201" t="str">
        <f>DataT13b!C3</f>
        <v>PPP 2025  billions $</v>
      </c>
      <c r="C2" s="202"/>
      <c r="D2" s="202"/>
      <c r="E2" s="202"/>
      <c r="F2" s="202"/>
      <c r="G2" s="203"/>
      <c r="H2" s="201" t="str">
        <f>DataT13d!C3</f>
        <v>MER billions $</v>
      </c>
      <c r="I2" s="202"/>
      <c r="J2" s="202"/>
      <c r="K2" s="202"/>
      <c r="L2" s="202"/>
      <c r="M2" s="203"/>
    </row>
    <row r="3" spans="1:13" ht="120" thickBot="1" x14ac:dyDescent="0.25">
      <c r="A3" s="15" t="str">
        <f>DataT13b!B4</f>
        <v>Region</v>
      </c>
      <c r="B3" s="15" t="str">
        <f>DataT13b!C4</f>
        <v xml:space="preserve"> Net foreign capital income</v>
      </c>
      <c r="C3" s="15" t="str">
        <f>DataT13b!D4</f>
        <v>Net foreign labor income</v>
      </c>
      <c r="D3" s="15" t="str">
        <f>DataT13b!E4</f>
        <v>Trade balance</v>
      </c>
      <c r="E3" s="15" t="str">
        <f>DataT13b!F4</f>
        <v xml:space="preserve"> Foreign subsidies less taxes on production and imports</v>
      </c>
      <c r="F3" s="15" t="str">
        <f>DataT13b!G4</f>
        <v>Net foreign transfers</v>
      </c>
      <c r="G3" s="18" t="str">
        <f>DataT13b!H4</f>
        <v>Current Account</v>
      </c>
      <c r="H3" s="15" t="str">
        <f>DataT13b!I4</f>
        <v xml:space="preserve"> Net foreign capital income as % of Gross Domestic Product</v>
      </c>
      <c r="I3" s="15" t="str">
        <f>DataT13b!J4</f>
        <v>Net foreign labor income  as % of Gross Domestic Product</v>
      </c>
      <c r="J3" s="15" t="str">
        <f>DataT13b!K4</f>
        <v>Trade balance  as % of Gross Domestic Product</v>
      </c>
      <c r="K3" s="15" t="str">
        <f>DataT13b!L4</f>
        <v xml:space="preserve"> Foreign subsidies less taxes on production and imports  as % of Gross Domestic Product</v>
      </c>
      <c r="L3" s="15" t="str">
        <f>DataT13b!M4</f>
        <v>Net foreign transfers  as % of Gross Domestic Product</v>
      </c>
      <c r="M3" s="18" t="str">
        <f>DataT13b!N4</f>
        <v>Current Account  as % of Gross Domestic Product</v>
      </c>
    </row>
    <row r="4" spans="1:13" ht="17" thickBot="1" x14ac:dyDescent="0.25">
      <c r="A4" s="46" t="str">
        <f>DataT13b!B5</f>
        <v>East Asia</v>
      </c>
      <c r="B4" s="47">
        <f>DataT13b!C5</f>
        <v>120.906963968</v>
      </c>
      <c r="C4" s="47">
        <f>DataT13b!D5</f>
        <v>-60.817082112000001</v>
      </c>
      <c r="D4" s="47">
        <f>DataT13b!E5</f>
        <v>1991.3098368640001</v>
      </c>
      <c r="E4" s="47">
        <f>DataT13b!F5</f>
        <v>4.0736190529999998</v>
      </c>
      <c r="F4" s="47">
        <f>DataT13b!G5</f>
        <v>-146.57385331200001</v>
      </c>
      <c r="G4" s="63">
        <f>DataT13b!H5</f>
        <v>1908.899496816</v>
      </c>
      <c r="H4" s="43">
        <f>DataT13b!I5</f>
        <v>2.1978458389639854E-3</v>
      </c>
      <c r="I4" s="43">
        <f>DataT13b!J5</f>
        <v>-1.1055325157940388E-3</v>
      </c>
      <c r="J4" s="43">
        <f>DataT13b!K5</f>
        <v>3.6198016256093979E-2</v>
      </c>
      <c r="K4" s="43">
        <f>DataT13b!L5</f>
        <v>7.4050221883226186E-5</v>
      </c>
      <c r="L4" s="43">
        <f>DataT13b!M5</f>
        <v>-2.6644184254109859E-3</v>
      </c>
      <c r="M4" s="105">
        <f>DataT13b!N5</f>
        <v>3.4699961543083191E-2</v>
      </c>
    </row>
    <row r="5" spans="1:13" ht="17" thickBot="1" x14ac:dyDescent="0.25">
      <c r="A5" s="46" t="str">
        <f>DataT13b!B6</f>
        <v>Europe</v>
      </c>
      <c r="B5" s="47">
        <f>DataT13b!C6</f>
        <v>259.384089964</v>
      </c>
      <c r="C5" s="47">
        <f>DataT13b!D6</f>
        <v>36.4057924345</v>
      </c>
      <c r="D5" s="47">
        <f>DataT13b!E6</f>
        <v>281.55758667200001</v>
      </c>
      <c r="E5" s="47">
        <f>DataT13b!F6</f>
        <v>26.507302948437498</v>
      </c>
      <c r="F5" s="47">
        <f>DataT13b!G6</f>
        <v>-222.595006224</v>
      </c>
      <c r="G5" s="63">
        <f>DataT13b!H6</f>
        <v>381.25976067200003</v>
      </c>
      <c r="H5" s="43">
        <f>DataT13b!I6</f>
        <v>7.2921854443848133E-3</v>
      </c>
      <c r="I5" s="43">
        <f>DataT13b!J6</f>
        <v>1.0234930086880922E-3</v>
      </c>
      <c r="J5" s="43">
        <f>DataT13b!K6</f>
        <v>7.9155592247843742E-3</v>
      </c>
      <c r="K5" s="43">
        <f>DataT13b!L6</f>
        <v>7.4521213537082076E-4</v>
      </c>
      <c r="L5" s="43">
        <f>DataT13b!M6</f>
        <v>-6.2579168006777763E-3</v>
      </c>
      <c r="M5" s="105">
        <f>DataT13b!N6</f>
        <v>1.0718532837927341E-2</v>
      </c>
    </row>
    <row r="6" spans="1:13" ht="17" thickBot="1" x14ac:dyDescent="0.25">
      <c r="A6" s="46" t="str">
        <f>DataT13b!B7</f>
        <v>Latin America</v>
      </c>
      <c r="B6" s="47">
        <f>DataT13b!C7</f>
        <v>-486.03818246600002</v>
      </c>
      <c r="C6" s="47">
        <f>DataT13b!D7</f>
        <v>6.2296992474374999</v>
      </c>
      <c r="D6" s="47">
        <f>DataT13b!E7</f>
        <v>-147.6902898175</v>
      </c>
      <c r="E6" s="47">
        <f>DataT13b!F7</f>
        <v>-7.3857667401054687</v>
      </c>
      <c r="F6" s="47">
        <f>DataT13b!G7</f>
        <v>310.99269043999999</v>
      </c>
      <c r="G6" s="63">
        <f>DataT13b!H7</f>
        <v>-323.89184001199999</v>
      </c>
      <c r="H6" s="43">
        <f>DataT13b!I7</f>
        <v>-3.1925413757562637E-2</v>
      </c>
      <c r="I6" s="43">
        <f>DataT13b!J7</f>
        <v>4.0919773164205253E-4</v>
      </c>
      <c r="J6" s="43">
        <f>DataT13b!K7</f>
        <v>-9.7010349854826927E-3</v>
      </c>
      <c r="K6" s="43">
        <f>DataT13b!L7</f>
        <v>-4.8513399087823927E-4</v>
      </c>
      <c r="L6" s="43">
        <f>DataT13b!M7</f>
        <v>2.0427551120519638E-2</v>
      </c>
      <c r="M6" s="105">
        <f>DataT13b!N7</f>
        <v>-2.1274831146001816E-2</v>
      </c>
    </row>
    <row r="7" spans="1:13" ht="17" thickBot="1" x14ac:dyDescent="0.25">
      <c r="A7" s="46" t="str">
        <f>DataT13b!B8</f>
        <v>MENA</v>
      </c>
      <c r="B7" s="47">
        <f>DataT13b!C8</f>
        <v>-131.07474132799999</v>
      </c>
      <c r="C7" s="47">
        <f>DataT13b!D8</f>
        <v>18.819653442</v>
      </c>
      <c r="D7" s="47">
        <f>DataT13b!E8</f>
        <v>185.963877376</v>
      </c>
      <c r="E7" s="47">
        <f>DataT13b!F8</f>
        <v>3.381870028234375</v>
      </c>
      <c r="F7" s="47">
        <f>DataT13b!G8</f>
        <v>35.003484032000003</v>
      </c>
      <c r="G7" s="63">
        <f>DataT13b!H8</f>
        <v>112.094140416</v>
      </c>
      <c r="H7" s="43">
        <f>DataT13b!I8</f>
        <v>-8.3288690075278282E-3</v>
      </c>
      <c r="I7" s="43">
        <f>DataT13b!J8</f>
        <v>1.195855438709259E-3</v>
      </c>
      <c r="J7" s="43">
        <f>DataT13b!K8</f>
        <v>1.1816684156656265E-2</v>
      </c>
      <c r="K7" s="43">
        <f>DataT13b!L8</f>
        <v>2.1489383652806282E-4</v>
      </c>
      <c r="L7" s="43">
        <f>DataT13b!M8</f>
        <v>2.2242229897528887E-3</v>
      </c>
      <c r="M7" s="105">
        <f>DataT13b!N8</f>
        <v>7.1227871812880039E-3</v>
      </c>
    </row>
    <row r="8" spans="1:13" ht="17" thickBot="1" x14ac:dyDescent="0.25">
      <c r="A8" s="46" t="str">
        <f>DataT13b!B9</f>
        <v>North America &amp; Oceania</v>
      </c>
      <c r="B8" s="47">
        <f>DataT13b!C9</f>
        <v>81.110872202140627</v>
      </c>
      <c r="C8" s="47">
        <f>DataT13b!D9</f>
        <v>-21.790620789125001</v>
      </c>
      <c r="D8" s="47">
        <f>DataT13b!E9</f>
        <v>-1166.1382637920001</v>
      </c>
      <c r="E8" s="47">
        <f>DataT13b!F9</f>
        <v>-27.191456153218748</v>
      </c>
      <c r="F8" s="47">
        <f>DataT13b!G9</f>
        <v>-206.97922463974999</v>
      </c>
      <c r="G8" s="63">
        <f>DataT13b!H9</f>
        <v>-1340.9887789945001</v>
      </c>
      <c r="H8" s="43">
        <f>DataT13b!I9</f>
        <v>2.2504692897200584E-3</v>
      </c>
      <c r="I8" s="43">
        <f>DataT13b!J9</f>
        <v>-6.045936606824398E-4</v>
      </c>
      <c r="J8" s="43">
        <f>DataT13b!K9</f>
        <v>-3.235519677400589E-2</v>
      </c>
      <c r="K8" s="43">
        <f>DataT13b!L9</f>
        <v>-7.544430554844439E-4</v>
      </c>
      <c r="L8" s="43">
        <f>DataT13b!M9</f>
        <v>-5.7427613064646721E-3</v>
      </c>
      <c r="M8" s="105">
        <f>DataT13b!N9</f>
        <v>-3.7206526845693588E-2</v>
      </c>
    </row>
    <row r="9" spans="1:13" ht="17" thickBot="1" x14ac:dyDescent="0.25">
      <c r="A9" s="46" t="str">
        <f>DataT13b!B10</f>
        <v>Russia &amp; Central Asia</v>
      </c>
      <c r="B9" s="47">
        <f>DataT13b!C10</f>
        <v>-189.19752268799999</v>
      </c>
      <c r="C9" s="47">
        <f>DataT13b!D10</f>
        <v>72.664880031999999</v>
      </c>
      <c r="D9" s="47">
        <f>DataT13b!E10</f>
        <v>-130.88620390400001</v>
      </c>
      <c r="E9" s="47">
        <f>DataT13b!F10</f>
        <v>-1.084452626</v>
      </c>
      <c r="F9" s="47">
        <f>DataT13b!G10</f>
        <v>100.911965376</v>
      </c>
      <c r="G9" s="63">
        <f>DataT13b!H10</f>
        <v>-147.59131955199999</v>
      </c>
      <c r="H9" s="43">
        <f>DataT13b!I10</f>
        <v>-1.8295673653483391E-2</v>
      </c>
      <c r="I9" s="43">
        <f>DataT13b!J10</f>
        <v>7.0267985574901104E-3</v>
      </c>
      <c r="J9" s="43">
        <f>DataT13b!K10</f>
        <v>-1.2656884267926216E-2</v>
      </c>
      <c r="K9" s="43">
        <f>DataT13b!L10</f>
        <v>-1.0486812971066684E-4</v>
      </c>
      <c r="L9" s="43">
        <f>DataT13b!M10</f>
        <v>9.7583327442407608E-3</v>
      </c>
      <c r="M9" s="105">
        <f>DataT13b!N10</f>
        <v>-1.4272293075919151E-2</v>
      </c>
    </row>
    <row r="10" spans="1:13" ht="17" thickBot="1" x14ac:dyDescent="0.25">
      <c r="A10" s="46" t="str">
        <f>DataT13b!B11</f>
        <v>South &amp; South-East Asia</v>
      </c>
      <c r="B10" s="47">
        <f>DataT13b!C11</f>
        <v>-825.52182803200003</v>
      </c>
      <c r="C10" s="47">
        <f>DataT13b!D11</f>
        <v>19.185266477500001</v>
      </c>
      <c r="D10" s="47">
        <f>DataT13b!E11</f>
        <v>-591.48637894399997</v>
      </c>
      <c r="E10" s="47">
        <f>DataT13b!F11</f>
        <v>23.806131341</v>
      </c>
      <c r="F10" s="47">
        <f>DataT13b!G11</f>
        <v>822.11417661600001</v>
      </c>
      <c r="G10" s="63">
        <f>DataT13b!H11</f>
        <v>-551.90266457600001</v>
      </c>
      <c r="H10" s="43">
        <f>DataT13b!I11</f>
        <v>-2.3574035614728928E-2</v>
      </c>
      <c r="I10" s="43">
        <f>DataT13b!J11</f>
        <v>5.478645907714963E-4</v>
      </c>
      <c r="J10" s="43">
        <f>DataT13b!K11</f>
        <v>-1.6890795901417732E-2</v>
      </c>
      <c r="K10" s="43">
        <f>DataT13b!L11</f>
        <v>6.7982042673975229E-4</v>
      </c>
      <c r="L10" s="43">
        <f>DataT13b!M11</f>
        <v>2.3476725444197655E-2</v>
      </c>
      <c r="M10" s="105">
        <f>DataT13b!N11</f>
        <v>-1.5760423615574837E-2</v>
      </c>
    </row>
    <row r="11" spans="1:13" ht="17" thickBot="1" x14ac:dyDescent="0.25">
      <c r="A11" s="46" t="str">
        <f>DataT13b!B12</f>
        <v>Sub-Saharan Africa</v>
      </c>
      <c r="B11" s="47">
        <f>DataT13b!C12</f>
        <v>-208.673713354125</v>
      </c>
      <c r="C11" s="47">
        <f>DataT13b!D12</f>
        <v>4.8908024750000001</v>
      </c>
      <c r="D11" s="47">
        <f>DataT13b!E12</f>
        <v>-237.58291256000001</v>
      </c>
      <c r="E11" s="47">
        <f>DataT13b!F12</f>
        <v>3.7969418474218748</v>
      </c>
      <c r="F11" s="47">
        <f>DataT13b!G12</f>
        <v>286.32965147200002</v>
      </c>
      <c r="G11" s="63">
        <f>DataT13b!H12</f>
        <v>-151.2392261</v>
      </c>
      <c r="H11" s="43">
        <f>DataT13b!I12</f>
        <v>-2.6701018214225769E-2</v>
      </c>
      <c r="I11" s="43">
        <f>DataT13b!J12</f>
        <v>6.2580668600276113E-4</v>
      </c>
      <c r="J11" s="43">
        <f>DataT13b!K12</f>
        <v>-3.0400119721889496E-2</v>
      </c>
      <c r="K11" s="43">
        <f>DataT13b!L12</f>
        <v>4.8584086471237242E-4</v>
      </c>
      <c r="L11" s="43">
        <f>DataT13b!M12</f>
        <v>3.6637548357248306E-2</v>
      </c>
      <c r="M11" s="105">
        <f>DataT13b!N12</f>
        <v>-1.9351940602064133E-2</v>
      </c>
    </row>
    <row r="12" spans="1:13" ht="17" thickBot="1" x14ac:dyDescent="0.25">
      <c r="A12" s="69" t="str">
        <f>DataT13b!B13</f>
        <v>World</v>
      </c>
      <c r="B12" s="63">
        <f>DataT13b!C13</f>
        <v>-1379.1040617339843</v>
      </c>
      <c r="C12" s="63">
        <f>DataT13b!D13</f>
        <v>75.588391207312497</v>
      </c>
      <c r="D12" s="63">
        <f>DataT13b!E13</f>
        <v>185.04725189449999</v>
      </c>
      <c r="E12" s="63">
        <f>DataT13b!F13</f>
        <v>25.904189698769532</v>
      </c>
      <c r="F12" s="63">
        <f>DataT13b!G13</f>
        <v>979.20388376025005</v>
      </c>
      <c r="G12" s="63">
        <f>DataT13b!H13</f>
        <v>-113.36043133050001</v>
      </c>
      <c r="H12" s="105">
        <f>DataT13b!I13</f>
        <v>-6.5434924326837063E-3</v>
      </c>
      <c r="I12" s="105">
        <f>DataT13b!J13</f>
        <v>3.5864740493707359E-4</v>
      </c>
      <c r="J12" s="105">
        <f>DataT13b!K13</f>
        <v>8.780014468356967E-4</v>
      </c>
      <c r="K12" s="105">
        <f>DataT13b!L13</f>
        <v>1.229086919920519E-4</v>
      </c>
      <c r="L12" s="105">
        <f>DataT13b!M13</f>
        <v>4.6460693702101707E-3</v>
      </c>
      <c r="M12" s="105">
        <f>DataT13b!N13</f>
        <v>-5.3786596981808543E-4</v>
      </c>
    </row>
    <row r="13" spans="1:13" ht="22" customHeight="1" x14ac:dyDescent="0.2">
      <c r="A13" s="207" t="s">
        <v>673</v>
      </c>
      <c r="B13" s="208"/>
      <c r="C13" s="208"/>
      <c r="D13" s="208"/>
      <c r="E13" s="208"/>
      <c r="F13" s="208"/>
      <c r="G13" s="208"/>
      <c r="H13" s="208"/>
      <c r="I13" s="208"/>
      <c r="J13" s="208"/>
      <c r="K13" s="208"/>
      <c r="L13" s="208"/>
      <c r="M13" s="209"/>
    </row>
    <row r="14" spans="1:13" ht="53" customHeight="1" thickBot="1" x14ac:dyDescent="0.25">
      <c r="A14" s="210"/>
      <c r="B14" s="211"/>
      <c r="C14" s="211"/>
      <c r="D14" s="211"/>
      <c r="E14" s="211"/>
      <c r="F14" s="211"/>
      <c r="G14" s="211"/>
      <c r="H14" s="211"/>
      <c r="I14" s="211"/>
      <c r="J14" s="211"/>
      <c r="K14" s="211"/>
      <c r="L14" s="211"/>
      <c r="M14" s="212"/>
    </row>
  </sheetData>
  <mergeCells count="4">
    <mergeCell ref="A1:M1"/>
    <mergeCell ref="H2:M2"/>
    <mergeCell ref="B2:G2"/>
    <mergeCell ref="A13:M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B4B50-E8B3-EC40-BAEA-64AF204B1AC1}">
  <sheetPr>
    <tabColor rgb="FF00B050"/>
  </sheetPr>
  <dimension ref="A1:M14"/>
  <sheetViews>
    <sheetView workbookViewId="0">
      <selection activeCell="A13" sqref="A13:M14"/>
    </sheetView>
  </sheetViews>
  <sheetFormatPr baseColWidth="10" defaultRowHeight="15" x14ac:dyDescent="0.2"/>
  <cols>
    <col min="1" max="1" width="20.1640625" customWidth="1"/>
    <col min="2" max="13" width="17" customWidth="1"/>
  </cols>
  <sheetData>
    <row r="1" spans="1:13" ht="17" thickBot="1" x14ac:dyDescent="0.25">
      <c r="A1" s="204" t="str">
        <f>DataT13c!B2</f>
        <v>Table 13c. Current Account by World Region MER € (2025)</v>
      </c>
      <c r="B1" s="205"/>
      <c r="C1" s="205"/>
      <c r="D1" s="205"/>
      <c r="E1" s="205"/>
      <c r="F1" s="205"/>
      <c r="G1" s="205"/>
      <c r="H1" s="205"/>
      <c r="I1" s="205"/>
      <c r="J1" s="205"/>
      <c r="K1" s="205"/>
      <c r="L1" s="205"/>
      <c r="M1" s="206"/>
    </row>
    <row r="2" spans="1:13" ht="17" thickBot="1" x14ac:dyDescent="0.25">
      <c r="A2" s="46"/>
      <c r="B2" s="201" t="str">
        <f>DataT13c!C3</f>
        <v>MER billions €</v>
      </c>
      <c r="C2" s="202"/>
      <c r="D2" s="202"/>
      <c r="E2" s="202"/>
      <c r="F2" s="202"/>
      <c r="G2" s="203"/>
      <c r="H2" s="201" t="str">
        <f>DataT13c!I3</f>
        <v>% of Gross Domestic Product</v>
      </c>
      <c r="I2" s="202"/>
      <c r="J2" s="202"/>
      <c r="K2" s="202"/>
      <c r="L2" s="202"/>
      <c r="M2" s="203"/>
    </row>
    <row r="3" spans="1:13" ht="120" thickBot="1" x14ac:dyDescent="0.25">
      <c r="A3" s="15" t="str">
        <f>DataT13c!B4</f>
        <v>Region</v>
      </c>
      <c r="B3" s="15" t="str">
        <f>DataT13c!C4</f>
        <v xml:space="preserve"> Net foreign capital income</v>
      </c>
      <c r="C3" s="15" t="str">
        <f>DataT13c!D4</f>
        <v>Net foreign labor income</v>
      </c>
      <c r="D3" s="15" t="str">
        <f>DataT13c!E4</f>
        <v>Trade balance</v>
      </c>
      <c r="E3" s="15" t="str">
        <f>DataT13c!F4</f>
        <v xml:space="preserve"> Foreign subsidies less taxes on production and imports</v>
      </c>
      <c r="F3" s="15" t="str">
        <f>DataT13c!G4</f>
        <v>Net foreign transfers</v>
      </c>
      <c r="G3" s="18" t="str">
        <f>DataT13c!H4</f>
        <v>Current Account</v>
      </c>
      <c r="H3" s="15" t="str">
        <f>DataT13c!I4</f>
        <v xml:space="preserve"> Net foreign capital income as % of Gross Domestic Product</v>
      </c>
      <c r="I3" s="15" t="str">
        <f>DataT13c!J4</f>
        <v>Net foreign labor income  as % of Gross Domestic Product</v>
      </c>
      <c r="J3" s="15" t="str">
        <f>DataT13c!K4</f>
        <v>Trade balance  as % of Gross Domestic Product</v>
      </c>
      <c r="K3" s="15" t="str">
        <f>DataT13c!L4</f>
        <v xml:space="preserve"> Foreign subsidies less taxes on production and imports  as % of Gross Domestic Product</v>
      </c>
      <c r="L3" s="15" t="str">
        <f>DataT13c!M4</f>
        <v>Net foreign transfers  as % of Gross Domestic Product</v>
      </c>
      <c r="M3" s="18" t="str">
        <f>DataT13c!N4</f>
        <v>Current Account  as % of Gross Domestic Product</v>
      </c>
    </row>
    <row r="4" spans="1:13" ht="17" thickBot="1" x14ac:dyDescent="0.25">
      <c r="A4" s="46" t="str">
        <f>DataT13c!B5</f>
        <v>East Asia</v>
      </c>
      <c r="B4" s="47">
        <f>DataT13c!C5</f>
        <v>154.03103967999999</v>
      </c>
      <c r="C4" s="47">
        <f>DataT13c!D5</f>
        <v>-25.137646336</v>
      </c>
      <c r="D4" s="47">
        <f>DataT13c!E5</f>
        <v>777.20966966399999</v>
      </c>
      <c r="E4" s="47">
        <f>DataT13c!F5</f>
        <v>2.1626942428125</v>
      </c>
      <c r="F4" s="47">
        <f>DataT13c!G5</f>
        <v>-66.271846031999999</v>
      </c>
      <c r="G4" s="63">
        <f>DataT13c!H5</f>
        <v>841.99389725474998</v>
      </c>
      <c r="H4" s="43">
        <f>DataT13c!I5</f>
        <v>6.6348062828183174E-3</v>
      </c>
      <c r="I4" s="43">
        <f>DataT13c!J5</f>
        <v>-1.0827908990904689E-3</v>
      </c>
      <c r="J4" s="43">
        <f>DataT13c!K5</f>
        <v>3.3477898687124252E-2</v>
      </c>
      <c r="K4" s="43">
        <f>DataT13c!L5</f>
        <v>9.3156922957859933E-5</v>
      </c>
      <c r="L4" s="43">
        <f>DataT13c!M5</f>
        <v>-2.8546249959617853E-3</v>
      </c>
      <c r="M4" s="105">
        <f>DataT13c!N5</f>
        <v>3.62684465944767E-2</v>
      </c>
    </row>
    <row r="5" spans="1:13" ht="17" thickBot="1" x14ac:dyDescent="0.25">
      <c r="A5" s="46" t="str">
        <f>DataT13c!B6</f>
        <v>Europe</v>
      </c>
      <c r="B5" s="47">
        <f>DataT13c!C6</f>
        <v>296.89720996599999</v>
      </c>
      <c r="C5" s="47">
        <f>DataT13c!D6</f>
        <v>-2.0602718819999999</v>
      </c>
      <c r="D5" s="47">
        <f>DataT13c!E6</f>
        <v>249.45904067199999</v>
      </c>
      <c r="E5" s="47">
        <f>DataT13c!F6</f>
        <v>15.119702446374999</v>
      </c>
      <c r="F5" s="47">
        <f>DataT13c!G6</f>
        <v>-170.70600133400001</v>
      </c>
      <c r="G5" s="63">
        <f>DataT13c!H6</f>
        <v>388.70967095999998</v>
      </c>
      <c r="H5" s="43">
        <f>DataT13c!I6</f>
        <v>1.2474344111979008E-2</v>
      </c>
      <c r="I5" s="43">
        <f>DataT13c!J6</f>
        <v>-8.6563770310021937E-5</v>
      </c>
      <c r="J5" s="43">
        <f>DataT13c!K6</f>
        <v>1.0481196455657482E-2</v>
      </c>
      <c r="K5" s="43">
        <f>DataT13c!L6</f>
        <v>6.3526490703225136E-4</v>
      </c>
      <c r="L5" s="43">
        <f>DataT13c!M6</f>
        <v>-7.1723321452736855E-3</v>
      </c>
      <c r="M5" s="105">
        <f>DataT13c!N6</f>
        <v>1.6331909224390984E-2</v>
      </c>
    </row>
    <row r="6" spans="1:13" ht="17" thickBot="1" x14ac:dyDescent="0.25">
      <c r="A6" s="46" t="str">
        <f>DataT13c!B7</f>
        <v>Latin America</v>
      </c>
      <c r="B6" s="47">
        <f>DataT13c!C7</f>
        <v>-193.36138960125001</v>
      </c>
      <c r="C6" s="47">
        <f>DataT13c!D7</f>
        <v>2.3476953066796873</v>
      </c>
      <c r="D6" s="47">
        <f>DataT13c!E7</f>
        <v>-56.445007762625004</v>
      </c>
      <c r="E6" s="47">
        <f>DataT13c!F7</f>
        <v>-2.4802232626523439</v>
      </c>
      <c r="F6" s="47">
        <f>DataT13c!G7</f>
        <v>128.46445859975</v>
      </c>
      <c r="G6" s="63">
        <f>DataT13c!H7</f>
        <v>-121.47446023649999</v>
      </c>
      <c r="H6" s="43">
        <f>DataT13c!I7</f>
        <v>-2.976495772600174E-2</v>
      </c>
      <c r="I6" s="43">
        <f>DataT13c!J7</f>
        <v>3.613909357227385E-4</v>
      </c>
      <c r="J6" s="43">
        <f>DataT13c!K7</f>
        <v>-8.6888251826167107E-3</v>
      </c>
      <c r="K6" s="43">
        <f>DataT13c!L7</f>
        <v>-3.817915276158601E-4</v>
      </c>
      <c r="L6" s="43">
        <f>DataT13c!M7</f>
        <v>1.9775090739130974E-2</v>
      </c>
      <c r="M6" s="105">
        <f>DataT13c!N7</f>
        <v>-1.8699090927839279E-2</v>
      </c>
    </row>
    <row r="7" spans="1:13" ht="17" thickBot="1" x14ac:dyDescent="0.25">
      <c r="A7" s="46" t="str">
        <f>DataT13c!B8</f>
        <v>MENA</v>
      </c>
      <c r="B7" s="47">
        <f>DataT13c!C8</f>
        <v>-20.256613504000001</v>
      </c>
      <c r="C7" s="47">
        <f>DataT13c!D8</f>
        <v>4.8811509390000003</v>
      </c>
      <c r="D7" s="47">
        <f>DataT13c!E8</f>
        <v>154.88051340800001</v>
      </c>
      <c r="E7" s="47">
        <f>DataT13c!F8</f>
        <v>2.0868643585937501</v>
      </c>
      <c r="F7" s="47">
        <f>DataT13c!G8</f>
        <v>-46.461643424000002</v>
      </c>
      <c r="G7" s="63">
        <f>DataT13c!H8</f>
        <v>95.130267263999997</v>
      </c>
      <c r="H7" s="43">
        <f>DataT13c!I8</f>
        <v>-3.6117678973823786E-3</v>
      </c>
      <c r="I7" s="43">
        <f>DataT13c!J8</f>
        <v>8.7031250586733222E-4</v>
      </c>
      <c r="J7" s="43">
        <f>DataT13c!K8</f>
        <v>2.7615299448370934E-2</v>
      </c>
      <c r="K7" s="43">
        <f>DataT13c!L8</f>
        <v>3.7208932917565107E-4</v>
      </c>
      <c r="L7" s="43">
        <f>DataT13c!M8</f>
        <v>-8.2841422408819199E-3</v>
      </c>
      <c r="M7" s="105">
        <f>DataT13c!N8</f>
        <v>1.696179062128067E-2</v>
      </c>
    </row>
    <row r="8" spans="1:13" ht="17" thickBot="1" x14ac:dyDescent="0.25">
      <c r="A8" s="46" t="str">
        <f>DataT13c!B9</f>
        <v>North America &amp; Oceania</v>
      </c>
      <c r="B8" s="47">
        <f>DataT13c!C9</f>
        <v>61.735562284828127</v>
      </c>
      <c r="C8" s="47">
        <f>DataT13c!D9</f>
        <v>-17.592919974874999</v>
      </c>
      <c r="D8" s="47">
        <f>DataT13c!E9</f>
        <v>-981.97806253600004</v>
      </c>
      <c r="E8" s="47">
        <f>DataT13c!F9</f>
        <v>-22.773956790078124</v>
      </c>
      <c r="F8" s="47">
        <f>DataT13c!G9</f>
        <v>-176.08364138534375</v>
      </c>
      <c r="G8" s="63">
        <f>DataT13c!H9</f>
        <v>-1136.6930850230001</v>
      </c>
      <c r="H8" s="43">
        <f>DataT13c!I9</f>
        <v>2.0567113533616066E-3</v>
      </c>
      <c r="I8" s="43">
        <f>DataT13c!J9</f>
        <v>-5.8610556880012155E-4</v>
      </c>
      <c r="J8" s="43">
        <f>DataT13c!K9</f>
        <v>-3.271445631980896E-2</v>
      </c>
      <c r="K8" s="43">
        <f>DataT13c!L9</f>
        <v>-7.5871107401326299E-4</v>
      </c>
      <c r="L8" s="43">
        <f>DataT13c!M9</f>
        <v>-5.8662011288106441E-3</v>
      </c>
      <c r="M8" s="105">
        <f>DataT13c!N9</f>
        <v>-3.7868764251470566E-2</v>
      </c>
    </row>
    <row r="9" spans="1:13" ht="17" thickBot="1" x14ac:dyDescent="0.25">
      <c r="A9" s="46" t="str">
        <f>DataT13c!B10</f>
        <v>Russia &amp; Central Asia</v>
      </c>
      <c r="B9" s="47">
        <f>DataT13c!C10</f>
        <v>-53.359035824000003</v>
      </c>
      <c r="C9" s="47">
        <f>DataT13c!D10</f>
        <v>20.179546504000001</v>
      </c>
      <c r="D9" s="47">
        <f>DataT13c!E10</f>
        <v>-27.455674624</v>
      </c>
      <c r="E9" s="47">
        <f>DataT13c!F10</f>
        <v>-0.38021403500000001</v>
      </c>
      <c r="F9" s="47">
        <f>DataT13c!G10</f>
        <v>24.328045408000001</v>
      </c>
      <c r="G9" s="63">
        <f>DataT13c!H10</f>
        <v>-36.687327744000001</v>
      </c>
      <c r="H9" s="43">
        <f>DataT13c!I10</f>
        <v>-1.6941506415605545E-2</v>
      </c>
      <c r="I9" s="43">
        <f>DataT13c!J10</f>
        <v>6.4070103690028191E-3</v>
      </c>
      <c r="J9" s="43">
        <f>DataT13c!K10</f>
        <v>-8.7171830236911774E-3</v>
      </c>
      <c r="K9" s="43">
        <f>DataT13c!L10</f>
        <v>-1.2071803939761594E-4</v>
      </c>
      <c r="L9" s="43">
        <f>DataT13c!M10</f>
        <v>7.7241598628461361E-3</v>
      </c>
      <c r="M9" s="105">
        <f>DataT13c!N10</f>
        <v>-1.1648234911262989E-2</v>
      </c>
    </row>
    <row r="10" spans="1:13" ht="17" thickBot="1" x14ac:dyDescent="0.25">
      <c r="A10" s="46" t="str">
        <f>DataT13c!B11</f>
        <v>South &amp; South-East Asia</v>
      </c>
      <c r="B10" s="47">
        <f>DataT13c!C11</f>
        <v>-152.418816752</v>
      </c>
      <c r="C10" s="47">
        <f>DataT13c!D11</f>
        <v>2.9029623248749998</v>
      </c>
      <c r="D10" s="47">
        <f>DataT13c!E11</f>
        <v>-31.990196992000001</v>
      </c>
      <c r="E10" s="47">
        <f>DataT13c!F11</f>
        <v>5.4792426766249998</v>
      </c>
      <c r="F10" s="47">
        <f>DataT13c!G11</f>
        <v>177.43233705700001</v>
      </c>
      <c r="G10" s="63">
        <f>DataT13c!H11</f>
        <v>1.405515544</v>
      </c>
      <c r="H10" s="43">
        <f>DataT13c!I11</f>
        <v>-1.8916899338364601E-2</v>
      </c>
      <c r="I10" s="43">
        <f>DataT13c!J11</f>
        <v>3.6029046168550849E-4</v>
      </c>
      <c r="J10" s="43">
        <f>DataT13c!K11</f>
        <v>-3.9703454822301865E-3</v>
      </c>
      <c r="K10" s="43">
        <f>DataT13c!L11</f>
        <v>6.8003602791577578E-4</v>
      </c>
      <c r="L10" s="43">
        <f>DataT13c!M11</f>
        <v>2.2021360695362091E-2</v>
      </c>
      <c r="M10" s="105">
        <f>DataT13c!N11</f>
        <v>1.7444038530811667E-4</v>
      </c>
    </row>
    <row r="11" spans="1:13" ht="17" thickBot="1" x14ac:dyDescent="0.25">
      <c r="A11" s="46" t="str">
        <f>DataT13c!B12</f>
        <v>Sub-Saharan Africa</v>
      </c>
      <c r="B11" s="47">
        <f>DataT13c!C12</f>
        <v>-93.267956109062496</v>
      </c>
      <c r="C11" s="47">
        <f>DataT13c!D12</f>
        <v>14.479483367625001</v>
      </c>
      <c r="D11" s="47">
        <f>DataT13c!E12</f>
        <v>-83.679556456</v>
      </c>
      <c r="E11" s="47">
        <f>DataT13c!F12</f>
        <v>0.78588957589843755</v>
      </c>
      <c r="F11" s="47">
        <f>DataT13c!G12</f>
        <v>129.29829789999999</v>
      </c>
      <c r="G11" s="63">
        <f>DataT13c!H12</f>
        <v>-32.383840257499998</v>
      </c>
      <c r="H11" s="43">
        <f>DataT13c!I12</f>
        <v>-3.9581853896379471E-2</v>
      </c>
      <c r="I11" s="43">
        <f>DataT13c!J12</f>
        <v>6.1449273489415646E-3</v>
      </c>
      <c r="J11" s="43">
        <f>DataT13c!K12</f>
        <v>-3.5512648522853851E-2</v>
      </c>
      <c r="K11" s="43">
        <f>DataT13c!L12</f>
        <v>3.3352256286889315E-4</v>
      </c>
      <c r="L11" s="43">
        <f>DataT13c!M12</f>
        <v>5.4872721433639526E-2</v>
      </c>
      <c r="M11" s="105">
        <f>DataT13c!N12</f>
        <v>-1.3743331655859947E-2</v>
      </c>
    </row>
    <row r="12" spans="1:13" ht="17" thickBot="1" x14ac:dyDescent="0.25">
      <c r="A12" s="69" t="str">
        <f>DataT13c!B13</f>
        <v>World</v>
      </c>
      <c r="B12" s="63">
        <f>DataT13c!C13</f>
        <v>1.40515625E-7</v>
      </c>
      <c r="C12" s="63">
        <f>DataT13c!D13</f>
        <v>2.493046875E-7</v>
      </c>
      <c r="D12" s="63">
        <f>DataT13c!E13</f>
        <v>7.2537337499999999E-4</v>
      </c>
      <c r="E12" s="63">
        <f>DataT13c!F13</f>
        <v>-7.8742578124999997E-7</v>
      </c>
      <c r="F12" s="63">
        <f>DataT13c!G13</f>
        <v>6.7894062500000002E-6</v>
      </c>
      <c r="G12" s="63">
        <f>DataT13c!H13</f>
        <v>6.3776174999999997E-4</v>
      </c>
      <c r="H12" s="105">
        <f>DataT13c!I13</f>
        <v>1.3682028600359164E-12</v>
      </c>
      <c r="I12" s="105">
        <f>DataT13c!J13</f>
        <v>2.4274837782251035E-12</v>
      </c>
      <c r="J12" s="105">
        <f>DataT13c!K13</f>
        <v>7.062971985050126E-9</v>
      </c>
      <c r="K12" s="105">
        <f>DataT13c!L13</f>
        <v>-7.6671776566561434E-12</v>
      </c>
      <c r="L12" s="105">
        <f>DataT13c!M13</f>
        <v>6.610855612931843E-11</v>
      </c>
      <c r="M12" s="105">
        <f>DataT13c!N13</f>
        <v>6.2098961528533891E-9</v>
      </c>
    </row>
    <row r="13" spans="1:13" x14ac:dyDescent="0.2">
      <c r="A13" s="207" t="s">
        <v>675</v>
      </c>
      <c r="B13" s="208"/>
      <c r="C13" s="208"/>
      <c r="D13" s="208"/>
      <c r="E13" s="208"/>
      <c r="F13" s="208"/>
      <c r="G13" s="208"/>
      <c r="H13" s="208"/>
      <c r="I13" s="208"/>
      <c r="J13" s="208"/>
      <c r="K13" s="208"/>
      <c r="L13" s="208"/>
      <c r="M13" s="209"/>
    </row>
    <row r="14" spans="1:13" ht="63" customHeight="1" thickBot="1" x14ac:dyDescent="0.25">
      <c r="A14" s="210"/>
      <c r="B14" s="211"/>
      <c r="C14" s="211"/>
      <c r="D14" s="211"/>
      <c r="E14" s="211"/>
      <c r="F14" s="211"/>
      <c r="G14" s="211"/>
      <c r="H14" s="211"/>
      <c r="I14" s="211"/>
      <c r="J14" s="211"/>
      <c r="K14" s="211"/>
      <c r="L14" s="211"/>
      <c r="M14" s="212"/>
    </row>
  </sheetData>
  <mergeCells count="4">
    <mergeCell ref="A1:M1"/>
    <mergeCell ref="B2:G2"/>
    <mergeCell ref="H2:M2"/>
    <mergeCell ref="A13:M1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93805-CCD4-6B45-90DF-A5CB6A8BA368}">
  <sheetPr>
    <tabColor rgb="FF00B050"/>
  </sheetPr>
  <dimension ref="A1:M14"/>
  <sheetViews>
    <sheetView workbookViewId="0">
      <selection activeCell="B2" sqref="B2:G2"/>
    </sheetView>
  </sheetViews>
  <sheetFormatPr baseColWidth="10" defaultColWidth="15.5" defaultRowHeight="15" x14ac:dyDescent="0.2"/>
  <cols>
    <col min="1" max="1" width="23.6640625" customWidth="1"/>
  </cols>
  <sheetData>
    <row r="1" spans="1:13" ht="17" thickBot="1" x14ac:dyDescent="0.25">
      <c r="A1" s="204" t="str">
        <f>DataT13d!B2</f>
        <v>Table 13d. Current Account by World Region MER $ (2025)</v>
      </c>
      <c r="B1" s="205"/>
      <c r="C1" s="205"/>
      <c r="D1" s="205"/>
      <c r="E1" s="205"/>
      <c r="F1" s="205"/>
      <c r="G1" s="205"/>
      <c r="H1" s="205"/>
      <c r="I1" s="205"/>
      <c r="J1" s="205"/>
      <c r="K1" s="205"/>
      <c r="L1" s="205"/>
      <c r="M1" s="206"/>
    </row>
    <row r="2" spans="1:13" ht="17" thickBot="1" x14ac:dyDescent="0.25">
      <c r="A2" s="46"/>
      <c r="B2" s="201" t="str">
        <f>DataT13d!C3</f>
        <v>MER billions $</v>
      </c>
      <c r="C2" s="202"/>
      <c r="D2" s="202"/>
      <c r="E2" s="202"/>
      <c r="F2" s="202"/>
      <c r="G2" s="203"/>
      <c r="H2" s="201" t="str">
        <f>DataT13d!I3</f>
        <v>% of Gross Domestic Product</v>
      </c>
      <c r="I2" s="202"/>
      <c r="J2" s="202"/>
      <c r="K2" s="202"/>
      <c r="L2" s="202"/>
      <c r="M2" s="203"/>
    </row>
    <row r="3" spans="1:13" ht="120" thickBot="1" x14ac:dyDescent="0.25">
      <c r="A3" s="15" t="str">
        <f>DataT13d!B4</f>
        <v>Region</v>
      </c>
      <c r="B3" s="15" t="str">
        <f>DataT13d!C4</f>
        <v xml:space="preserve"> Net foreign capital income</v>
      </c>
      <c r="C3" s="15" t="str">
        <f>DataT13d!D4</f>
        <v>Net foreign labor income</v>
      </c>
      <c r="D3" s="15" t="str">
        <f>DataT13d!E4</f>
        <v>Trade balance</v>
      </c>
      <c r="E3" s="15" t="str">
        <f>DataT13d!F4</f>
        <v xml:space="preserve"> Foreign subsidies less taxes on production and imports</v>
      </c>
      <c r="F3" s="15" t="str">
        <f>DataT13d!G4</f>
        <v>Net foreign transfers</v>
      </c>
      <c r="G3" s="18" t="str">
        <f>DataT13d!H4</f>
        <v>Current Account</v>
      </c>
      <c r="H3" s="15" t="str">
        <f>DataT13d!I4</f>
        <v xml:space="preserve"> Net foreign capital income as % of Gross Domestic Product</v>
      </c>
      <c r="I3" s="15" t="str">
        <f>DataT13d!J4</f>
        <v>Net foreign labor income  as % of Gross Domestic Product</v>
      </c>
      <c r="J3" s="15" t="str">
        <f>DataT13d!K4</f>
        <v>Trade balance  as % of Gross Domestic Product</v>
      </c>
      <c r="K3" s="15" t="str">
        <f>DataT13d!L4</f>
        <v xml:space="preserve"> Foreign subsidies less taxes on production and imports  as % of Gross Domestic Product</v>
      </c>
      <c r="L3" s="15" t="str">
        <f>DataT13d!M4</f>
        <v>Net foreign transfers  as % of Gross Domestic Product</v>
      </c>
      <c r="M3" s="18" t="str">
        <f>DataT13d!N4</f>
        <v>Current Account  as % of Gross Domestic Product</v>
      </c>
    </row>
    <row r="4" spans="1:13" ht="17" thickBot="1" x14ac:dyDescent="0.25">
      <c r="A4" s="46" t="str">
        <f>DataT13b!B5</f>
        <v>East Asia</v>
      </c>
      <c r="B4" s="47">
        <f>DataT13d!C5</f>
        <v>181.546614912</v>
      </c>
      <c r="C4" s="47">
        <f>DataT13d!D5</f>
        <v>-29.628146959999999</v>
      </c>
      <c r="D4" s="47">
        <f>DataT13d!E5</f>
        <v>916.04759544000001</v>
      </c>
      <c r="E4" s="47">
        <f>DataT13d!F5</f>
        <v>2.54903032940625</v>
      </c>
      <c r="F4" s="47">
        <f>DataT13d!G5</f>
        <v>-78.110413072</v>
      </c>
      <c r="G4" s="63">
        <f>DataT13d!H5</f>
        <v>992.40468825549999</v>
      </c>
      <c r="H4" s="43">
        <f>DataT13d!I5</f>
        <v>6.6348067484796047E-3</v>
      </c>
      <c r="I4" s="43">
        <f>DataT13d!J5</f>
        <v>-1.0827910155057907E-3</v>
      </c>
      <c r="J4" s="43">
        <f>DataT13d!K5</f>
        <v>3.3477898687124252E-2</v>
      </c>
      <c r="K4" s="43">
        <f>DataT13d!L5</f>
        <v>9.3156922957859933E-5</v>
      </c>
      <c r="L4" s="43">
        <f>DataT13d!M5</f>
        <v>-2.8546249959617853E-3</v>
      </c>
      <c r="M4" s="105">
        <f>DataT13d!N5</f>
        <v>3.62684465944767E-2</v>
      </c>
    </row>
    <row r="5" spans="1:13" ht="17" thickBot="1" x14ac:dyDescent="0.25">
      <c r="A5" s="46" t="str">
        <f>DataT13b!B6</f>
        <v>Europe</v>
      </c>
      <c r="B5" s="47">
        <f>DataT13d!C6</f>
        <v>349.93387145000003</v>
      </c>
      <c r="C5" s="47">
        <f>DataT13d!D6</f>
        <v>-2.4283121599999999</v>
      </c>
      <c r="D5" s="47">
        <f>DataT13d!E6</f>
        <v>294.02151048000002</v>
      </c>
      <c r="E5" s="47">
        <f>DataT13d!F6</f>
        <v>17.820632984515626</v>
      </c>
      <c r="F5" s="47">
        <f>DataT13d!G6</f>
        <v>-201.20032015199999</v>
      </c>
      <c r="G5" s="63">
        <f>DataT13d!H6</f>
        <v>458.14740724799998</v>
      </c>
      <c r="H5" s="43">
        <f>DataT13d!I6</f>
        <v>1.2474344111979008E-2</v>
      </c>
      <c r="I5" s="43">
        <f>DataT13d!J6</f>
        <v>-8.6563792137894779E-5</v>
      </c>
      <c r="J5" s="43">
        <f>DataT13d!K6</f>
        <v>1.0481196455657482E-2</v>
      </c>
      <c r="K5" s="43">
        <f>DataT13d!L6</f>
        <v>6.3526490703225136E-4</v>
      </c>
      <c r="L5" s="43">
        <f>DataT13d!M6</f>
        <v>-7.1723326109349728E-3</v>
      </c>
      <c r="M5" s="105">
        <f>DataT13d!N6</f>
        <v>1.6331909224390984E-2</v>
      </c>
    </row>
    <row r="6" spans="1:13" ht="17" thickBot="1" x14ac:dyDescent="0.25">
      <c r="A6" s="46" t="str">
        <f>DataT13b!B7</f>
        <v>Latin America</v>
      </c>
      <c r="B6" s="47">
        <f>DataT13d!C7</f>
        <v>-227.90278114349999</v>
      </c>
      <c r="C6" s="47">
        <f>DataT13d!D7</f>
        <v>2.7670791491640623</v>
      </c>
      <c r="D6" s="47">
        <f>DataT13d!E7</f>
        <v>-66.528144080999994</v>
      </c>
      <c r="E6" s="47">
        <f>DataT13d!F7</f>
        <v>-2.9232816677070312</v>
      </c>
      <c r="F6" s="47">
        <f>DataT13d!G7</f>
        <v>151.41289445125</v>
      </c>
      <c r="G6" s="63">
        <f>DataT13d!H7</f>
        <v>-143.174227054</v>
      </c>
      <c r="H6" s="43">
        <f>DataT13d!I7</f>
        <v>-2.976495772600174E-2</v>
      </c>
      <c r="I6" s="43">
        <f>DataT13d!J7</f>
        <v>3.6139090661890805E-4</v>
      </c>
      <c r="J6" s="43">
        <f>DataT13d!K7</f>
        <v>-8.6888251826167107E-3</v>
      </c>
      <c r="K6" s="43">
        <f>DataT13d!L7</f>
        <v>-3.8179155671969056E-4</v>
      </c>
      <c r="L6" s="43">
        <f>DataT13d!M7</f>
        <v>1.9775092601776123E-2</v>
      </c>
      <c r="M6" s="105">
        <f>DataT13d!N7</f>
        <v>-1.8699090927839279E-2</v>
      </c>
    </row>
    <row r="7" spans="1:13" ht="17" thickBot="1" x14ac:dyDescent="0.25">
      <c r="A7" s="46" t="str">
        <f>DataT13b!B8</f>
        <v>MENA</v>
      </c>
      <c r="B7" s="47">
        <f>DataT13d!C8</f>
        <v>-23.875183415999999</v>
      </c>
      <c r="C7" s="47">
        <f>DataT13d!D8</f>
        <v>5.7531032499999997</v>
      </c>
      <c r="D7" s="47">
        <f>DataT13d!E8</f>
        <v>182.547824832</v>
      </c>
      <c r="E7" s="47">
        <f>DataT13d!F8</f>
        <v>2.4596543472460937</v>
      </c>
      <c r="F7" s="47">
        <f>DataT13d!G8</f>
        <v>-54.761389743999999</v>
      </c>
      <c r="G7" s="63">
        <f>DataT13d!H8</f>
        <v>112.124002112</v>
      </c>
      <c r="H7" s="43">
        <f>DataT13d!I8</f>
        <v>-3.6117676645517349E-3</v>
      </c>
      <c r="I7" s="43">
        <f>DataT13d!J8</f>
        <v>8.7031262228265405E-4</v>
      </c>
      <c r="J7" s="43">
        <f>DataT13d!K8</f>
        <v>2.7615299448370934E-2</v>
      </c>
      <c r="K7" s="43">
        <f>DataT13d!L8</f>
        <v>3.7208930007182062E-4</v>
      </c>
      <c r="L7" s="43">
        <f>DataT13d!M8</f>
        <v>-8.2841422408819199E-3</v>
      </c>
      <c r="M7" s="105">
        <f>DataT13d!N8</f>
        <v>1.696179062128067E-2</v>
      </c>
    </row>
    <row r="8" spans="1:13" ht="17" thickBot="1" x14ac:dyDescent="0.25">
      <c r="A8" s="46" t="str">
        <f>DataT13b!B9</f>
        <v>North America &amp; Oceania</v>
      </c>
      <c r="B8" s="47">
        <f>DataT13d!C9</f>
        <v>72.763782740937501</v>
      </c>
      <c r="C8" s="47">
        <f>DataT13d!D9</f>
        <v>-20.735657905062499</v>
      </c>
      <c r="D8" s="47">
        <f>DataT13d!E9</f>
        <v>-1157.395127108</v>
      </c>
      <c r="E8" s="47">
        <f>DataT13d!F9</f>
        <v>-26.842215582968748</v>
      </c>
      <c r="F8" s="47">
        <f>DataT13d!G9</f>
        <v>-207.53859269637499</v>
      </c>
      <c r="G8" s="63">
        <f>DataT13d!H9</f>
        <v>-1339.7478926365</v>
      </c>
      <c r="H8" s="43">
        <f>DataT13d!I9</f>
        <v>2.0567113533616066E-3</v>
      </c>
      <c r="I8" s="43">
        <f>DataT13d!J9</f>
        <v>-5.8610562700778246E-4</v>
      </c>
      <c r="J8" s="43">
        <f>DataT13d!K9</f>
        <v>-3.271445631980896E-2</v>
      </c>
      <c r="K8" s="43">
        <f>DataT13d!L9</f>
        <v>-7.587111322209239E-4</v>
      </c>
      <c r="L8" s="43">
        <f>DataT13d!M9</f>
        <v>-5.8662011288106441E-3</v>
      </c>
      <c r="M8" s="105">
        <f>DataT13d!N9</f>
        <v>-3.7868767976760864E-2</v>
      </c>
    </row>
    <row r="9" spans="1:13" ht="17" thickBot="1" x14ac:dyDescent="0.25">
      <c r="A9" s="46" t="str">
        <f>DataT13b!B10</f>
        <v>Russia &amp; Central Asia</v>
      </c>
      <c r="B9" s="47">
        <f>DataT13d!C10</f>
        <v>-62.890904880000001</v>
      </c>
      <c r="C9" s="47">
        <f>DataT13d!D10</f>
        <v>23.78434944</v>
      </c>
      <c r="D9" s="47">
        <f>DataT13d!E10</f>
        <v>-32.360258432000002</v>
      </c>
      <c r="E9" s="47">
        <f>DataT13d!F10</f>
        <v>-0.44813410999999997</v>
      </c>
      <c r="F9" s="47">
        <f>DataT13d!G10</f>
        <v>28.673922888</v>
      </c>
      <c r="G9" s="63">
        <f>DataT13d!H10</f>
        <v>-43.24102336</v>
      </c>
      <c r="H9" s="43">
        <f>DataT13d!I10</f>
        <v>-1.6941506415605545E-2</v>
      </c>
      <c r="I9" s="43">
        <f>DataT13d!J10</f>
        <v>6.4070103690028191E-3</v>
      </c>
      <c r="J9" s="43">
        <f>DataT13d!K10</f>
        <v>-8.7171830236911774E-3</v>
      </c>
      <c r="K9" s="43">
        <f>DataT13d!L10</f>
        <v>-1.2071803939761594E-4</v>
      </c>
      <c r="L9" s="43">
        <f>DataT13d!M10</f>
        <v>7.7241603285074234E-3</v>
      </c>
      <c r="M9" s="105">
        <f>DataT13d!N10</f>
        <v>-1.1648234911262989E-2</v>
      </c>
    </row>
    <row r="10" spans="1:13" ht="17" thickBot="1" x14ac:dyDescent="0.25">
      <c r="A10" s="46" t="str">
        <f>DataT13b!B11</f>
        <v>South &amp; South-East Asia</v>
      </c>
      <c r="B10" s="47">
        <f>DataT13d!C11</f>
        <v>-179.64637758800001</v>
      </c>
      <c r="C10" s="47">
        <f>DataT13d!D11</f>
        <v>3.4215381050000002</v>
      </c>
      <c r="D10" s="47">
        <f>DataT13d!E11</f>
        <v>-37.704823328000003</v>
      </c>
      <c r="E10" s="47">
        <f>DataT13d!F11</f>
        <v>6.4580356018750003</v>
      </c>
      <c r="F10" s="47">
        <f>DataT13d!G11</f>
        <v>209.128229726</v>
      </c>
      <c r="G10" s="63">
        <f>DataT13d!H11</f>
        <v>1.656597576</v>
      </c>
      <c r="H10" s="43">
        <f>DataT13d!I11</f>
        <v>-1.8916899338364601E-2</v>
      </c>
      <c r="I10" s="43">
        <f>DataT13d!J11</f>
        <v>3.6029057810083032E-4</v>
      </c>
      <c r="J10" s="43">
        <f>DataT13d!K11</f>
        <v>-3.9703464135527611E-3</v>
      </c>
      <c r="K10" s="43">
        <f>DataT13d!L11</f>
        <v>6.8003608612343669E-4</v>
      </c>
      <c r="L10" s="43">
        <f>DataT13d!M11</f>
        <v>2.202136255800724E-2</v>
      </c>
      <c r="M10" s="105">
        <f>DataT13d!N11</f>
        <v>1.7444098193664104E-4</v>
      </c>
    </row>
    <row r="11" spans="1:13" ht="17" thickBot="1" x14ac:dyDescent="0.25">
      <c r="A11" s="46" t="str">
        <f>DataT13b!B12</f>
        <v>Sub-Saharan Africa</v>
      </c>
      <c r="B11" s="47">
        <f>DataT13d!C12</f>
        <v>-109.929016076875</v>
      </c>
      <c r="C11" s="47">
        <f>DataT13d!D12</f>
        <v>17.0660466711875</v>
      </c>
      <c r="D11" s="47">
        <f>DataT13d!E12</f>
        <v>-98.627774959999996</v>
      </c>
      <c r="E11" s="47">
        <f>DataT13d!F12</f>
        <v>0.92627809286718754</v>
      </c>
      <c r="F11" s="47">
        <f>DataT13d!G12</f>
        <v>152.39568573599999</v>
      </c>
      <c r="G11" s="63">
        <f>DataT13d!H12</f>
        <v>-38.168775973000002</v>
      </c>
      <c r="H11" s="43">
        <f>DataT13d!I12</f>
        <v>-3.9581853896379471E-2</v>
      </c>
      <c r="I11" s="43">
        <f>DataT13d!J12</f>
        <v>6.1449268832802773E-3</v>
      </c>
      <c r="J11" s="43">
        <f>DataT13d!K12</f>
        <v>-3.5512644797563553E-2</v>
      </c>
      <c r="K11" s="43">
        <f>DataT13d!L12</f>
        <v>3.3352253376506269E-4</v>
      </c>
      <c r="L11" s="43">
        <f>DataT13d!M12</f>
        <v>5.4872717708349228E-2</v>
      </c>
      <c r="M11" s="105">
        <f>DataT13d!N12</f>
        <v>-1.3743331655859947E-2</v>
      </c>
    </row>
    <row r="12" spans="1:13" ht="17" thickBot="1" x14ac:dyDescent="0.25">
      <c r="A12" s="69" t="str">
        <f>DataT13b!B13</f>
        <v>World</v>
      </c>
      <c r="B12" s="63">
        <f>DataT13d!C13</f>
        <v>5.9985625000000004E-6</v>
      </c>
      <c r="C12" s="63">
        <f>DataT13d!D13</f>
        <v>-4.0971093749999999E-7</v>
      </c>
      <c r="D12" s="63">
        <f>DataT13d!E13</f>
        <v>8.0284300000000002E-4</v>
      </c>
      <c r="E12" s="63">
        <f>DataT13d!F13</f>
        <v>-4.7656249999999999E-9</v>
      </c>
      <c r="F12" s="63">
        <f>DataT13d!G13</f>
        <v>1.7136875E-5</v>
      </c>
      <c r="G12" s="63">
        <f>DataT13d!H13</f>
        <v>7.7616800000000004E-4</v>
      </c>
      <c r="H12" s="105">
        <f>DataT13d!I13</f>
        <v>4.9555654718647091E-11</v>
      </c>
      <c r="I12" s="105">
        <f>DataT13d!J13</f>
        <v>-3.3847265268338589E-12</v>
      </c>
      <c r="J12" s="105">
        <f>DataT13d!K13</f>
        <v>6.632490556768289E-9</v>
      </c>
      <c r="K12" s="105">
        <f>DataT13d!L13</f>
        <v>-3.9370043954534834E-14</v>
      </c>
      <c r="L12" s="105">
        <f>DataT13d!M13</f>
        <v>1.4157208738652116E-10</v>
      </c>
      <c r="M12" s="105">
        <f>DataT13d!N13</f>
        <v>6.412121500432022E-9</v>
      </c>
    </row>
    <row r="13" spans="1:13" ht="27" customHeight="1" x14ac:dyDescent="0.2">
      <c r="A13" s="207" t="s">
        <v>674</v>
      </c>
      <c r="B13" s="208"/>
      <c r="C13" s="208"/>
      <c r="D13" s="208"/>
      <c r="E13" s="208"/>
      <c r="F13" s="208"/>
      <c r="G13" s="208"/>
      <c r="H13" s="208"/>
      <c r="I13" s="208"/>
      <c r="J13" s="208"/>
      <c r="K13" s="208"/>
      <c r="L13" s="208"/>
      <c r="M13" s="209"/>
    </row>
    <row r="14" spans="1:13" ht="49" customHeight="1" thickBot="1" x14ac:dyDescent="0.25">
      <c r="A14" s="210"/>
      <c r="B14" s="211"/>
      <c r="C14" s="211"/>
      <c r="D14" s="211"/>
      <c r="E14" s="211"/>
      <c r="F14" s="211"/>
      <c r="G14" s="211"/>
      <c r="H14" s="211"/>
      <c r="I14" s="211"/>
      <c r="J14" s="211"/>
      <c r="K14" s="211"/>
      <c r="L14" s="211"/>
      <c r="M14" s="212"/>
    </row>
  </sheetData>
  <mergeCells count="4">
    <mergeCell ref="A1:M1"/>
    <mergeCell ref="B2:G2"/>
    <mergeCell ref="H2:M2"/>
    <mergeCell ref="A13:M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1F371-6B14-1147-9BEC-A4199011386D}">
  <sheetPr>
    <tabColor rgb="FF00B050"/>
  </sheetPr>
  <dimension ref="A1:K13"/>
  <sheetViews>
    <sheetView workbookViewId="0">
      <selection activeCell="H25" sqref="H25"/>
    </sheetView>
  </sheetViews>
  <sheetFormatPr baseColWidth="10" defaultColWidth="18" defaultRowHeight="15" x14ac:dyDescent="0.2"/>
  <cols>
    <col min="1" max="1" width="25" customWidth="1"/>
  </cols>
  <sheetData>
    <row r="1" spans="1:11" ht="17" thickBot="1" x14ac:dyDescent="0.25">
      <c r="A1" s="213" t="str">
        <f>DataT14a!B3</f>
        <v xml:space="preserve">Table 14a. Net foreign Assets PPP € 2025 by World Regions (1980-2025) </v>
      </c>
      <c r="B1" s="214"/>
      <c r="C1" s="214"/>
      <c r="D1" s="214"/>
      <c r="E1" s="214"/>
      <c r="F1" s="214"/>
      <c r="G1" s="214"/>
      <c r="H1" s="214"/>
      <c r="I1" s="214"/>
      <c r="J1" s="214"/>
      <c r="K1" s="215"/>
    </row>
    <row r="2" spans="1:11" ht="52" thickBot="1" x14ac:dyDescent="0.25">
      <c r="A2" s="15" t="str">
        <f>DataT14a!B4</f>
        <v>Region</v>
      </c>
      <c r="B2" s="15" t="str">
        <f>DataT14a!C4</f>
        <v xml:space="preserve"> 1800 Net Foreign Assets</v>
      </c>
      <c r="C2" s="15" t="str">
        <f>DataT14a!D4</f>
        <v xml:space="preserve"> 1980 Net Foreign Assets</v>
      </c>
      <c r="D2" s="15" t="str">
        <f>DataT14a!E4</f>
        <v>2000 Net Foreign Assets</v>
      </c>
      <c r="E2" s="15" t="str">
        <f>DataT14a!F4</f>
        <v>2020 Net Foreign Assets</v>
      </c>
      <c r="F2" s="15" t="str">
        <f>DataT14a!G4</f>
        <v>2025 Net Foreign Assets</v>
      </c>
      <c r="G2" s="15" t="str">
        <f>DataT14a!H4</f>
        <v xml:space="preserve"> 1800 Net Foreign Assets as % of NDP</v>
      </c>
      <c r="H2" s="15" t="str">
        <f>DataT14a!I4</f>
        <v xml:space="preserve"> 1980 Net Foreign Assets  as % of NDP</v>
      </c>
      <c r="I2" s="15" t="str">
        <f>DataT14a!J4</f>
        <v>2000 Net Foreign Assets  as % of NDP</v>
      </c>
      <c r="J2" s="15" t="str">
        <f>DataT14a!K4</f>
        <v>2020 Net Foreign Assets  as % of NDP</v>
      </c>
      <c r="K2" s="15" t="str">
        <f>DataT14a!L4</f>
        <v>2025 Net Foreign Assets  as % of NDP</v>
      </c>
    </row>
    <row r="3" spans="1:11" ht="17" thickBot="1" x14ac:dyDescent="0.25">
      <c r="A3" s="46" t="str">
        <f>DataT14a!B5</f>
        <v>East Asia</v>
      </c>
      <c r="B3" s="47">
        <f>DataT14a!C5</f>
        <v>0</v>
      </c>
      <c r="C3" s="47">
        <f>DataT14a!D5</f>
        <v>46.18731689453125</v>
      </c>
      <c r="D3" s="47">
        <f>DataT14a!E5</f>
        <v>1593.2855224609375</v>
      </c>
      <c r="E3" s="47">
        <f>DataT14a!F5</f>
        <v>11211.837890625</v>
      </c>
      <c r="F3" s="47">
        <f>DataT14a!G5</f>
        <v>15475.814453125</v>
      </c>
      <c r="G3" s="49">
        <f>DataT14a!H5</f>
        <v>0</v>
      </c>
      <c r="H3" s="49">
        <f>DataT14a!I5</f>
        <v>2.7053631842136383E-2</v>
      </c>
      <c r="I3" s="49">
        <f>DataT14a!J5</f>
        <v>0.28001892566680908</v>
      </c>
      <c r="J3" s="49">
        <f>DataT14a!K5</f>
        <v>0.48517346382141113</v>
      </c>
      <c r="K3" s="49">
        <f>DataT14a!L5</f>
        <v>0.51130580902099609</v>
      </c>
    </row>
    <row r="4" spans="1:11" ht="17" thickBot="1" x14ac:dyDescent="0.25">
      <c r="A4" s="46" t="str">
        <f>DataT14a!B6</f>
        <v>Europe</v>
      </c>
      <c r="B4" s="47">
        <f>DataT14a!C6</f>
        <v>5.7927370071411133E-2</v>
      </c>
      <c r="C4" s="47">
        <f>DataT14a!D6</f>
        <v>210.04512023925781</v>
      </c>
      <c r="D4" s="47">
        <f>DataT14a!E6</f>
        <v>332.9605712890625</v>
      </c>
      <c r="E4" s="47">
        <f>DataT14a!F6</f>
        <v>2708.3359375</v>
      </c>
      <c r="F4" s="47">
        <f>DataT14a!G6</f>
        <v>6075.5869140625</v>
      </c>
      <c r="G4" s="49">
        <f>DataT14a!H6</f>
        <v>4.2962994426488876E-2</v>
      </c>
      <c r="H4" s="49">
        <f>DataT14a!I6</f>
        <v>9.6269607543945312E-2</v>
      </c>
      <c r="I4" s="49">
        <f>DataT14a!J6</f>
        <v>4.101177304983139E-2</v>
      </c>
      <c r="J4" s="49">
        <f>DataT14a!K6</f>
        <v>0.19239240884780884</v>
      </c>
      <c r="K4" s="49">
        <f>DataT14a!L6</f>
        <v>0.30404478311538696</v>
      </c>
    </row>
    <row r="5" spans="1:11" ht="17" thickBot="1" x14ac:dyDescent="0.25">
      <c r="A5" s="46" t="str">
        <f>DataT14a!B7</f>
        <v>Latin America</v>
      </c>
      <c r="B5" s="47">
        <f>DataT14a!C7</f>
        <v>-1.2341408990323544E-2</v>
      </c>
      <c r="C5" s="47">
        <f>DataT14a!D7</f>
        <v>-59.524600982666016</v>
      </c>
      <c r="D5" s="47">
        <f>DataT14a!E7</f>
        <v>-305.51278686523438</v>
      </c>
      <c r="E5" s="47">
        <f>DataT14a!F7</f>
        <v>-4376.75</v>
      </c>
      <c r="F5" s="47">
        <f>DataT14a!G7</f>
        <v>-1507.7296142578125</v>
      </c>
      <c r="G5" s="49">
        <f>DataT14a!H7</f>
        <v>-0.14221146702766418</v>
      </c>
      <c r="H5" s="49">
        <f>DataT14a!I7</f>
        <v>-0.85415977239608765</v>
      </c>
      <c r="I5" s="49">
        <f>DataT14a!J7</f>
        <v>-0.27411383390426636</v>
      </c>
      <c r="J5" s="49">
        <f>DataT14a!K7</f>
        <v>-0.89492112398147583</v>
      </c>
      <c r="K5" s="49">
        <f>DataT14a!L7</f>
        <v>-0.1675354540348053</v>
      </c>
    </row>
    <row r="6" spans="1:11" ht="17" thickBot="1" x14ac:dyDescent="0.25">
      <c r="A6" s="46" t="str">
        <f>DataT14a!B8</f>
        <v>MENA</v>
      </c>
      <c r="B6" s="47">
        <f>DataT14a!C8</f>
        <v>0</v>
      </c>
      <c r="C6" s="47">
        <f>DataT14a!D8</f>
        <v>241.00468444824219</v>
      </c>
      <c r="D6" s="47">
        <f>DataT14a!E8</f>
        <v>441.19052124023438</v>
      </c>
      <c r="E6" s="47">
        <f>DataT14a!F8</f>
        <v>4196.95166015625</v>
      </c>
      <c r="F6" s="47">
        <f>DataT14a!G8</f>
        <v>5232.67578125</v>
      </c>
      <c r="G6" s="49">
        <f>DataT14a!H8</f>
        <v>0</v>
      </c>
      <c r="H6" s="49">
        <f>DataT14a!I8</f>
        <v>0.76987451314926147</v>
      </c>
      <c r="I6" s="49">
        <f>DataT14a!J8</f>
        <v>0.52806180715560913</v>
      </c>
      <c r="J6" s="49">
        <f>DataT14a!K8</f>
        <v>1.1276408433914185</v>
      </c>
      <c r="K6" s="49">
        <f>DataT14a!L8</f>
        <v>0.55097520351409912</v>
      </c>
    </row>
    <row r="7" spans="1:11" ht="17" thickBot="1" x14ac:dyDescent="0.25">
      <c r="A7" s="46" t="str">
        <f>DataT14a!B9</f>
        <v>North America &amp; Oceania</v>
      </c>
      <c r="B7" s="47">
        <f>DataT14a!C9</f>
        <v>-5.3805619478225708E-2</v>
      </c>
      <c r="C7" s="47">
        <f>DataT14a!D9</f>
        <v>26.646656036376953</v>
      </c>
      <c r="D7" s="47">
        <f>DataT14a!E9</f>
        <v>-1129.9969482421875</v>
      </c>
      <c r="E7" s="47">
        <f>DataT14a!F9</f>
        <v>-9175.0576171875</v>
      </c>
      <c r="F7" s="47">
        <f>DataT14a!G9</f>
        <v>-16811.0078125</v>
      </c>
      <c r="G7" s="49">
        <f>DataT14a!H9</f>
        <v>-0.19672767817974091</v>
      </c>
      <c r="H7" s="49">
        <f>DataT14a!I9</f>
        <v>1.4173467643558979E-2</v>
      </c>
      <c r="I7" s="49">
        <f>DataT14a!J9</f>
        <v>-0.16497673094272614</v>
      </c>
      <c r="J7" s="49">
        <f>DataT14a!K9</f>
        <v>-0.64845341444015503</v>
      </c>
      <c r="K7" s="49">
        <f>DataT14a!L9</f>
        <v>-0.82509016990661621</v>
      </c>
    </row>
    <row r="8" spans="1:11" ht="17" thickBot="1" x14ac:dyDescent="0.25">
      <c r="A8" s="46" t="str">
        <f>DataT14a!B10</f>
        <v>Russia &amp; Central Asia</v>
      </c>
      <c r="B8" s="47">
        <f>DataT14a!C10</f>
        <v>0</v>
      </c>
      <c r="C8" s="47">
        <f>DataT14a!D10</f>
        <v>-2.7390499599277973E-4</v>
      </c>
      <c r="D8" s="47">
        <f>DataT14a!E10</f>
        <v>24.219545364379883</v>
      </c>
      <c r="E8" s="47">
        <f>DataT14a!F10</f>
        <v>315.26095581054688</v>
      </c>
      <c r="F8" s="47">
        <f>DataT14a!G10</f>
        <v>1172.9127197265625</v>
      </c>
      <c r="G8" s="49">
        <f>DataT14a!H10</f>
        <v>0</v>
      </c>
      <c r="H8" s="49">
        <f>DataT14a!I10</f>
        <v>-3.5078432410955429E-2</v>
      </c>
      <c r="I8" s="49">
        <f>DataT14a!J10</f>
        <v>0.1270538866519928</v>
      </c>
      <c r="J8" s="49">
        <f>DataT14a!K10</f>
        <v>0.10433788597583771</v>
      </c>
      <c r="K8" s="49">
        <f>DataT14a!L10</f>
        <v>0.19404330849647522</v>
      </c>
    </row>
    <row r="9" spans="1:11" ht="17" thickBot="1" x14ac:dyDescent="0.25">
      <c r="A9" s="46" t="str">
        <f>DataT14a!B11</f>
        <v>South &amp; South-East Asia</v>
      </c>
      <c r="B9" s="47">
        <f>DataT14a!C11</f>
        <v>-9.0803520288318396E-4</v>
      </c>
      <c r="C9" s="47">
        <f>DataT14a!D11</f>
        <v>-5.0938611030578613</v>
      </c>
      <c r="D9" s="47">
        <f>DataT14a!E11</f>
        <v>-241.45278930664062</v>
      </c>
      <c r="E9" s="47">
        <f>DataT14a!F11</f>
        <v>-1369.932861328125</v>
      </c>
      <c r="F9" s="47">
        <f>DataT14a!G11</f>
        <v>-4482.869140625</v>
      </c>
      <c r="G9" s="49">
        <f>DataT14a!H11</f>
        <v>-1.3929684646427631E-3</v>
      </c>
      <c r="H9" s="49">
        <f>DataT14a!I11</f>
        <v>-2.9723372310400009E-2</v>
      </c>
      <c r="I9" s="49">
        <f>DataT14a!J11</f>
        <v>-0.14240381121635437</v>
      </c>
      <c r="J9" s="49">
        <f>DataT14a!K11</f>
        <v>-0.11036300659179688</v>
      </c>
      <c r="K9" s="49">
        <f>DataT14a!L11</f>
        <v>-0.21360267698764801</v>
      </c>
    </row>
    <row r="10" spans="1:11" ht="17" thickBot="1" x14ac:dyDescent="0.25">
      <c r="A10" s="46" t="str">
        <f>DataT14a!B12</f>
        <v>Sub-Saharan Africa</v>
      </c>
      <c r="B10" s="47">
        <f>DataT14a!C12</f>
        <v>0</v>
      </c>
      <c r="C10" s="47">
        <f>DataT14a!D12</f>
        <v>-15.662459373474121</v>
      </c>
      <c r="D10" s="47">
        <f>DataT14a!E12</f>
        <v>-152.00074768066406</v>
      </c>
      <c r="E10" s="47">
        <f>DataT14a!F12</f>
        <v>-726.36175537109375</v>
      </c>
      <c r="F10" s="47">
        <f>DataT14a!G12</f>
        <v>-1605.7135009765625</v>
      </c>
      <c r="G10" s="49">
        <f>DataT14a!H12</f>
        <v>0</v>
      </c>
      <c r="H10" s="49">
        <f>DataT14a!I12</f>
        <v>-0.27958002686500549</v>
      </c>
      <c r="I10" s="49">
        <f>DataT14a!J12</f>
        <v>-0.50251579284667969</v>
      </c>
      <c r="J10" s="49">
        <f>DataT14a!K12</f>
        <v>-0.29818063974380493</v>
      </c>
      <c r="K10" s="49">
        <f>DataT14a!L12</f>
        <v>-0.33581650257110596</v>
      </c>
    </row>
    <row r="11" spans="1:11" ht="18" thickBot="1" x14ac:dyDescent="0.25">
      <c r="A11" s="18" t="str">
        <f>DataT14a!B13</f>
        <v>World</v>
      </c>
      <c r="B11" s="18">
        <f>DataT14a!C13</f>
        <v>-9.1276932507753372E-3</v>
      </c>
      <c r="C11" s="18">
        <f>DataT14a!D13</f>
        <v>443.60256958007812</v>
      </c>
      <c r="D11" s="18">
        <f>DataT14a!E13</f>
        <v>562.69293212890625</v>
      </c>
      <c r="E11" s="18">
        <f>DataT14a!F13</f>
        <v>2784.2841796875</v>
      </c>
      <c r="F11" s="18">
        <f>DataT14a!G13</f>
        <v>3549.6708984375</v>
      </c>
      <c r="G11" s="84">
        <f>DataT14a!H13</f>
        <v>-1.6245482256636024E-3</v>
      </c>
      <c r="H11" s="84">
        <f>DataT14a!I13</f>
        <v>6.9538168609142303E-2</v>
      </c>
      <c r="I11" s="84">
        <f>DataT14a!J13</f>
        <v>2.2692250087857246E-2</v>
      </c>
      <c r="J11" s="84">
        <f>DataT14a!K13</f>
        <v>3.5779327154159546E-2</v>
      </c>
      <c r="K11" s="84">
        <f>DataT14a!L13</f>
        <v>2.9352091252803802E-2</v>
      </c>
    </row>
    <row r="12" spans="1:11" x14ac:dyDescent="0.2">
      <c r="A12" s="207" t="s">
        <v>676</v>
      </c>
      <c r="B12" s="208"/>
      <c r="C12" s="208"/>
      <c r="D12" s="208"/>
      <c r="E12" s="208"/>
      <c r="F12" s="208"/>
      <c r="G12" s="208"/>
      <c r="H12" s="208"/>
      <c r="I12" s="208"/>
      <c r="J12" s="208"/>
      <c r="K12" s="209"/>
    </row>
    <row r="13" spans="1:11" ht="28" customHeight="1" thickBot="1" x14ac:dyDescent="0.25">
      <c r="A13" s="210"/>
      <c r="B13" s="211"/>
      <c r="C13" s="211"/>
      <c r="D13" s="211"/>
      <c r="E13" s="211"/>
      <c r="F13" s="211"/>
      <c r="G13" s="211"/>
      <c r="H13" s="211"/>
      <c r="I13" s="211"/>
      <c r="J13" s="211"/>
      <c r="K13" s="212"/>
    </row>
  </sheetData>
  <mergeCells count="2">
    <mergeCell ref="A1:K1"/>
    <mergeCell ref="A12:K1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940A0-9870-4743-84DA-489A69A2459E}">
  <sheetPr>
    <tabColor rgb="FF00B050"/>
  </sheetPr>
  <dimension ref="A1:K13"/>
  <sheetViews>
    <sheetView workbookViewId="0">
      <selection activeCell="K21" sqref="K21"/>
    </sheetView>
  </sheetViews>
  <sheetFormatPr baseColWidth="10" defaultColWidth="18" defaultRowHeight="15" x14ac:dyDescent="0.2"/>
  <cols>
    <col min="1" max="1" width="24.6640625" customWidth="1"/>
  </cols>
  <sheetData>
    <row r="1" spans="1:11" ht="16" thickBot="1" x14ac:dyDescent="0.25">
      <c r="A1" s="213" t="str">
        <f>DataT14d!B3</f>
        <v xml:space="preserve">Table 14d. Net foreign Assets MER$  by World Regions (1980-2025) </v>
      </c>
      <c r="B1" s="214">
        <f>DataT14d!C3</f>
        <v>0</v>
      </c>
      <c r="C1" s="214">
        <f>DataT14d!D3</f>
        <v>0</v>
      </c>
      <c r="D1" s="214">
        <f>DataT14d!E3</f>
        <v>0</v>
      </c>
      <c r="E1" s="214">
        <f>DataT14d!F3</f>
        <v>0</v>
      </c>
      <c r="F1" s="214">
        <f>DataT14d!G3</f>
        <v>0</v>
      </c>
      <c r="G1" s="214">
        <f>DataT14d!H3</f>
        <v>0</v>
      </c>
      <c r="H1" s="214">
        <f>DataT14d!I3</f>
        <v>0</v>
      </c>
      <c r="I1" s="214">
        <f>DataT14d!J3</f>
        <v>0</v>
      </c>
      <c r="J1" s="214">
        <f>DataT14d!K3</f>
        <v>0</v>
      </c>
      <c r="K1" s="215">
        <f>DataT14d!L3</f>
        <v>0</v>
      </c>
    </row>
    <row r="2" spans="1:11" ht="52" thickBot="1" x14ac:dyDescent="0.25">
      <c r="A2" s="46" t="str">
        <f>DataT14d!B4</f>
        <v>Region</v>
      </c>
      <c r="B2" s="78" t="str">
        <f>DataT14d!C4</f>
        <v xml:space="preserve"> 1800 Net Foreign Assets</v>
      </c>
      <c r="C2" s="78" t="str">
        <f>DataT14d!D4</f>
        <v xml:space="preserve"> 1980 Net Foreign Assets</v>
      </c>
      <c r="D2" s="78" t="str">
        <f>DataT14d!E4</f>
        <v>2000 Net Foreign Assets</v>
      </c>
      <c r="E2" s="78" t="str">
        <f>DataT14d!F4</f>
        <v>2020 Net Foreign Assets</v>
      </c>
      <c r="F2" s="78" t="str">
        <f>DataT14d!G4</f>
        <v>2025 Net Foreign Assets</v>
      </c>
      <c r="G2" s="78" t="str">
        <f>DataT14d!H4</f>
        <v xml:space="preserve"> 1800 Net Foreign Assets as % of NDP</v>
      </c>
      <c r="H2" s="78" t="str">
        <f>DataT14d!I4</f>
        <v xml:space="preserve"> 1980 Net Foreign Assets  as % of NDP</v>
      </c>
      <c r="I2" s="78" t="str">
        <f>DataT14d!J4</f>
        <v>2000 Net Foreign Assets  as % of NDP</v>
      </c>
      <c r="J2" s="78" t="str">
        <f>DataT14d!K4</f>
        <v>2020 Net Foreign Assets  as % of NDP</v>
      </c>
      <c r="K2" s="78" t="str">
        <f>DataT14d!L4</f>
        <v>2025 Net Foreign Assets  as % of NDP</v>
      </c>
    </row>
    <row r="3" spans="1:11" ht="17" thickBot="1" x14ac:dyDescent="0.25">
      <c r="A3" s="46" t="str">
        <f>DataT14b!B5</f>
        <v>East Asia</v>
      </c>
      <c r="B3" s="47">
        <f>DataT14b!C5</f>
        <v>0</v>
      </c>
      <c r="C3" s="47">
        <f>DataT14b!D5</f>
        <v>68.122398376464844</v>
      </c>
      <c r="D3" s="47">
        <f>DataT14b!E5</f>
        <v>2349.9619140625</v>
      </c>
      <c r="E3" s="47">
        <f>DataT14b!F5</f>
        <v>16536.515625</v>
      </c>
      <c r="F3" s="47">
        <f>DataT14b!G5</f>
        <v>22825.521484375</v>
      </c>
      <c r="G3" s="49">
        <f>DataT14b!H5</f>
        <v>0</v>
      </c>
      <c r="H3" s="49">
        <f>DataT14b!I5</f>
        <v>2.7053631842136383E-2</v>
      </c>
      <c r="I3" s="49">
        <f>DataT14b!J5</f>
        <v>0.28001895546913147</v>
      </c>
      <c r="J3" s="49">
        <f>DataT14b!K5</f>
        <v>0.48517346382141113</v>
      </c>
      <c r="K3" s="49">
        <f>DataT14b!L5</f>
        <v>0.51130580902099609</v>
      </c>
    </row>
    <row r="4" spans="1:11" ht="17" thickBot="1" x14ac:dyDescent="0.25">
      <c r="A4" s="46" t="str">
        <f>DataT14b!B6</f>
        <v>Europe</v>
      </c>
      <c r="B4" s="47">
        <f>DataT14b!C6</f>
        <v>8.5437983274459839E-2</v>
      </c>
      <c r="C4" s="47">
        <f>DataT14b!D6</f>
        <v>309.79885864257812</v>
      </c>
      <c r="D4" s="47">
        <f>DataT14b!E6</f>
        <v>491.0887451171875</v>
      </c>
      <c r="E4" s="47">
        <f>DataT14b!F6</f>
        <v>3994.567138671875</v>
      </c>
      <c r="F4" s="47">
        <f>DataT14b!G6</f>
        <v>8960.978515625</v>
      </c>
      <c r="G4" s="49">
        <f>DataT14b!H6</f>
        <v>4.2962994426488876E-2</v>
      </c>
      <c r="H4" s="49">
        <f>DataT14b!I6</f>
        <v>9.6269607543945312E-2</v>
      </c>
      <c r="I4" s="49">
        <f>DataT14b!J6</f>
        <v>4.101177304983139E-2</v>
      </c>
      <c r="J4" s="49">
        <f>DataT14b!K6</f>
        <v>0.19239240884780884</v>
      </c>
      <c r="K4" s="49">
        <f>DataT14b!L6</f>
        <v>0.30404478311538696</v>
      </c>
    </row>
    <row r="5" spans="1:11" ht="17" thickBot="1" x14ac:dyDescent="0.25">
      <c r="A5" s="46" t="str">
        <f>DataT14b!B7</f>
        <v>Latin America</v>
      </c>
      <c r="B5" s="47">
        <f>DataT14b!C7</f>
        <v>-1.8202537670731544E-2</v>
      </c>
      <c r="C5" s="47">
        <f>DataT14b!D7</f>
        <v>-87.793769836425781</v>
      </c>
      <c r="D5" s="47">
        <f>DataT14b!E7</f>
        <v>-450.6055908203125</v>
      </c>
      <c r="E5" s="47">
        <f>DataT14b!F7</f>
        <v>-6455.3369140625</v>
      </c>
      <c r="F5" s="47">
        <f>DataT14b!G7</f>
        <v>-2223.774169921875</v>
      </c>
      <c r="G5" s="49">
        <f>DataT14b!H7</f>
        <v>-0.14221146702766418</v>
      </c>
      <c r="H5" s="49">
        <f>DataT14b!I7</f>
        <v>-0.85415977239608765</v>
      </c>
      <c r="I5" s="49">
        <f>DataT14b!J7</f>
        <v>-0.27411383390426636</v>
      </c>
      <c r="J5" s="49">
        <f>DataT14b!K7</f>
        <v>-0.89492112398147583</v>
      </c>
      <c r="K5" s="49">
        <f>DataT14b!L7</f>
        <v>-0.16753546893596649</v>
      </c>
    </row>
    <row r="6" spans="1:11" ht="17" thickBot="1" x14ac:dyDescent="0.25">
      <c r="A6" s="46" t="str">
        <f>DataT14b!B8</f>
        <v>MENA</v>
      </c>
      <c r="B6" s="47">
        <f>DataT14b!C8</f>
        <v>0</v>
      </c>
      <c r="C6" s="47">
        <f>DataT14b!D8</f>
        <v>355.46157836914062</v>
      </c>
      <c r="D6" s="47">
        <f>DataT14b!E8</f>
        <v>650.71875</v>
      </c>
      <c r="E6" s="47">
        <f>DataT14b!F8</f>
        <v>6190.1494140625</v>
      </c>
      <c r="F6" s="47">
        <f>DataT14b!G8</f>
        <v>7717.75537109375</v>
      </c>
      <c r="G6" s="49">
        <f>DataT14b!H8</f>
        <v>0</v>
      </c>
      <c r="H6" s="49">
        <f>DataT14b!I8</f>
        <v>0.76987451314926147</v>
      </c>
      <c r="I6" s="49">
        <f>DataT14b!J8</f>
        <v>0.52806180715560913</v>
      </c>
      <c r="J6" s="49">
        <f>DataT14b!K8</f>
        <v>1.1276407241821289</v>
      </c>
      <c r="K6" s="49">
        <f>DataT14b!L8</f>
        <v>0.55097514390945435</v>
      </c>
    </row>
    <row r="7" spans="1:11" ht="17" thickBot="1" x14ac:dyDescent="0.25">
      <c r="A7" s="46" t="str">
        <f>DataT14b!B9</f>
        <v>North America &amp; Oceania</v>
      </c>
      <c r="B7" s="47">
        <f>DataT14b!C9</f>
        <v>-7.9358741641044617E-2</v>
      </c>
      <c r="C7" s="47">
        <f>DataT14b!D9</f>
        <v>39.301567077636719</v>
      </c>
      <c r="D7" s="47">
        <f>DataT14b!E9</f>
        <v>-1666.650146484375</v>
      </c>
      <c r="E7" s="47">
        <f>DataT14b!F9</f>
        <v>-13532.4365234375</v>
      </c>
      <c r="F7" s="47">
        <f>DataT14b!G9</f>
        <v>-24794.818359375</v>
      </c>
      <c r="G7" s="49">
        <f>DataT14b!H9</f>
        <v>-0.19672767817974091</v>
      </c>
      <c r="H7" s="49">
        <f>DataT14b!I9</f>
        <v>1.4173467643558979E-2</v>
      </c>
      <c r="I7" s="49">
        <f>DataT14b!J9</f>
        <v>-0.16497674584388733</v>
      </c>
      <c r="J7" s="49">
        <f>DataT14b!K9</f>
        <v>-0.6484534740447998</v>
      </c>
      <c r="K7" s="49">
        <f>DataT14b!L9</f>
        <v>-0.82509022951126099</v>
      </c>
    </row>
    <row r="8" spans="1:11" ht="17" thickBot="1" x14ac:dyDescent="0.25">
      <c r="A8" s="46" t="str">
        <f>DataT14b!B10</f>
        <v>Russia &amp; Central Asia</v>
      </c>
      <c r="B8" s="47">
        <f>DataT14b!C10</f>
        <v>0</v>
      </c>
      <c r="C8" s="47">
        <f>DataT14b!D10</f>
        <v>-4.0398674900643528E-4</v>
      </c>
      <c r="D8" s="47">
        <f>DataT14b!E10</f>
        <v>35.721778869628906</v>
      </c>
      <c r="E8" s="47">
        <f>DataT14b!F10</f>
        <v>464.98330688476562</v>
      </c>
      <c r="F8" s="47">
        <f>DataT14b!G10</f>
        <v>1729.9473876953125</v>
      </c>
      <c r="G8" s="49">
        <f>DataT14b!H10</f>
        <v>0</v>
      </c>
      <c r="H8" s="49">
        <f>DataT14b!I10</f>
        <v>-3.5078432410955429E-2</v>
      </c>
      <c r="I8" s="49">
        <f>DataT14b!J10</f>
        <v>0.1270538717508316</v>
      </c>
      <c r="J8" s="49">
        <f>DataT14b!K10</f>
        <v>0.10433787852525711</v>
      </c>
      <c r="K8" s="49">
        <f>DataT14b!L10</f>
        <v>0.19404330849647522</v>
      </c>
    </row>
    <row r="9" spans="1:11" ht="17" thickBot="1" x14ac:dyDescent="0.25">
      <c r="A9" s="46" t="str">
        <f>DataT14b!B11</f>
        <v>South &amp; South-East Asia</v>
      </c>
      <c r="B9" s="47">
        <f>DataT14b!C11</f>
        <v>-1.3392755063250661E-3</v>
      </c>
      <c r="C9" s="47">
        <f>DataT14b!D11</f>
        <v>-7.5130190849304199</v>
      </c>
      <c r="D9" s="47">
        <f>DataT14b!E11</f>
        <v>-356.12252807617188</v>
      </c>
      <c r="E9" s="47">
        <f>DataT14b!F11</f>
        <v>-2020.53564453125</v>
      </c>
      <c r="F9" s="47">
        <f>DataT14b!G11</f>
        <v>-6611.8544921875</v>
      </c>
      <c r="G9" s="49">
        <f>DataT14b!H11</f>
        <v>-1.392968581058085E-3</v>
      </c>
      <c r="H9" s="49">
        <f>DataT14b!I11</f>
        <v>-2.9723385348916054E-2</v>
      </c>
      <c r="I9" s="49">
        <f>DataT14b!J11</f>
        <v>-0.14240381121635437</v>
      </c>
      <c r="J9" s="49">
        <f>DataT14b!K11</f>
        <v>-0.11036302149295807</v>
      </c>
      <c r="K9" s="49">
        <f>DataT14b!L11</f>
        <v>-0.21360267698764801</v>
      </c>
    </row>
    <row r="10" spans="1:11" ht="17" thickBot="1" x14ac:dyDescent="0.25">
      <c r="A10" s="46" t="str">
        <f>DataT14b!B12</f>
        <v>Sub-Saharan Africa</v>
      </c>
      <c r="B10" s="47">
        <f>DataT14b!C12</f>
        <v>0</v>
      </c>
      <c r="C10" s="47">
        <f>DataT14b!D12</f>
        <v>-23.100807189941406</v>
      </c>
      <c r="D10" s="47">
        <f>DataT14b!E12</f>
        <v>-224.18829345703125</v>
      </c>
      <c r="E10" s="47">
        <f>DataT14b!F12</f>
        <v>-1071.3223876953125</v>
      </c>
      <c r="F10" s="47">
        <f>DataT14b!G12</f>
        <v>-2368.2919921875</v>
      </c>
      <c r="G10" s="49">
        <f>DataT14b!H12</f>
        <v>0</v>
      </c>
      <c r="H10" s="49">
        <f>DataT14b!I12</f>
        <v>-0.27958002686500549</v>
      </c>
      <c r="I10" s="49">
        <f>DataT14b!J12</f>
        <v>-0.50251579284667969</v>
      </c>
      <c r="J10" s="49">
        <f>DataT14b!K12</f>
        <v>-0.29818060994148254</v>
      </c>
      <c r="K10" s="49">
        <f>DataT14b!L12</f>
        <v>-0.33581647276878357</v>
      </c>
    </row>
    <row r="11" spans="1:11" ht="18" thickBot="1" x14ac:dyDescent="0.25">
      <c r="A11" s="18" t="str">
        <f>DataT14b!B13</f>
        <v>World</v>
      </c>
      <c r="B11" s="18">
        <f>DataT14b!C13</f>
        <v>-1.3462573289871216E-2</v>
      </c>
      <c r="C11" s="18">
        <f>DataT14b!D13</f>
        <v>654.2763671875</v>
      </c>
      <c r="D11" s="18">
        <f>DataT14b!E13</f>
        <v>829.9246826171875</v>
      </c>
      <c r="E11" s="18">
        <f>DataT14b!F13</f>
        <v>4106.58447265625</v>
      </c>
      <c r="F11" s="18">
        <f>DataT14b!G13</f>
        <v>5235.4638671875</v>
      </c>
      <c r="G11" s="84">
        <f>DataT14b!H13</f>
        <v>-1.624547760002315E-3</v>
      </c>
      <c r="H11" s="84">
        <f>DataT14b!I13</f>
        <v>6.9538168609142303E-2</v>
      </c>
      <c r="I11" s="84">
        <f>DataT14b!J13</f>
        <v>2.2692250087857246E-2</v>
      </c>
      <c r="J11" s="84">
        <f>DataT14b!K13</f>
        <v>3.5779327154159546E-2</v>
      </c>
      <c r="K11" s="84">
        <f>DataT14b!L13</f>
        <v>2.9352081939578056E-2</v>
      </c>
    </row>
    <row r="12" spans="1:11" x14ac:dyDescent="0.2">
      <c r="A12" s="207" t="s">
        <v>677</v>
      </c>
      <c r="B12" s="208"/>
      <c r="C12" s="208"/>
      <c r="D12" s="208"/>
      <c r="E12" s="208"/>
      <c r="F12" s="208"/>
      <c r="G12" s="208"/>
      <c r="H12" s="208"/>
      <c r="I12" s="208"/>
      <c r="J12" s="208"/>
      <c r="K12" s="209"/>
    </row>
    <row r="13" spans="1:11" ht="16" thickBot="1" x14ac:dyDescent="0.25">
      <c r="A13" s="210"/>
      <c r="B13" s="211"/>
      <c r="C13" s="211"/>
      <c r="D13" s="211"/>
      <c r="E13" s="211"/>
      <c r="F13" s="211"/>
      <c r="G13" s="211"/>
      <c r="H13" s="211"/>
      <c r="I13" s="211"/>
      <c r="J13" s="211"/>
      <c r="K13" s="212"/>
    </row>
  </sheetData>
  <mergeCells count="2">
    <mergeCell ref="A1:K1"/>
    <mergeCell ref="A12:K1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579B0-4DFB-6D49-9DF5-CE7CB8A43420}">
  <sheetPr>
    <tabColor rgb="FF00B050"/>
  </sheetPr>
  <dimension ref="A1:Y21"/>
  <sheetViews>
    <sheetView zoomScaleNormal="100" workbookViewId="0">
      <selection activeCell="A3" sqref="A3:K11"/>
    </sheetView>
  </sheetViews>
  <sheetFormatPr baseColWidth="10" defaultRowHeight="15" x14ac:dyDescent="0.2"/>
  <cols>
    <col min="1" max="1" width="27.5" style="52" customWidth="1"/>
    <col min="2" max="2" width="17.5" style="52" customWidth="1"/>
    <col min="3" max="3" width="18.5" style="52" customWidth="1"/>
    <col min="4" max="4" width="17.83203125" style="52" customWidth="1"/>
    <col min="5" max="11" width="16.6640625" style="52" customWidth="1"/>
  </cols>
  <sheetData>
    <row r="1" spans="1:14" ht="17" thickBot="1" x14ac:dyDescent="0.25">
      <c r="A1" s="213" t="str">
        <f>DataT14c!B3</f>
        <v xml:space="preserve">Table 14c. Net foreign Assets MER €  by World Regions (1980-2025) </v>
      </c>
      <c r="B1" s="214"/>
      <c r="C1" s="214"/>
      <c r="D1" s="214"/>
      <c r="E1" s="214"/>
      <c r="F1" s="214"/>
      <c r="G1" s="214"/>
      <c r="H1" s="214"/>
      <c r="I1" s="214"/>
      <c r="J1" s="214"/>
      <c r="K1" s="215"/>
    </row>
    <row r="2" spans="1:14" ht="52" thickBot="1" x14ac:dyDescent="0.25">
      <c r="A2" s="46" t="str">
        <f>DataT14c!B4</f>
        <v>Region</v>
      </c>
      <c r="B2" s="78" t="str">
        <f>DataT14c!C4</f>
        <v xml:space="preserve"> 1800 Net Foreign Assets</v>
      </c>
      <c r="C2" s="78" t="str">
        <f>DataT14c!D4</f>
        <v xml:space="preserve"> 1980 Net Foreign Assets</v>
      </c>
      <c r="D2" s="78" t="str">
        <f>DataT14c!E4</f>
        <v>2000 Net Foreign Assets</v>
      </c>
      <c r="E2" s="78" t="str">
        <f>DataT14c!F4</f>
        <v>2020 Net Foreign Assets</v>
      </c>
      <c r="F2" s="78" t="str">
        <f>DataT14c!G4</f>
        <v>2025 Net Foreign Assets</v>
      </c>
      <c r="G2" s="78" t="str">
        <f>DataT14c!H4</f>
        <v xml:space="preserve"> 1800 Net Foreign Assets as % of NDP</v>
      </c>
      <c r="H2" s="78" t="str">
        <f>DataT14c!I4</f>
        <v xml:space="preserve"> 1980 Net Foreign Assets  as % of NDP</v>
      </c>
      <c r="I2" s="78" t="str">
        <f>DataT14c!J4</f>
        <v>2000 Net Foreign Assets  as % of NDP</v>
      </c>
      <c r="J2" s="78" t="str">
        <f>DataT14c!K4</f>
        <v>2020 Net Foreign Assets  as % of NDP</v>
      </c>
      <c r="K2" s="78" t="str">
        <f>DataT14c!L4</f>
        <v>2025 Net Foreign Assets  as % of NDP</v>
      </c>
    </row>
    <row r="3" spans="1:14" ht="17" thickBot="1" x14ac:dyDescent="0.25">
      <c r="A3" s="46" t="str">
        <f>DataT14c!B5</f>
        <v>East Asia</v>
      </c>
      <c r="B3" s="47">
        <f>DataT14c!C5</f>
        <v>0</v>
      </c>
      <c r="C3" s="47">
        <f>DataT14c!D5</f>
        <v>21.657541275024414</v>
      </c>
      <c r="D3" s="47">
        <f>DataT14c!E5</f>
        <v>1876.62060546875</v>
      </c>
      <c r="E3" s="47">
        <f>DataT14c!F5</f>
        <v>9184.9521484375</v>
      </c>
      <c r="F3" s="47">
        <f>DataT14c!G5</f>
        <v>10736.900390625</v>
      </c>
      <c r="G3" s="49">
        <f>DataT14c!H5</f>
        <v>0</v>
      </c>
      <c r="H3" s="49">
        <f>DataT14c!I5</f>
        <v>2.323632501065731E-2</v>
      </c>
      <c r="I3" s="49">
        <f>DataT14c!J5</f>
        <v>0.301931232213974</v>
      </c>
      <c r="J3" s="49">
        <f>DataT14c!K5</f>
        <v>0.56559646129608154</v>
      </c>
      <c r="K3" s="49">
        <f>DataT14c!L5</f>
        <v>0.57225131988525391</v>
      </c>
      <c r="M3" s="83"/>
      <c r="N3" s="83"/>
    </row>
    <row r="4" spans="1:14" ht="17" thickBot="1" x14ac:dyDescent="0.25">
      <c r="A4" s="46" t="str">
        <f>DataT14c!B6</f>
        <v>Europe</v>
      </c>
      <c r="B4" s="47">
        <f>DataT14c!C6</f>
        <v>7.1272468194365501E-3</v>
      </c>
      <c r="C4" s="47">
        <f>DataT14c!D6</f>
        <v>122.91660308837891</v>
      </c>
      <c r="D4" s="47">
        <f>DataT14c!E6</f>
        <v>492.264404296875</v>
      </c>
      <c r="E4" s="47">
        <f>DataT14c!F6</f>
        <v>4218.404296875</v>
      </c>
      <c r="F4" s="47">
        <f>DataT14c!G6</f>
        <v>7665.462890625</v>
      </c>
      <c r="G4" s="49">
        <f>DataT14c!H6</f>
        <v>1.8664512783288956E-2</v>
      </c>
      <c r="H4" s="49">
        <f>DataT14c!I6</f>
        <v>4.9124006181955338E-2</v>
      </c>
      <c r="I4" s="49">
        <f>DataT14c!J6</f>
        <v>5.6538444012403488E-2</v>
      </c>
      <c r="J4" s="49">
        <f>DataT14c!K6</f>
        <v>0.30209675431251526</v>
      </c>
      <c r="K4" s="49">
        <f>DataT14c!L6</f>
        <v>0.38964489102363586</v>
      </c>
      <c r="M4" s="83"/>
      <c r="N4" s="83"/>
    </row>
    <row r="5" spans="1:14" ht="18" customHeight="1" thickBot="1" x14ac:dyDescent="0.25">
      <c r="A5" s="46" t="str">
        <f>DataT14c!B7</f>
        <v>Latin America</v>
      </c>
      <c r="B5" s="47">
        <f>DataT14c!C7</f>
        <v>-6.4793153433129191E-4</v>
      </c>
      <c r="C5" s="47">
        <f>DataT14c!D7</f>
        <v>-159.75686645507812</v>
      </c>
      <c r="D5" s="47">
        <f>DataT14c!E7</f>
        <v>-612.65118408203125</v>
      </c>
      <c r="E5" s="47">
        <f>DataT14c!F7</f>
        <v>-4013.317626953125</v>
      </c>
      <c r="F5" s="47">
        <f>DataT14c!G7</f>
        <v>-545.88128662109375</v>
      </c>
      <c r="G5" s="49">
        <f>DataT14c!H7</f>
        <v>-3.6382481455802917E-2</v>
      </c>
      <c r="H5" s="49">
        <f>DataT14c!I7</f>
        <v>-0.26715859770774841</v>
      </c>
      <c r="I5" s="49">
        <f>DataT14c!J7</f>
        <v>-0.26966041326522827</v>
      </c>
      <c r="J5" s="49">
        <f>DataT14c!K7</f>
        <v>-1.127957820892334</v>
      </c>
      <c r="K5" s="49">
        <f>DataT14c!L7</f>
        <v>-9.6546933054924011E-2</v>
      </c>
      <c r="M5" s="83"/>
      <c r="N5" s="83"/>
    </row>
    <row r="6" spans="1:14" ht="18" customHeight="1" thickBot="1" x14ac:dyDescent="0.25">
      <c r="A6" s="46" t="str">
        <f>DataT14c!B8</f>
        <v>MENA</v>
      </c>
      <c r="B6" s="47">
        <f>DataT14c!C8</f>
        <v>0</v>
      </c>
      <c r="C6" s="47">
        <f>DataT14c!D8</f>
        <v>108.43707275390625</v>
      </c>
      <c r="D6" s="47">
        <f>DataT14c!E8</f>
        <v>341.88192749023438</v>
      </c>
      <c r="E6" s="47">
        <f>DataT14c!F8</f>
        <v>2899.60107421875</v>
      </c>
      <c r="F6" s="47">
        <f>DataT14c!G8</f>
        <v>4178.81591796875</v>
      </c>
      <c r="G6" s="49">
        <f>DataT14c!H8</f>
        <v>0</v>
      </c>
      <c r="H6" s="49">
        <f>DataT14c!I8</f>
        <v>0.26117891073226929</v>
      </c>
      <c r="I6" s="49">
        <f>DataT14c!J8</f>
        <v>0.28561186790466309</v>
      </c>
      <c r="J6" s="49">
        <f>DataT14c!K8</f>
        <v>0.94489455223083496</v>
      </c>
      <c r="K6" s="49">
        <f>DataT14c!L8</f>
        <v>0.84199613332748413</v>
      </c>
      <c r="M6" s="83"/>
      <c r="N6" s="83"/>
    </row>
    <row r="7" spans="1:14" ht="17" thickBot="1" x14ac:dyDescent="0.25">
      <c r="A7" s="46" t="str">
        <f>DataT14c!B9</f>
        <v>North America &amp; Oceania</v>
      </c>
      <c r="B7" s="47">
        <f>DataT14c!C9</f>
        <v>-5.1834522746503353E-3</v>
      </c>
      <c r="C7" s="47">
        <f>DataT14c!D9</f>
        <v>14.545066833496094</v>
      </c>
      <c r="D7" s="47">
        <f>DataT14c!E9</f>
        <v>-1746.008056640625</v>
      </c>
      <c r="E7" s="47">
        <f>DataT14c!F9</f>
        <v>-11948.7119140625</v>
      </c>
      <c r="F7" s="47">
        <f>DataT14c!G9</f>
        <v>-21222.74609375</v>
      </c>
      <c r="G7" s="49">
        <f>DataT14c!H9</f>
        <v>-0.19321911036968231</v>
      </c>
      <c r="H7" s="49">
        <f>DataT14c!I9</f>
        <v>7.3251049034297466E-3</v>
      </c>
      <c r="I7" s="49">
        <f>DataT14c!J9</f>
        <v>-0.16442598402500153</v>
      </c>
      <c r="J7" s="49">
        <f>DataT14c!K9</f>
        <v>-0.66358155012130737</v>
      </c>
      <c r="K7" s="49">
        <f>DataT14c!L9</f>
        <v>-0.84829878807067871</v>
      </c>
      <c r="M7" s="83"/>
      <c r="N7" s="83"/>
    </row>
    <row r="8" spans="1:14" ht="17" thickBot="1" x14ac:dyDescent="0.25">
      <c r="A8" s="46" t="str">
        <f>DataT14c!B10</f>
        <v>Russia &amp; Central Asia</v>
      </c>
      <c r="B8" s="47">
        <f>DataT14c!C10</f>
        <v>0</v>
      </c>
      <c r="C8" s="47">
        <f>DataT14c!D10</f>
        <v>-17.680599212646484</v>
      </c>
      <c r="D8" s="47">
        <f>DataT14c!E10</f>
        <v>39.958114624023438</v>
      </c>
      <c r="E8" s="47">
        <f>DataT14c!F10</f>
        <v>186.3193359375</v>
      </c>
      <c r="F8" s="47">
        <f>DataT14c!G10</f>
        <v>579.83050537109375</v>
      </c>
      <c r="G8" s="49">
        <f>DataT14c!H10</f>
        <v>0</v>
      </c>
      <c r="H8" s="49">
        <f>DataT14c!I10</f>
        <v>-3.4180421382188797E-2</v>
      </c>
      <c r="I8" s="49">
        <f>DataT14c!J10</f>
        <v>0.11515345424413681</v>
      </c>
      <c r="J8" s="49">
        <f>DataT14c!K10</f>
        <v>0.11771126091480255</v>
      </c>
      <c r="K8" s="49">
        <f>DataT14c!L10</f>
        <v>0.21328820288181305</v>
      </c>
      <c r="M8" s="83"/>
      <c r="N8" s="83"/>
    </row>
    <row r="9" spans="1:14" ht="17" thickBot="1" x14ac:dyDescent="0.25">
      <c r="A9" s="46" t="str">
        <f>DataT14c!B11</f>
        <v>South &amp; South-East Asia</v>
      </c>
      <c r="B9" s="47">
        <f>DataT14c!C11</f>
        <v>-1.2958630686625838E-3</v>
      </c>
      <c r="C9" s="47">
        <f>DataT14c!D11</f>
        <v>-38.597370147705078</v>
      </c>
      <c r="D9" s="47">
        <f>DataT14c!E11</f>
        <v>-197.36663818359375</v>
      </c>
      <c r="E9" s="47">
        <f>DataT14c!F11</f>
        <v>-59.732872009277344</v>
      </c>
      <c r="F9" s="47">
        <f>DataT14c!G11</f>
        <v>-800.764404296875</v>
      </c>
      <c r="G9" s="49">
        <f>DataT14c!H11</f>
        <v>-6.3463835977017879E-3</v>
      </c>
      <c r="H9" s="49">
        <f>DataT14c!I11</f>
        <v>-0.13292914628982544</v>
      </c>
      <c r="I9" s="49">
        <f>DataT14c!J11</f>
        <v>-0.16084913909435272</v>
      </c>
      <c r="J9" s="49">
        <f>DataT14c!K11</f>
        <v>-1.1811082251369953E-2</v>
      </c>
      <c r="K9" s="49">
        <f>DataT14c!L11</f>
        <v>-0.11287445574998856</v>
      </c>
      <c r="M9" s="83"/>
      <c r="N9" s="83"/>
    </row>
    <row r="10" spans="1:14" ht="17" thickBot="1" x14ac:dyDescent="0.25">
      <c r="A10" s="46" t="str">
        <f>DataT14c!B12</f>
        <v>Sub-Saharan Africa</v>
      </c>
      <c r="B10" s="47">
        <f>DataT14c!C12</f>
        <v>0</v>
      </c>
      <c r="C10" s="47">
        <f>DataT14c!D12</f>
        <v>-51.521492004394531</v>
      </c>
      <c r="D10" s="47">
        <f>DataT14c!E12</f>
        <v>-194.69819641113281</v>
      </c>
      <c r="E10" s="47">
        <f>DataT14c!F12</f>
        <v>-467.52239990234375</v>
      </c>
      <c r="F10" s="47">
        <f>DataT14c!G12</f>
        <v>-591.61907958984375</v>
      </c>
      <c r="G10" s="49">
        <f>DataT14c!H12</f>
        <v>0</v>
      </c>
      <c r="H10" s="49">
        <f>DataT14c!I12</f>
        <v>-0.1662079393863678</v>
      </c>
      <c r="I10" s="49">
        <f>DataT14c!J12</f>
        <v>-0.47475838661193848</v>
      </c>
      <c r="J10" s="49">
        <f>DataT14c!K12</f>
        <v>-0.31396445631980896</v>
      </c>
      <c r="K10" s="49">
        <f>DataT14c!L12</f>
        <v>-0.27817076444625854</v>
      </c>
      <c r="M10" s="83"/>
      <c r="N10" s="83"/>
    </row>
    <row r="11" spans="1:14" s="72" customFormat="1" ht="18" thickBot="1" x14ac:dyDescent="0.25">
      <c r="A11" s="18" t="str">
        <f>DataT14c!B13</f>
        <v>World</v>
      </c>
      <c r="B11" s="18">
        <f>DataT14c!C13</f>
        <v>-9.3750000818015877E-11</v>
      </c>
      <c r="C11" s="18">
        <f>DataT14c!D13</f>
        <v>-4.0808718040352687E-5</v>
      </c>
      <c r="D11" s="18">
        <f>DataT14c!E13</f>
        <v>9.6983101684600115E-4</v>
      </c>
      <c r="E11" s="18">
        <f>DataT14c!F13</f>
        <v>-7.5912605971097946E-3</v>
      </c>
      <c r="F11" s="18">
        <f>DataT14c!G13</f>
        <v>-6.995120202191174E-4</v>
      </c>
      <c r="G11" s="84">
        <f>DataT14c!H13</f>
        <v>-9.2435718801464617E-11</v>
      </c>
      <c r="H11" s="84">
        <f>DataT14c!I13</f>
        <v>-5.4046593866985404E-9</v>
      </c>
      <c r="I11" s="84">
        <f>DataT14c!J13</f>
        <v>3.1290927182681116E-8</v>
      </c>
      <c r="J11" s="84">
        <f>DataT14c!K13</f>
        <v>-1.2056203502197604E-7</v>
      </c>
      <c r="K11" s="84">
        <f>DataT14c!L13</f>
        <v>-8.1328961343274386E-9</v>
      </c>
      <c r="M11" s="83"/>
      <c r="N11" s="83"/>
    </row>
    <row r="12" spans="1:14" ht="20" customHeight="1" x14ac:dyDescent="0.2">
      <c r="A12" s="207" t="s">
        <v>653</v>
      </c>
      <c r="B12" s="208"/>
      <c r="C12" s="208"/>
      <c r="D12" s="208"/>
      <c r="E12" s="208"/>
      <c r="F12" s="208"/>
      <c r="G12" s="208"/>
      <c r="H12" s="208"/>
      <c r="I12" s="208"/>
      <c r="J12" s="208"/>
      <c r="K12" s="209"/>
    </row>
    <row r="13" spans="1:14" ht="25" customHeight="1" thickBot="1" x14ac:dyDescent="0.25">
      <c r="A13" s="210"/>
      <c r="B13" s="211"/>
      <c r="C13" s="211"/>
      <c r="D13" s="211"/>
      <c r="E13" s="211"/>
      <c r="F13" s="211"/>
      <c r="G13" s="211"/>
      <c r="H13" s="211"/>
      <c r="I13" s="211"/>
      <c r="J13" s="211"/>
      <c r="K13" s="212"/>
    </row>
    <row r="20" spans="17:25" x14ac:dyDescent="0.2">
      <c r="Q20" s="52"/>
      <c r="R20" s="52"/>
      <c r="S20" s="52"/>
      <c r="T20" s="52"/>
      <c r="U20" s="52"/>
      <c r="V20" s="52"/>
      <c r="W20" s="52"/>
      <c r="X20" s="52"/>
      <c r="Y20" s="52"/>
    </row>
    <row r="21" spans="17:25" x14ac:dyDescent="0.2">
      <c r="Q21" s="52"/>
      <c r="R21" s="52"/>
      <c r="S21" s="52"/>
      <c r="T21" s="52"/>
      <c r="U21" s="52"/>
      <c r="V21" s="52"/>
      <c r="W21" s="52"/>
      <c r="X21" s="52"/>
      <c r="Y21" s="52"/>
    </row>
  </sheetData>
  <mergeCells count="2">
    <mergeCell ref="A1:K1"/>
    <mergeCell ref="A12:K1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6950-C393-C846-A9DF-FE16679E8743}">
  <sheetPr>
    <tabColor rgb="FF00B050"/>
  </sheetPr>
  <dimension ref="A1:M14"/>
  <sheetViews>
    <sheetView workbookViewId="0">
      <selection activeCell="B2" sqref="B2"/>
    </sheetView>
  </sheetViews>
  <sheetFormatPr baseColWidth="10" defaultRowHeight="15" x14ac:dyDescent="0.2"/>
  <cols>
    <col min="1" max="1" width="27.5" style="52" customWidth="1"/>
    <col min="2" max="2" width="17.5" style="52" customWidth="1"/>
    <col min="3" max="3" width="18.5" style="52" customWidth="1"/>
    <col min="4" max="4" width="17.83203125" style="52" customWidth="1"/>
    <col min="5" max="11" width="16.6640625" style="52" customWidth="1"/>
  </cols>
  <sheetData>
    <row r="1" spans="1:13" ht="16" thickBot="1" x14ac:dyDescent="0.25">
      <c r="A1" s="213" t="str">
        <f>DataT14d!B3</f>
        <v xml:space="preserve">Table 14d. Net foreign Assets MER$  by World Regions (1980-2025) </v>
      </c>
      <c r="B1" s="214">
        <f>DataT14d!C3</f>
        <v>0</v>
      </c>
      <c r="C1" s="214">
        <f>DataT14d!D3</f>
        <v>0</v>
      </c>
      <c r="D1" s="214">
        <f>DataT14d!E3</f>
        <v>0</v>
      </c>
      <c r="E1" s="214">
        <f>DataT14d!F3</f>
        <v>0</v>
      </c>
      <c r="F1" s="214">
        <f>DataT14d!G3</f>
        <v>0</v>
      </c>
      <c r="G1" s="214">
        <f>DataT14d!H3</f>
        <v>0</v>
      </c>
      <c r="H1" s="214">
        <f>DataT14d!I3</f>
        <v>0</v>
      </c>
      <c r="I1" s="214">
        <f>DataT14d!J3</f>
        <v>0</v>
      </c>
      <c r="J1" s="214">
        <f>DataT14d!K3</f>
        <v>0</v>
      </c>
      <c r="K1" s="215">
        <f>DataT14d!L3</f>
        <v>0</v>
      </c>
      <c r="L1" s="52"/>
      <c r="M1" s="52"/>
    </row>
    <row r="2" spans="1:13" ht="52" thickBot="1" x14ac:dyDescent="0.25">
      <c r="A2" s="46" t="str">
        <f>DataT14d!B4</f>
        <v>Region</v>
      </c>
      <c r="B2" s="78" t="str">
        <f>DataT14d!C4</f>
        <v xml:space="preserve"> 1800 Net Foreign Assets</v>
      </c>
      <c r="C2" s="78" t="str">
        <f>DataT14d!D4</f>
        <v xml:space="preserve"> 1980 Net Foreign Assets</v>
      </c>
      <c r="D2" s="78" t="str">
        <f>DataT14d!E4</f>
        <v>2000 Net Foreign Assets</v>
      </c>
      <c r="E2" s="78" t="str">
        <f>DataT14d!F4</f>
        <v>2020 Net Foreign Assets</v>
      </c>
      <c r="F2" s="78" t="str">
        <f>DataT14d!G4</f>
        <v>2025 Net Foreign Assets</v>
      </c>
      <c r="G2" s="78" t="str">
        <f>DataT14d!H4</f>
        <v xml:space="preserve"> 1800 Net Foreign Assets as % of NDP</v>
      </c>
      <c r="H2" s="78" t="str">
        <f>DataT14d!I4</f>
        <v xml:space="preserve"> 1980 Net Foreign Assets  as % of NDP</v>
      </c>
      <c r="I2" s="78" t="str">
        <f>DataT14d!J4</f>
        <v>2000 Net Foreign Assets  as % of NDP</v>
      </c>
      <c r="J2" s="78" t="str">
        <f>DataT14d!K4</f>
        <v>2020 Net Foreign Assets  as % of NDP</v>
      </c>
      <c r="K2" s="78" t="str">
        <f>DataT14d!L4</f>
        <v>2025 Net Foreign Assets  as % of NDP</v>
      </c>
      <c r="L2" s="52"/>
      <c r="M2" s="52"/>
    </row>
    <row r="3" spans="1:13" ht="17" thickBot="1" x14ac:dyDescent="0.25">
      <c r="A3" s="46" t="str">
        <f>DataT14d!B5</f>
        <v>East Asia</v>
      </c>
      <c r="B3" s="47">
        <f>DataT14d!C5</f>
        <v>0</v>
      </c>
      <c r="C3" s="47">
        <f>DataT14d!D5</f>
        <v>30.863927841186523</v>
      </c>
      <c r="D3" s="47">
        <f>DataT14d!E5</f>
        <v>1733.270263671875</v>
      </c>
      <c r="E3" s="47">
        <f>DataT14d!F5</f>
        <v>10491.0166015625</v>
      </c>
      <c r="F3" s="47">
        <f>DataT14d!G5</f>
        <v>12654.90234375</v>
      </c>
      <c r="G3" s="49">
        <f>DataT14d!H5</f>
        <v>0</v>
      </c>
      <c r="H3" s="49">
        <f>DataT14d!I5</f>
        <v>2.323632501065731E-2</v>
      </c>
      <c r="I3" s="49">
        <f>DataT14d!J5</f>
        <v>0.301931232213974</v>
      </c>
      <c r="J3" s="49">
        <f>DataT14d!K5</f>
        <v>0.56559646129608154</v>
      </c>
      <c r="K3" s="49">
        <f>DataT14d!L5</f>
        <v>0.57225131988525391</v>
      </c>
      <c r="L3" s="52"/>
      <c r="M3" s="52"/>
    </row>
    <row r="4" spans="1:13" ht="17" thickBot="1" x14ac:dyDescent="0.25">
      <c r="A4" s="46" t="str">
        <f>DataT14d!B6</f>
        <v>Europe</v>
      </c>
      <c r="B4" s="47">
        <f>DataT14d!C6</f>
        <v>0.10999999940395355</v>
      </c>
      <c r="C4" s="47">
        <f>DataT14d!D6</f>
        <v>175.16712951660156</v>
      </c>
      <c r="D4" s="47">
        <f>DataT14d!E6</f>
        <v>454.66156005859375</v>
      </c>
      <c r="E4" s="47">
        <f>DataT14d!F6</f>
        <v>4818.25146484375</v>
      </c>
      <c r="F4" s="47">
        <f>DataT14d!G6</f>
        <v>9034.7939453125</v>
      </c>
      <c r="G4" s="49">
        <f>DataT14d!H6</f>
        <v>1.8664512783288956E-2</v>
      </c>
      <c r="H4" s="49">
        <f>DataT14d!I6</f>
        <v>4.9124006181955338E-2</v>
      </c>
      <c r="I4" s="49">
        <f>DataT14d!J6</f>
        <v>5.6538444012403488E-2</v>
      </c>
      <c r="J4" s="49">
        <f>DataT14d!K6</f>
        <v>0.3020973801612854</v>
      </c>
      <c r="K4" s="49">
        <f>DataT14d!L6</f>
        <v>0.38964486122131348</v>
      </c>
      <c r="L4" s="52"/>
      <c r="M4" s="52"/>
    </row>
    <row r="5" spans="1:13" ht="17" thickBot="1" x14ac:dyDescent="0.25">
      <c r="A5" s="46" t="str">
        <f>DataT14d!B7</f>
        <v>Latin America</v>
      </c>
      <c r="B5" s="47">
        <f>DataT14d!C7</f>
        <v>-9.9999997764825821E-3</v>
      </c>
      <c r="C5" s="47">
        <f>DataT14d!D7</f>
        <v>-227.66777038574219</v>
      </c>
      <c r="D5" s="47">
        <f>DataT14d!E7</f>
        <v>-565.852294921875</v>
      </c>
      <c r="E5" s="47">
        <f>DataT14d!F7</f>
        <v>-4583.99560546875</v>
      </c>
      <c r="F5" s="47">
        <f>DataT14d!G7</f>
        <v>-643.39556884765625</v>
      </c>
      <c r="G5" s="49">
        <f>DataT14d!H7</f>
        <v>-3.6382481455802917E-2</v>
      </c>
      <c r="H5" s="49">
        <f>DataT14d!I7</f>
        <v>-0.26715859770774841</v>
      </c>
      <c r="I5" s="49">
        <f>DataT14d!J7</f>
        <v>-0.26966041326522827</v>
      </c>
      <c r="J5" s="49">
        <f>DataT14d!K7</f>
        <v>-1.127957820892334</v>
      </c>
      <c r="K5" s="49">
        <f>DataT14d!L7</f>
        <v>-9.6546933054924011E-2</v>
      </c>
      <c r="L5" s="52"/>
      <c r="M5" s="52"/>
    </row>
    <row r="6" spans="1:13" ht="17" thickBot="1" x14ac:dyDescent="0.25">
      <c r="A6" s="46" t="str">
        <f>DataT14d!B8</f>
        <v>MENA</v>
      </c>
      <c r="B6" s="47">
        <f>DataT14d!C8</f>
        <v>0</v>
      </c>
      <c r="C6" s="47">
        <f>DataT14d!D8</f>
        <v>154.53250122070312</v>
      </c>
      <c r="D6" s="47">
        <f>DataT14d!E8</f>
        <v>315.76641845703125</v>
      </c>
      <c r="E6" s="47">
        <f>DataT14d!F8</f>
        <v>3311.9130859375</v>
      </c>
      <c r="F6" s="47">
        <f>DataT14d!G8</f>
        <v>4925.30517578125</v>
      </c>
      <c r="G6" s="49">
        <f>DataT14d!H8</f>
        <v>0</v>
      </c>
      <c r="H6" s="49">
        <f>DataT14d!I8</f>
        <v>0.26117891073226929</v>
      </c>
      <c r="I6" s="49">
        <f>DataT14d!J8</f>
        <v>0.2856118381023407</v>
      </c>
      <c r="J6" s="49">
        <f>DataT14d!K8</f>
        <v>0.94489455223083496</v>
      </c>
      <c r="K6" s="49">
        <f>DataT14d!L8</f>
        <v>0.84199613332748413</v>
      </c>
      <c r="L6" s="52"/>
      <c r="M6" s="52"/>
    </row>
    <row r="7" spans="1:13" ht="17" thickBot="1" x14ac:dyDescent="0.25">
      <c r="A7" s="46" t="str">
        <f>DataT14d!B9</f>
        <v>North America &amp; Oceania</v>
      </c>
      <c r="B7" s="47">
        <f>DataT14d!C9</f>
        <v>-7.9999998211860657E-2</v>
      </c>
      <c r="C7" s="47">
        <f>DataT14d!D9</f>
        <v>20.728019714355469</v>
      </c>
      <c r="D7" s="47">
        <f>DataT14d!E9</f>
        <v>-1612.6348876953125</v>
      </c>
      <c r="E7" s="47">
        <f>DataT14d!F9</f>
        <v>-13647.771484375</v>
      </c>
      <c r="F7" s="47">
        <f>DataT14d!G9</f>
        <v>-25013.90234375</v>
      </c>
      <c r="G7" s="49">
        <f>DataT14d!H9</f>
        <v>-0.19321912527084351</v>
      </c>
      <c r="H7" s="49">
        <f>DataT14d!I9</f>
        <v>7.3251063004136086E-3</v>
      </c>
      <c r="I7" s="49">
        <f>DataT14d!J9</f>
        <v>-0.16442596912384033</v>
      </c>
      <c r="J7" s="49">
        <f>DataT14d!K9</f>
        <v>-0.66358155012130737</v>
      </c>
      <c r="K7" s="49">
        <f>DataT14d!L9</f>
        <v>-0.84829890727996826</v>
      </c>
      <c r="L7" s="52"/>
      <c r="M7" s="52"/>
    </row>
    <row r="8" spans="1:13" ht="17" thickBot="1" x14ac:dyDescent="0.25">
      <c r="A8" s="46" t="str">
        <f>DataT14d!B10</f>
        <v>Russia &amp; Central Asia</v>
      </c>
      <c r="B8" s="47">
        <f>DataT14d!C10</f>
        <v>0</v>
      </c>
      <c r="C8" s="47">
        <f>DataT14d!D10</f>
        <v>-25.196432113647461</v>
      </c>
      <c r="D8" s="47">
        <f>DataT14d!E10</f>
        <v>36.905811309814453</v>
      </c>
      <c r="E8" s="47">
        <f>DataT14d!F10</f>
        <v>212.81320190429688</v>
      </c>
      <c r="F8" s="47">
        <f>DataT14d!G10</f>
        <v>683.409423828125</v>
      </c>
      <c r="G8" s="49">
        <f>DataT14d!H10</f>
        <v>0</v>
      </c>
      <c r="H8" s="49">
        <f>DataT14d!I10</f>
        <v>-3.4180421382188797E-2</v>
      </c>
      <c r="I8" s="49">
        <f>DataT14d!J10</f>
        <v>0.11515345424413681</v>
      </c>
      <c r="J8" s="49">
        <f>DataT14d!K10</f>
        <v>0.11771124601364136</v>
      </c>
      <c r="K8" s="49">
        <f>DataT14d!L10</f>
        <v>0.21328821778297424</v>
      </c>
      <c r="L8" s="52"/>
      <c r="M8" s="52"/>
    </row>
    <row r="9" spans="1:13" ht="17" thickBot="1" x14ac:dyDescent="0.25">
      <c r="A9" s="46" t="str">
        <f>DataT14d!B11</f>
        <v>South &amp; South-East Asia</v>
      </c>
      <c r="B9" s="47">
        <f>DataT14d!C11</f>
        <v>-1.9999999552965164E-2</v>
      </c>
      <c r="C9" s="47">
        <f>DataT14d!D11</f>
        <v>-55.004695892333984</v>
      </c>
      <c r="D9" s="47">
        <f>DataT14d!E11</f>
        <v>-182.29031372070312</v>
      </c>
      <c r="E9" s="47">
        <f>DataT14d!F11</f>
        <v>-68.226699829101562</v>
      </c>
      <c r="F9" s="47">
        <f>DataT14d!G11</f>
        <v>-943.81011962890625</v>
      </c>
      <c r="G9" s="49">
        <f>DataT14d!H11</f>
        <v>-6.3463835977017879E-3</v>
      </c>
      <c r="H9" s="49">
        <f>DataT14d!I11</f>
        <v>-0.13292914628982544</v>
      </c>
      <c r="I9" s="49">
        <f>DataT14d!J11</f>
        <v>-0.16084913909435272</v>
      </c>
      <c r="J9" s="49">
        <f>DataT14d!K11</f>
        <v>-1.1811090633273125E-2</v>
      </c>
      <c r="K9" s="49">
        <f>DataT14d!L11</f>
        <v>-0.11287444829940796</v>
      </c>
      <c r="L9" s="52"/>
      <c r="M9" s="52"/>
    </row>
    <row r="10" spans="1:13" ht="17" thickBot="1" x14ac:dyDescent="0.25">
      <c r="A10" s="46" t="str">
        <f>DataT14d!B12</f>
        <v>Sub-Saharan Africa</v>
      </c>
      <c r="B10" s="47">
        <f>DataT14d!C12</f>
        <v>0</v>
      </c>
      <c r="C10" s="47">
        <f>DataT14d!D12</f>
        <v>-73.422721862792969</v>
      </c>
      <c r="D10" s="47">
        <f>DataT14d!E12</f>
        <v>-179.82568359375</v>
      </c>
      <c r="E10" s="47">
        <f>DataT14d!F12</f>
        <v>-534.00225830078125</v>
      </c>
      <c r="F10" s="47">
        <f>DataT14d!G12</f>
        <v>-697.3038330078125</v>
      </c>
      <c r="G10" s="49">
        <f>DataT14d!H12</f>
        <v>0</v>
      </c>
      <c r="H10" s="49">
        <f>DataT14d!I12</f>
        <v>-0.16620795428752899</v>
      </c>
      <c r="I10" s="49">
        <f>DataT14d!J12</f>
        <v>-0.47475838661193848</v>
      </c>
      <c r="J10" s="49">
        <f>DataT14d!K12</f>
        <v>-0.31396445631980896</v>
      </c>
      <c r="K10" s="49">
        <f>DataT14d!L12</f>
        <v>-0.27817076444625854</v>
      </c>
      <c r="L10" s="52"/>
      <c r="M10" s="52"/>
    </row>
    <row r="11" spans="1:13" ht="18" thickBot="1" x14ac:dyDescent="0.25">
      <c r="A11" s="18" t="str">
        <f>DataT14d!B13</f>
        <v>World</v>
      </c>
      <c r="B11" s="18">
        <f>DataT14d!C13</f>
        <v>0</v>
      </c>
      <c r="C11" s="18">
        <f>DataT14d!D13</f>
        <v>-3.9979062421480194E-5</v>
      </c>
      <c r="D11" s="18">
        <f>DataT14d!E13</f>
        <v>9.1011601034551859E-4</v>
      </c>
      <c r="E11" s="18">
        <f>DataT14d!F13</f>
        <v>-1.7970988992601633E-3</v>
      </c>
      <c r="F11" s="18">
        <f>DataT14d!G13</f>
        <v>-1.6157899517565966E-3</v>
      </c>
      <c r="G11" s="84">
        <f>DataT14d!H13</f>
        <v>0</v>
      </c>
      <c r="H11" s="84">
        <f>DataT14d!I13</f>
        <v>-3.7154030962938123E-9</v>
      </c>
      <c r="I11" s="84">
        <f>DataT14d!J13</f>
        <v>3.1792840360367336E-8</v>
      </c>
      <c r="J11" s="84">
        <f>DataT14d!K13</f>
        <v>-2.4987800273379435E-8</v>
      </c>
      <c r="K11" s="84">
        <f>DataT14d!L13</f>
        <v>-1.5938780961732846E-8</v>
      </c>
      <c r="L11" s="52"/>
      <c r="M11" s="52"/>
    </row>
    <row r="12" spans="1:13" ht="15" customHeight="1" x14ac:dyDescent="0.2">
      <c r="A12" s="207" t="s">
        <v>652</v>
      </c>
      <c r="B12" s="208"/>
      <c r="C12" s="208"/>
      <c r="D12" s="208"/>
      <c r="E12" s="208"/>
      <c r="F12" s="208"/>
      <c r="G12" s="208"/>
      <c r="H12" s="208"/>
      <c r="I12" s="208"/>
      <c r="J12" s="208"/>
      <c r="K12" s="209"/>
      <c r="L12" s="52"/>
      <c r="M12" s="52"/>
    </row>
    <row r="13" spans="1:13" ht="29" customHeight="1" thickBot="1" x14ac:dyDescent="0.25">
      <c r="A13" s="210"/>
      <c r="B13" s="211"/>
      <c r="C13" s="211"/>
      <c r="D13" s="211"/>
      <c r="E13" s="211"/>
      <c r="F13" s="211"/>
      <c r="G13" s="211"/>
      <c r="H13" s="211"/>
      <c r="I13" s="211"/>
      <c r="J13" s="211"/>
      <c r="K13" s="212"/>
      <c r="L13" s="52"/>
      <c r="M13" s="52"/>
    </row>
    <row r="14" spans="1:13" x14ac:dyDescent="0.2">
      <c r="L14" s="52"/>
      <c r="M14" s="52"/>
    </row>
  </sheetData>
  <mergeCells count="2">
    <mergeCell ref="A12:K13"/>
    <mergeCell ref="A1:K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93FA-B29A-4A4A-A962-0BD6E4B44EED}">
  <sheetPr>
    <tabColor theme="7"/>
  </sheetPr>
  <dimension ref="A1:M14"/>
  <sheetViews>
    <sheetView workbookViewId="0">
      <selection activeCell="K7" sqref="K7"/>
    </sheetView>
  </sheetViews>
  <sheetFormatPr baseColWidth="10" defaultRowHeight="15" x14ac:dyDescent="0.2"/>
  <cols>
    <col min="1" max="1" width="24.6640625" customWidth="1"/>
    <col min="2" max="7" width="16.1640625" customWidth="1"/>
  </cols>
  <sheetData>
    <row r="1" spans="1:13" ht="17" thickBot="1" x14ac:dyDescent="0.25">
      <c r="A1" s="204" t="str">
        <f>DataT15a!B2</f>
        <v>Table 15a. National Non-financial Assets by World Region PPP € (2025)</v>
      </c>
      <c r="B1" s="205"/>
      <c r="C1" s="205"/>
      <c r="D1" s="205"/>
      <c r="E1" s="205"/>
      <c r="F1" s="205"/>
      <c r="G1" s="206"/>
      <c r="H1" s="123"/>
      <c r="I1" s="123"/>
      <c r="J1" s="123"/>
      <c r="K1" s="123"/>
      <c r="L1" s="123"/>
      <c r="M1" s="123"/>
    </row>
    <row r="2" spans="1:13" ht="52" customHeight="1" thickBot="1" x14ac:dyDescent="0.25">
      <c r="B2" s="216" t="str">
        <f>DataT15a!C3</f>
        <v>PPP 2025  billions €</v>
      </c>
      <c r="C2" s="217"/>
      <c r="D2" s="218"/>
      <c r="E2" s="216" t="str">
        <f>DataT15a!F3</f>
        <v>% of Gross Domestic Product</v>
      </c>
      <c r="F2" s="217"/>
      <c r="G2" s="218"/>
    </row>
    <row r="3" spans="1:13" ht="120" thickBot="1" x14ac:dyDescent="0.25">
      <c r="A3" s="15" t="str">
        <f>DataT13d!B4</f>
        <v>Region</v>
      </c>
      <c r="B3" s="78" t="str">
        <f>DataT15a!C4</f>
        <v>National housing assets</v>
      </c>
      <c r="C3" s="78" t="str">
        <f>DataT15a!D4</f>
        <v>National business and other non-financial assets</v>
      </c>
      <c r="D3" s="124" t="str">
        <f>DataT15a!E4</f>
        <v>National non-financial assets</v>
      </c>
      <c r="E3" s="78" t="str">
        <f>DataT15a!F4</f>
        <v>National housing assets as % of Gross Domestic Product</v>
      </c>
      <c r="F3" s="78" t="str">
        <f>DataT15a!G4</f>
        <v>National business and other non-financial assets  as % of Gross Domestic Product</v>
      </c>
      <c r="G3" s="124" t="str">
        <f>DataT15a!H4</f>
        <v>National non-financial assets as % of Gross Domestic Product</v>
      </c>
    </row>
    <row r="4" spans="1:13" ht="17" thickBot="1" x14ac:dyDescent="0.25">
      <c r="A4" s="46" t="str">
        <f>DataT15a!B5</f>
        <v>East Asia</v>
      </c>
      <c r="B4" s="47">
        <f>DataT15a!C5</f>
        <v>96105.139527680003</v>
      </c>
      <c r="C4" s="47">
        <f>DataT15a!D5</f>
        <v>148915.13407692799</v>
      </c>
      <c r="D4" s="63">
        <f>DataT15a!E5</f>
        <v>245020.27260723201</v>
      </c>
      <c r="E4" s="43">
        <f>DataT15a!F5</f>
        <v>2.57667561838239</v>
      </c>
      <c r="F4" s="43">
        <f>DataT15a!G5</f>
        <v>3.9925647792608512</v>
      </c>
      <c r="G4" s="105">
        <f>DataT15a!H5</f>
        <v>6.5692403709025857</v>
      </c>
      <c r="I4" s="128"/>
      <c r="J4" s="127"/>
      <c r="K4" s="126"/>
    </row>
    <row r="5" spans="1:13" ht="17" thickBot="1" x14ac:dyDescent="0.25">
      <c r="A5" s="46" t="str">
        <f>DataT15a!B6</f>
        <v>Europe</v>
      </c>
      <c r="B5" s="47">
        <f>DataT15a!C6</f>
        <v>77970.539396608001</v>
      </c>
      <c r="C5" s="47">
        <f>DataT15a!D6</f>
        <v>38980.764692416</v>
      </c>
      <c r="D5" s="63">
        <f>DataT15a!E6</f>
        <v>116951.30341772801</v>
      </c>
      <c r="E5" s="43">
        <f>DataT15a!F6</f>
        <v>3.2330475363339066</v>
      </c>
      <c r="F5" s="43">
        <f>DataT15a!G6</f>
        <v>1.6163369681486377</v>
      </c>
      <c r="G5" s="105">
        <f>DataT15a!H6</f>
        <v>4.8493844766472636</v>
      </c>
      <c r="I5" s="128"/>
      <c r="J5" s="127"/>
      <c r="K5" s="126">
        <f>C4/D4</f>
        <v>0.60776658393340066</v>
      </c>
    </row>
    <row r="6" spans="1:13" ht="17" thickBot="1" x14ac:dyDescent="0.25">
      <c r="A6" s="46" t="str">
        <f>DataT15a!B7</f>
        <v>Latin America</v>
      </c>
      <c r="B6" s="47">
        <f>DataT15a!C7</f>
        <v>21894.715570431999</v>
      </c>
      <c r="C6" s="47">
        <f>DataT15a!D7</f>
        <v>18247.137550751999</v>
      </c>
      <c r="D6" s="63">
        <f>DataT15a!E7</f>
        <v>40141.853049536003</v>
      </c>
      <c r="E6" s="43">
        <f>DataT15a!F7</f>
        <v>2.1211560159539986</v>
      </c>
      <c r="F6" s="43">
        <f>DataT15a!G7</f>
        <v>1.7677793285420622</v>
      </c>
      <c r="G6" s="105">
        <f>DataT15a!H7</f>
        <v>3.8889353375548157</v>
      </c>
      <c r="I6" s="128"/>
      <c r="J6" s="127"/>
      <c r="K6" s="126">
        <f t="shared" ref="K6:K12" si="0">C5/D5</f>
        <v>0.33330765500906012</v>
      </c>
    </row>
    <row r="7" spans="1:13" ht="17" thickBot="1" x14ac:dyDescent="0.25">
      <c r="A7" s="46" t="str">
        <f>DataT15a!B8</f>
        <v>MENA</v>
      </c>
      <c r="B7" s="47">
        <f>DataT15a!C8</f>
        <v>19751.901581311999</v>
      </c>
      <c r="C7" s="47">
        <f>DataT15a!D8</f>
        <v>29460.230893568001</v>
      </c>
      <c r="D7" s="63">
        <f>DataT15a!E8</f>
        <v>49212.133318656</v>
      </c>
      <c r="E7" s="43">
        <f>DataT15a!F8</f>
        <v>1.8511565682571676</v>
      </c>
      <c r="F7" s="43">
        <f>DataT15a!G8</f>
        <v>2.761025296551658</v>
      </c>
      <c r="G7" s="105">
        <f>DataT15a!H8</f>
        <v>4.6121819438878688</v>
      </c>
      <c r="I7" s="128"/>
      <c r="J7" s="127"/>
      <c r="K7" s="126">
        <f t="shared" si="0"/>
        <v>0.45456639802439108</v>
      </c>
    </row>
    <row r="8" spans="1:13" ht="17" thickBot="1" x14ac:dyDescent="0.25">
      <c r="A8" s="46" t="str">
        <f>DataT15a!B9</f>
        <v>North America &amp; Oceania</v>
      </c>
      <c r="B8" s="47">
        <f>DataT15a!C9</f>
        <v>52577.841121008001</v>
      </c>
      <c r="C8" s="47">
        <f>DataT15a!D9</f>
        <v>95108.991240614996</v>
      </c>
      <c r="D8" s="63">
        <f>DataT15a!E9</f>
        <v>147686.83185096001</v>
      </c>
      <c r="E8" s="43">
        <f>DataT15a!F9</f>
        <v>2.1516119719830673</v>
      </c>
      <c r="F8" s="43">
        <f>DataT15a!G9</f>
        <v>3.8920891355269984</v>
      </c>
      <c r="G8" s="105">
        <f>DataT15a!H9</f>
        <v>6.0437010866125052</v>
      </c>
      <c r="I8" s="128"/>
      <c r="J8" s="127"/>
      <c r="K8" s="126">
        <f t="shared" si="0"/>
        <v>0.59863754945977554</v>
      </c>
    </row>
    <row r="9" spans="1:13" ht="17" thickBot="1" x14ac:dyDescent="0.25">
      <c r="A9" s="46" t="str">
        <f>DataT15a!B10</f>
        <v>Russia &amp; Central Asia</v>
      </c>
      <c r="B9" s="47">
        <f>DataT15a!C10</f>
        <v>10858.048692224</v>
      </c>
      <c r="C9" s="47">
        <f>DataT15a!D10</f>
        <v>15421.551239168</v>
      </c>
      <c r="D9" s="63">
        <f>DataT15a!E10</f>
        <v>26279.599947776001</v>
      </c>
      <c r="E9" s="43">
        <f>DataT15a!F10</f>
        <v>1.5486451073698269</v>
      </c>
      <c r="F9" s="43">
        <f>DataT15a!G10</f>
        <v>2.1995213460125753</v>
      </c>
      <c r="G9" s="105">
        <f>DataT15a!H10</f>
        <v>3.7481664557191943</v>
      </c>
      <c r="I9" s="128"/>
      <c r="J9" s="127"/>
      <c r="K9" s="126">
        <f t="shared" si="0"/>
        <v>0.64399100480803473</v>
      </c>
    </row>
    <row r="10" spans="1:13" ht="17" thickBot="1" x14ac:dyDescent="0.25">
      <c r="A10" s="46" t="str">
        <f>DataT15a!B11</f>
        <v>South &amp; South-East Asia</v>
      </c>
      <c r="B10" s="47">
        <f>DataT15a!C11</f>
        <v>65427.441148928003</v>
      </c>
      <c r="C10" s="47">
        <f>DataT15a!D11</f>
        <v>45576.377373695999</v>
      </c>
      <c r="D10" s="63">
        <f>DataT15a!E11</f>
        <v>111003.8174221775</v>
      </c>
      <c r="E10" s="43">
        <f>DataT15a!F11</f>
        <v>2.7557036360392315</v>
      </c>
      <c r="F10" s="43">
        <f>DataT15a!G11</f>
        <v>1.9196072265810757</v>
      </c>
      <c r="G10" s="105">
        <f>DataT15a!H11</f>
        <v>4.6753108162711854</v>
      </c>
      <c r="I10" s="128"/>
      <c r="J10" s="127"/>
      <c r="K10" s="126">
        <f t="shared" si="0"/>
        <v>0.58682595130117654</v>
      </c>
    </row>
    <row r="11" spans="1:13" ht="17" thickBot="1" x14ac:dyDescent="0.25">
      <c r="A11" s="46" t="str">
        <f>DataT15a!B12</f>
        <v>Sub-Saharan Africa</v>
      </c>
      <c r="B11" s="47">
        <f>DataT15a!C12</f>
        <v>8096.045952896</v>
      </c>
      <c r="C11" s="47">
        <f>DataT15a!D12</f>
        <v>10525.042120704</v>
      </c>
      <c r="D11" s="63">
        <f>DataT15a!E12</f>
        <v>18621.088076288001</v>
      </c>
      <c r="E11" s="43">
        <f>DataT15a!F12</f>
        <v>1.5279187156656442</v>
      </c>
      <c r="F11" s="43">
        <f>DataT15a!G12</f>
        <v>1.9863287502265787</v>
      </c>
      <c r="G11" s="105">
        <f>DataT15a!H12</f>
        <v>3.5142474663995134</v>
      </c>
      <c r="I11" s="128"/>
      <c r="J11" s="128"/>
      <c r="K11" s="126">
        <f t="shared" si="0"/>
        <v>0.41058387388928008</v>
      </c>
    </row>
    <row r="12" spans="1:13" ht="18" thickBot="1" x14ac:dyDescent="0.25">
      <c r="A12" s="18" t="str">
        <f>DataT15a!B13</f>
        <v>World</v>
      </c>
      <c r="B12" s="63">
        <f>DataT15a!C13</f>
        <v>352681.67299108801</v>
      </c>
      <c r="C12" s="63">
        <f>DataT15a!D13</f>
        <v>402235.229187847</v>
      </c>
      <c r="D12" s="63">
        <f>DataT15a!E13</f>
        <v>754916.89969035354</v>
      </c>
      <c r="E12" s="105">
        <f>DataT15a!F13</f>
        <v>2.4680995213566068</v>
      </c>
      <c r="F12" s="105">
        <f>DataT15a!G13</f>
        <v>2.8148799687030421</v>
      </c>
      <c r="G12" s="105">
        <f>DataT15a!H13</f>
        <v>5.2829794726443211</v>
      </c>
      <c r="I12" s="128"/>
      <c r="J12" s="127"/>
      <c r="K12" s="126">
        <f t="shared" si="0"/>
        <v>0.56522164964712962</v>
      </c>
    </row>
    <row r="13" spans="1:13" ht="39" customHeight="1" x14ac:dyDescent="0.2">
      <c r="A13" s="207" t="s">
        <v>714</v>
      </c>
      <c r="B13" s="208"/>
      <c r="C13" s="208"/>
      <c r="D13" s="208"/>
      <c r="E13" s="208"/>
      <c r="F13" s="208"/>
      <c r="G13" s="209"/>
      <c r="H13" s="125"/>
      <c r="I13" s="125"/>
      <c r="J13" s="125"/>
      <c r="K13" s="125"/>
      <c r="L13" s="125"/>
      <c r="M13" s="125"/>
    </row>
    <row r="14" spans="1:13" ht="76" customHeight="1" thickBot="1" x14ac:dyDescent="0.25">
      <c r="A14" s="210"/>
      <c r="B14" s="211"/>
      <c r="C14" s="211"/>
      <c r="D14" s="211"/>
      <c r="E14" s="211"/>
      <c r="F14" s="211"/>
      <c r="G14" s="212"/>
      <c r="H14" s="125"/>
      <c r="I14" s="125"/>
      <c r="J14" s="125"/>
      <c r="K14" s="125"/>
      <c r="L14" s="125"/>
      <c r="M14" s="125"/>
    </row>
  </sheetData>
  <mergeCells count="4">
    <mergeCell ref="E2:G2"/>
    <mergeCell ref="B2:D2"/>
    <mergeCell ref="A1:G1"/>
    <mergeCell ref="A13:G1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4757-A14C-F849-893C-E40ECC0828AD}">
  <sheetPr>
    <tabColor theme="7"/>
  </sheetPr>
  <dimension ref="A1:L14"/>
  <sheetViews>
    <sheetView workbookViewId="0">
      <selection activeCell="I4" sqref="I4:K12"/>
    </sheetView>
  </sheetViews>
  <sheetFormatPr baseColWidth="10" defaultRowHeight="15" x14ac:dyDescent="0.2"/>
  <cols>
    <col min="1" max="1" width="24.5" customWidth="1"/>
    <col min="2" max="7" width="16.1640625" customWidth="1"/>
  </cols>
  <sheetData>
    <row r="1" spans="1:12" ht="17" thickBot="1" x14ac:dyDescent="0.25">
      <c r="A1" s="204" t="str">
        <f>DataT15b!B2</f>
        <v>Table 15b. National Non-financial Assets by World Region PPP $ (2025)</v>
      </c>
      <c r="B1" s="205"/>
      <c r="C1" s="205"/>
      <c r="D1" s="205"/>
      <c r="E1" s="205"/>
      <c r="F1" s="205"/>
      <c r="G1" s="206"/>
    </row>
    <row r="2" spans="1:12" ht="17" customHeight="1" thickBot="1" x14ac:dyDescent="0.25">
      <c r="B2" s="216" t="str">
        <f>DataT15b!C3</f>
        <v>PPP 2025  billions $</v>
      </c>
      <c r="C2" s="217"/>
      <c r="D2" s="218"/>
      <c r="E2" s="216" t="str">
        <f>DataT15b!F3</f>
        <v>% of Gross Domestic Product</v>
      </c>
      <c r="F2" s="217"/>
      <c r="G2" s="218"/>
    </row>
    <row r="3" spans="1:12" ht="120" thickBot="1" x14ac:dyDescent="0.25">
      <c r="A3" s="15" t="str">
        <f>DataT13d!B4</f>
        <v>Region</v>
      </c>
      <c r="B3" s="78" t="str">
        <f>DataT15a!C4</f>
        <v>National housing assets</v>
      </c>
      <c r="C3" s="78" t="str">
        <f>DataT15a!D4</f>
        <v>National business and other non-financial assets</v>
      </c>
      <c r="D3" s="124" t="str">
        <f>DataT15a!E4</f>
        <v>National non-financial assets</v>
      </c>
      <c r="E3" s="78" t="str">
        <f>DataT15a!F4</f>
        <v>National housing assets as % of Gross Domestic Product</v>
      </c>
      <c r="F3" s="78" t="str">
        <f>DataT15a!G4</f>
        <v>National business and other non-financial assets  as % of Gross Domestic Product</v>
      </c>
      <c r="G3" s="124" t="str">
        <f>DataT15a!H4</f>
        <v>National non-financial assets as % of Gross Domestic Product</v>
      </c>
    </row>
    <row r="4" spans="1:12" ht="17" thickBot="1" x14ac:dyDescent="0.25">
      <c r="A4" s="46" t="str">
        <f>DataT15b!B5</f>
        <v>East Asia</v>
      </c>
      <c r="B4" s="47">
        <f>DataT15b!C5</f>
        <v>141746.983903232</v>
      </c>
      <c r="C4" s="47">
        <f>DataT15b!D5</f>
        <v>219637.25941862399</v>
      </c>
      <c r="D4" s="63">
        <f>DataT15b!E5</f>
        <v>361384.25165414403</v>
      </c>
      <c r="E4" s="43">
        <f>DataT15b!F5</f>
        <v>2.5766756691460695</v>
      </c>
      <c r="F4" s="43">
        <f>DataT15b!G5</f>
        <v>3.9925645456290222</v>
      </c>
      <c r="G4" s="105">
        <f>DataT15b!H5</f>
        <v>6.5692403662393639</v>
      </c>
      <c r="I4" s="128"/>
      <c r="J4" s="127"/>
      <c r="K4" s="126"/>
      <c r="L4" s="127"/>
    </row>
    <row r="5" spans="1:12" ht="17" thickBot="1" x14ac:dyDescent="0.25">
      <c r="A5" s="46" t="str">
        <f>DataT15b!B6</f>
        <v>Europe</v>
      </c>
      <c r="B5" s="47">
        <f>DataT15b!C6</f>
        <v>114999.966596096</v>
      </c>
      <c r="C5" s="47">
        <f>DataT15b!D6</f>
        <v>57493.340800767997</v>
      </c>
      <c r="D5" s="63">
        <f>DataT15b!E6</f>
        <v>172493.30765926401</v>
      </c>
      <c r="E5" s="43">
        <f>DataT15b!F6</f>
        <v>3.2330475026464258</v>
      </c>
      <c r="F5" s="43">
        <f>DataT15b!G6</f>
        <v>1.6163370077103398</v>
      </c>
      <c r="G5" s="105">
        <f>DataT15b!H6</f>
        <v>4.8493845177337391</v>
      </c>
      <c r="I5" s="128"/>
      <c r="J5" s="127"/>
      <c r="K5" s="126"/>
      <c r="L5" s="127"/>
    </row>
    <row r="6" spans="1:12" ht="17" thickBot="1" x14ac:dyDescent="0.25">
      <c r="A6" s="46" t="str">
        <f>DataT15b!B7</f>
        <v>Latin America</v>
      </c>
      <c r="B6" s="47">
        <f>DataT15b!C7</f>
        <v>32292.858030208001</v>
      </c>
      <c r="C6" s="47">
        <f>DataT15b!D7</f>
        <v>26912.988521066</v>
      </c>
      <c r="D6" s="63">
        <f>DataT15b!E7</f>
        <v>59205.846058112002</v>
      </c>
      <c r="E6" s="43">
        <f>DataT15b!F7</f>
        <v>2.1211560133127758</v>
      </c>
      <c r="F6" s="43">
        <f>DataT15b!G7</f>
        <v>1.7677793456458941</v>
      </c>
      <c r="G6" s="105">
        <f>DataT15b!H7</f>
        <v>3.8889353265653295</v>
      </c>
      <c r="I6" s="128"/>
      <c r="J6" s="127"/>
      <c r="K6" s="126"/>
      <c r="L6" s="127"/>
    </row>
    <row r="7" spans="1:12" ht="17" thickBot="1" x14ac:dyDescent="0.25">
      <c r="A7" s="46" t="str">
        <f>DataT15b!B8</f>
        <v>MENA</v>
      </c>
      <c r="B7" s="47">
        <f>DataT15b!C8</f>
        <v>29132.38921216</v>
      </c>
      <c r="C7" s="47">
        <f>DataT15b!D8</f>
        <v>43451.356487680001</v>
      </c>
      <c r="D7" s="63">
        <f>DataT15b!E8</f>
        <v>72583.747158016005</v>
      </c>
      <c r="E7" s="43">
        <f>DataT15b!F8</f>
        <v>1.8511565551645373</v>
      </c>
      <c r="F7" s="43">
        <f>DataT15b!G8</f>
        <v>2.7610252906886847</v>
      </c>
      <c r="G7" s="105">
        <f>DataT15b!H8</f>
        <v>4.6121819385099565</v>
      </c>
      <c r="I7" s="128"/>
      <c r="J7" s="127"/>
      <c r="K7" s="126"/>
      <c r="L7" s="127"/>
    </row>
    <row r="8" spans="1:12" ht="17" thickBot="1" x14ac:dyDescent="0.25">
      <c r="A8" s="46" t="str">
        <f>DataT15b!B9</f>
        <v>North America &amp; Oceania</v>
      </c>
      <c r="B8" s="47">
        <f>DataT15b!C9</f>
        <v>77547.883495488</v>
      </c>
      <c r="C8" s="47">
        <f>DataT15b!D9</f>
        <v>140277.73883801099</v>
      </c>
      <c r="D8" s="63">
        <f>DataT15b!E9</f>
        <v>217825.62184060799</v>
      </c>
      <c r="E8" s="43">
        <f>DataT15b!F9</f>
        <v>2.1516119893596941</v>
      </c>
      <c r="F8" s="43">
        <f>DataT15b!G9</f>
        <v>3.8920890051331134</v>
      </c>
      <c r="G8" s="105">
        <f>DataT15b!H9</f>
        <v>6.0437009808172544</v>
      </c>
      <c r="I8" s="128"/>
      <c r="J8" s="127"/>
      <c r="K8" s="126"/>
      <c r="L8" s="127"/>
    </row>
    <row r="9" spans="1:12" ht="17" thickBot="1" x14ac:dyDescent="0.25">
      <c r="A9" s="46" t="str">
        <f>DataT15b!B10</f>
        <v>Russia &amp; Central Asia</v>
      </c>
      <c r="B9" s="47">
        <f>DataT15b!C10</f>
        <v>16014.705524736</v>
      </c>
      <c r="C9" s="47">
        <f>DataT15b!D10</f>
        <v>22745.487163392001</v>
      </c>
      <c r="D9" s="63">
        <f>DataT15b!E10</f>
        <v>38760.191754239997</v>
      </c>
      <c r="E9" s="43">
        <f>DataT15b!F10</f>
        <v>1.5486450795690156</v>
      </c>
      <c r="F9" s="43">
        <f>DataT15b!G10</f>
        <v>2.1995213538943861</v>
      </c>
      <c r="G9" s="105">
        <f>DataT15b!H10</f>
        <v>3.7481663431550878</v>
      </c>
      <c r="I9" s="128"/>
      <c r="J9" s="127"/>
      <c r="K9" s="126"/>
      <c r="L9" s="127"/>
    </row>
    <row r="10" spans="1:12" ht="17" thickBot="1" x14ac:dyDescent="0.25">
      <c r="A10" s="46" t="str">
        <f>DataT15b!B11</f>
        <v>South &amp; South-East Asia</v>
      </c>
      <c r="B10" s="47">
        <f>DataT15b!C11</f>
        <v>96499.956885503998</v>
      </c>
      <c r="C10" s="47">
        <f>DataT15b!D11</f>
        <v>67221.314004992004</v>
      </c>
      <c r="D10" s="63">
        <f>DataT15b!E11</f>
        <v>163721.26997107899</v>
      </c>
      <c r="E10" s="43">
        <f>DataT15b!F11</f>
        <v>2.7557035481748624</v>
      </c>
      <c r="F10" s="43">
        <f>DataT15b!G11</f>
        <v>1.9196072153308874</v>
      </c>
      <c r="G10" s="105">
        <f>DataT15b!H11</f>
        <v>4.6753107372503946</v>
      </c>
      <c r="I10" s="128"/>
      <c r="J10" s="127"/>
      <c r="K10" s="126"/>
      <c r="L10" s="127"/>
    </row>
    <row r="11" spans="1:12" ht="17" thickBot="1" x14ac:dyDescent="0.25">
      <c r="A11" s="46" t="str">
        <f>DataT15b!B12</f>
        <v>Sub-Saharan Africa</v>
      </c>
      <c r="B11" s="47">
        <f>DataT15b!C12</f>
        <v>11940.985039616</v>
      </c>
      <c r="C11" s="47">
        <f>DataT15b!D12</f>
        <v>15523.550158336</v>
      </c>
      <c r="D11" s="63">
        <f>DataT15b!E12</f>
        <v>27464.535072768002</v>
      </c>
      <c r="E11" s="43">
        <f>DataT15b!F12</f>
        <v>1.5279186930472008</v>
      </c>
      <c r="F11" s="43">
        <f>DataT15b!G12</f>
        <v>1.9863287987286649</v>
      </c>
      <c r="G11" s="105">
        <f>DataT15b!H12</f>
        <v>3.5142474757578426</v>
      </c>
      <c r="I11" s="128"/>
      <c r="J11" s="127"/>
      <c r="K11" s="126"/>
      <c r="L11" s="127"/>
    </row>
    <row r="12" spans="1:12" ht="18" thickBot="1" x14ac:dyDescent="0.25">
      <c r="A12" s="18" t="str">
        <f>DataT15b!B13</f>
        <v>World</v>
      </c>
      <c r="B12" s="63">
        <f>DataT15b!C13</f>
        <v>520175.72868703998</v>
      </c>
      <c r="C12" s="63">
        <f>DataT15b!D13</f>
        <v>593263.03539286903</v>
      </c>
      <c r="D12" s="63">
        <f>DataT15b!E13</f>
        <v>1113438.771168231</v>
      </c>
      <c r="E12" s="105">
        <f>DataT15b!F13</f>
        <v>2.468099512964451</v>
      </c>
      <c r="F12" s="105">
        <f>DataT15b!G13</f>
        <v>2.8148799106962881</v>
      </c>
      <c r="G12" s="105">
        <f>DataT15b!H13</f>
        <v>5.2829794572929965</v>
      </c>
      <c r="I12" s="128"/>
      <c r="J12" s="127"/>
      <c r="K12" s="126"/>
      <c r="L12" s="127"/>
    </row>
    <row r="13" spans="1:12" ht="52" customHeight="1" x14ac:dyDescent="0.2">
      <c r="A13" s="207" t="s">
        <v>715</v>
      </c>
      <c r="B13" s="208"/>
      <c r="C13" s="208"/>
      <c r="D13" s="208"/>
      <c r="E13" s="208"/>
      <c r="F13" s="208"/>
      <c r="G13" s="209"/>
    </row>
    <row r="14" spans="1:12" ht="62" customHeight="1" thickBot="1" x14ac:dyDescent="0.25">
      <c r="A14" s="210"/>
      <c r="B14" s="211"/>
      <c r="C14" s="211"/>
      <c r="D14" s="211"/>
      <c r="E14" s="211"/>
      <c r="F14" s="211"/>
      <c r="G14" s="212"/>
    </row>
  </sheetData>
  <mergeCells count="4">
    <mergeCell ref="B2:D2"/>
    <mergeCell ref="E2:G2"/>
    <mergeCell ref="A1:G1"/>
    <mergeCell ref="A13:G1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E938F-EE36-FC4D-903D-C5BB1A79C1D2}">
  <sheetPr>
    <tabColor theme="7"/>
  </sheetPr>
  <dimension ref="A1:L14"/>
  <sheetViews>
    <sheetView workbookViewId="0">
      <selection activeCell="D23" sqref="D23"/>
    </sheetView>
  </sheetViews>
  <sheetFormatPr baseColWidth="10" defaultRowHeight="15" x14ac:dyDescent="0.2"/>
  <cols>
    <col min="1" max="1" width="24.83203125" customWidth="1"/>
    <col min="2" max="7" width="16.1640625" customWidth="1"/>
  </cols>
  <sheetData>
    <row r="1" spans="1:12" ht="17" thickBot="1" x14ac:dyDescent="0.25">
      <c r="A1" s="204" t="str">
        <f>DataT15c!B2</f>
        <v>Table 15c. National Non-financial Assets by World Region MER € (2025)</v>
      </c>
      <c r="B1" s="205"/>
      <c r="C1" s="205"/>
      <c r="D1" s="205"/>
      <c r="E1" s="205"/>
      <c r="F1" s="205"/>
      <c r="G1" s="206"/>
    </row>
    <row r="2" spans="1:12" ht="17" customHeight="1" thickBot="1" x14ac:dyDescent="0.25">
      <c r="B2" s="216" t="str">
        <f>DataT15c!C3</f>
        <v xml:space="preserve"> Billions €</v>
      </c>
      <c r="C2" s="217"/>
      <c r="D2" s="218"/>
      <c r="E2" s="216" t="str">
        <f>DataT15c!F3</f>
        <v>% of Gross Domestic Product</v>
      </c>
      <c r="F2" s="217"/>
      <c r="G2" s="218"/>
    </row>
    <row r="3" spans="1:12" ht="120" thickBot="1" x14ac:dyDescent="0.25">
      <c r="A3" s="15" t="str">
        <f>DataT13d!B4</f>
        <v>Region</v>
      </c>
      <c r="B3" s="78" t="str">
        <f>DataT15a!C4</f>
        <v>National housing assets</v>
      </c>
      <c r="C3" s="78" t="str">
        <f>DataT15a!D4</f>
        <v>National business and other non-financial assets</v>
      </c>
      <c r="D3" s="124" t="str">
        <f>DataT15a!E4</f>
        <v>National non-financial assets</v>
      </c>
      <c r="E3" s="78" t="str">
        <f>DataT15a!F4</f>
        <v>National housing assets as % of Gross Domestic Product</v>
      </c>
      <c r="F3" s="78" t="str">
        <f>DataT15a!G4</f>
        <v>National business and other non-financial assets  as % of Gross Domestic Product</v>
      </c>
      <c r="G3" s="124" t="str">
        <f>DataT15a!H4</f>
        <v>National non-financial assets as % of Gross Domestic Product</v>
      </c>
    </row>
    <row r="4" spans="1:12" ht="17" thickBot="1" x14ac:dyDescent="0.25">
      <c r="A4" s="46" t="str">
        <f>DataT15c!B5</f>
        <v>East Asia</v>
      </c>
      <c r="B4" s="47">
        <f>DataT15c!C5</f>
        <v>59575.589701632001</v>
      </c>
      <c r="C4" s="47">
        <f>DataT15c!D5</f>
        <v>91546.252754432004</v>
      </c>
      <c r="D4" s="63">
        <f>DataT15c!E5</f>
        <v>151121.84990924801</v>
      </c>
      <c r="E4" s="43">
        <f>DataT15c!F5</f>
        <v>2.5661872624216087</v>
      </c>
      <c r="F4" s="43">
        <f>DataT15c!G5</f>
        <v>3.9433067959110275</v>
      </c>
      <c r="G4" s="105">
        <f>DataT15c!H5</f>
        <v>6.509494379374626</v>
      </c>
      <c r="J4" s="127"/>
      <c r="L4" s="126"/>
    </row>
    <row r="5" spans="1:12" ht="17" thickBot="1" x14ac:dyDescent="0.25">
      <c r="A5" s="46" t="str">
        <f>DataT15c!B6</f>
        <v>Europe</v>
      </c>
      <c r="B5" s="47">
        <f>DataT15c!C6</f>
        <v>77389.936494591995</v>
      </c>
      <c r="C5" s="47">
        <f>DataT15c!D6</f>
        <v>37689.071475167999</v>
      </c>
      <c r="D5" s="63">
        <f>DataT15c!E6</f>
        <v>115079.008305664</v>
      </c>
      <c r="E5" s="43">
        <f>DataT15c!F6</f>
        <v>3.251592452384529</v>
      </c>
      <c r="F5" s="43">
        <f>DataT15c!G6</f>
        <v>1.5835327679148705</v>
      </c>
      <c r="G5" s="105">
        <f>DataT15c!H6</f>
        <v>4.8351252344126419</v>
      </c>
      <c r="J5" s="127"/>
      <c r="L5" s="126"/>
    </row>
    <row r="6" spans="1:12" ht="17" thickBot="1" x14ac:dyDescent="0.25">
      <c r="A6" s="46" t="str">
        <f>DataT15c!B7</f>
        <v>Latin America</v>
      </c>
      <c r="B6" s="47">
        <f>DataT15c!C7</f>
        <v>13780.235542592</v>
      </c>
      <c r="C6" s="47">
        <f>DataT15c!D7</f>
        <v>11172.8137772725</v>
      </c>
      <c r="D6" s="63">
        <f>DataT15c!E7</f>
        <v>24953.049012719999</v>
      </c>
      <c r="E6" s="43">
        <f>DataT15c!F7</f>
        <v>2.1212514624834986</v>
      </c>
      <c r="F6" s="43">
        <f>DataT15c!G7</f>
        <v>1.7198797140906594</v>
      </c>
      <c r="G6" s="105">
        <f>DataT15c!H7</f>
        <v>3.8411311292940722</v>
      </c>
      <c r="J6" s="127"/>
      <c r="L6" s="126"/>
    </row>
    <row r="7" spans="1:12" ht="17" thickBot="1" x14ac:dyDescent="0.25">
      <c r="A7" s="46" t="str">
        <f>DataT15c!B8</f>
        <v>MENA</v>
      </c>
      <c r="B7" s="47">
        <f>DataT15c!C8</f>
        <v>10586.132512767999</v>
      </c>
      <c r="C7" s="47">
        <f>DataT15c!D8</f>
        <v>16036.847042560001</v>
      </c>
      <c r="D7" s="63">
        <f>DataT15c!E8</f>
        <v>26622.979272704</v>
      </c>
      <c r="E7" s="43">
        <f>DataT15c!F8</f>
        <v>1.8875145817818793</v>
      </c>
      <c r="F7" s="43">
        <f>DataT15c!G8</f>
        <v>2.8593806663698036</v>
      </c>
      <c r="G7" s="105">
        <f>DataT15c!H8</f>
        <v>4.746895197759633</v>
      </c>
      <c r="J7" s="127"/>
      <c r="L7" s="126"/>
    </row>
    <row r="8" spans="1:12" ht="17" thickBot="1" x14ac:dyDescent="0.25">
      <c r="A8" s="46" t="str">
        <f>DataT15c!B9</f>
        <v>North America &amp; Oceania</v>
      </c>
      <c r="B8" s="47">
        <f>DataT15c!C9</f>
        <v>64059.9774836</v>
      </c>
      <c r="C8" s="47">
        <f>DataT15c!D9</f>
        <v>117527.385225363</v>
      </c>
      <c r="D8" s="63">
        <f>DataT15c!E9</f>
        <v>181587.358744064</v>
      </c>
      <c r="E8" s="43">
        <f>DataT15c!F9</f>
        <v>2.1341489012969652</v>
      </c>
      <c r="F8" s="43">
        <f>DataT15c!G9</f>
        <v>3.9154078709319924</v>
      </c>
      <c r="G8" s="105">
        <f>DataT15c!H9</f>
        <v>6.0495566401389196</v>
      </c>
      <c r="J8" s="127"/>
      <c r="L8" s="126"/>
    </row>
    <row r="9" spans="1:12" ht="17" thickBot="1" x14ac:dyDescent="0.25">
      <c r="A9" s="46" t="str">
        <f>DataT15c!B10</f>
        <v>Russia &amp; Central Asia</v>
      </c>
      <c r="B9" s="47">
        <f>DataT15c!C10</f>
        <v>4868.6402662399996</v>
      </c>
      <c r="C9" s="47">
        <f>DataT15c!D10</f>
        <v>6939.6744806400002</v>
      </c>
      <c r="D9" s="63">
        <f>DataT15c!E10</f>
        <v>11808.315031552</v>
      </c>
      <c r="E9" s="43">
        <f>DataT15c!F10</f>
        <v>1.5457943588093086</v>
      </c>
      <c r="F9" s="43">
        <f>DataT15c!G10</f>
        <v>2.2033481788603821</v>
      </c>
      <c r="G9" s="105">
        <f>DataT15c!H10</f>
        <v>3.7491426280531135</v>
      </c>
      <c r="J9" s="127"/>
      <c r="L9" s="126"/>
    </row>
    <row r="10" spans="1:12" ht="17" thickBot="1" x14ac:dyDescent="0.25">
      <c r="A10" s="46" t="str">
        <f>DataT15c!B11</f>
        <v>South &amp; South-East Asia</v>
      </c>
      <c r="B10" s="47">
        <f>DataT15c!C11</f>
        <v>21843.172521984001</v>
      </c>
      <c r="C10" s="47">
        <f>DataT15c!D11</f>
        <v>14600.049316352</v>
      </c>
      <c r="D10" s="63">
        <f>DataT15c!E11</f>
        <v>36443.221676940753</v>
      </c>
      <c r="E10" s="43">
        <f>DataT15c!F11</f>
        <v>2.7109848575980249</v>
      </c>
      <c r="F10" s="43">
        <f>DataT15c!G11</f>
        <v>1.8120313144521003</v>
      </c>
      <c r="G10" s="105">
        <f>DataT15c!H11</f>
        <v>4.5230161520191485</v>
      </c>
      <c r="J10" s="127"/>
      <c r="L10" s="126"/>
    </row>
    <row r="11" spans="1:12" ht="17" thickBot="1" x14ac:dyDescent="0.25">
      <c r="A11" s="46" t="str">
        <f>DataT15c!B12</f>
        <v>Sub-Saharan Africa</v>
      </c>
      <c r="B11" s="47">
        <f>DataT15c!C12</f>
        <v>3469.0410808319998</v>
      </c>
      <c r="C11" s="47">
        <f>DataT15c!D12</f>
        <v>4404.8448847359996</v>
      </c>
      <c r="D11" s="63">
        <f>DataT15c!E12</f>
        <v>7873.8860718080005</v>
      </c>
      <c r="E11" s="43">
        <f>DataT15c!F12</f>
        <v>1.4722213899573777</v>
      </c>
      <c r="F11" s="43">
        <f>DataT15c!G12</f>
        <v>1.8693658298210083</v>
      </c>
      <c r="G11" s="105">
        <f>DataT15c!H12</f>
        <v>3.3415872648654279</v>
      </c>
      <c r="J11" s="127"/>
      <c r="L11" s="126"/>
    </row>
    <row r="12" spans="1:12" ht="18" thickBot="1" x14ac:dyDescent="0.25">
      <c r="A12" s="18" t="str">
        <f>DataT15c!B13</f>
        <v>World</v>
      </c>
      <c r="B12" s="63">
        <f>DataT15c!C13</f>
        <v>255572.72560424</v>
      </c>
      <c r="C12" s="63">
        <f>DataT15c!D13</f>
        <v>299916.93895652349</v>
      </c>
      <c r="D12" s="63">
        <f>DataT15c!E13</f>
        <v>555489.66802470072</v>
      </c>
      <c r="E12" s="105">
        <f>DataT15c!F13</f>
        <v>2.4885157159717246</v>
      </c>
      <c r="F12" s="105">
        <f>DataT15c!G13</f>
        <v>2.9202960304738368</v>
      </c>
      <c r="G12" s="105">
        <f>DataT15c!H13</f>
        <v>5.4088117801739735</v>
      </c>
      <c r="J12" s="127"/>
      <c r="L12" s="126"/>
    </row>
    <row r="13" spans="1:12" ht="41" customHeight="1" x14ac:dyDescent="0.2">
      <c r="A13" s="207" t="s">
        <v>716</v>
      </c>
      <c r="B13" s="208"/>
      <c r="C13" s="208"/>
      <c r="D13" s="208"/>
      <c r="E13" s="208"/>
      <c r="F13" s="208"/>
      <c r="G13" s="209"/>
    </row>
    <row r="14" spans="1:12" ht="71" customHeight="1" thickBot="1" x14ac:dyDescent="0.25">
      <c r="A14" s="210"/>
      <c r="B14" s="211"/>
      <c r="C14" s="211"/>
      <c r="D14" s="211"/>
      <c r="E14" s="211"/>
      <c r="F14" s="211"/>
      <c r="G14" s="212"/>
    </row>
  </sheetData>
  <mergeCells count="4">
    <mergeCell ref="B2:D2"/>
    <mergeCell ref="E2:G2"/>
    <mergeCell ref="A1:G1"/>
    <mergeCell ref="A13:G1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0708-09C3-C942-988D-717CDB3AE87C}">
  <sheetPr>
    <tabColor theme="7"/>
  </sheetPr>
  <dimension ref="A1:L14"/>
  <sheetViews>
    <sheetView workbookViewId="0">
      <selection activeCell="A13" sqref="A13:G14"/>
    </sheetView>
  </sheetViews>
  <sheetFormatPr baseColWidth="10" defaultRowHeight="15" x14ac:dyDescent="0.2"/>
  <cols>
    <col min="1" max="1" width="24.83203125" customWidth="1"/>
    <col min="2" max="7" width="16.1640625" customWidth="1"/>
  </cols>
  <sheetData>
    <row r="1" spans="1:12" ht="17" thickBot="1" x14ac:dyDescent="0.25">
      <c r="A1" s="204" t="str">
        <f>DataT15d!B2</f>
        <v>Table 15d. National Non-financial Assets by World Region MER $ (2025)</v>
      </c>
      <c r="B1" s="205"/>
      <c r="C1" s="205"/>
      <c r="D1" s="205"/>
      <c r="E1" s="205"/>
      <c r="F1" s="205"/>
      <c r="G1" s="206"/>
    </row>
    <row r="2" spans="1:12" ht="17" customHeight="1" thickBot="1" x14ac:dyDescent="0.25">
      <c r="B2" s="216" t="str">
        <f>DataT15d!C3</f>
        <v>Billions $</v>
      </c>
      <c r="C2" s="217"/>
      <c r="D2" s="218"/>
      <c r="E2" s="216" t="str">
        <f>DataT15d!F3</f>
        <v>% of Gross Domestic Product</v>
      </c>
      <c r="F2" s="217"/>
      <c r="G2" s="218"/>
    </row>
    <row r="3" spans="1:12" ht="120" thickBot="1" x14ac:dyDescent="0.25">
      <c r="A3" s="15" t="str">
        <f>DataT13d!B4</f>
        <v>Region</v>
      </c>
      <c r="B3" s="78" t="str">
        <f>DataT15a!C4</f>
        <v>National housing assets</v>
      </c>
      <c r="C3" s="78" t="str">
        <f>DataT15a!D4</f>
        <v>National business and other non-financial assets</v>
      </c>
      <c r="D3" s="124" t="str">
        <f>DataT15a!E4</f>
        <v>National non-financial assets</v>
      </c>
      <c r="E3" s="78" t="str">
        <f>DataT15a!F4</f>
        <v>National housing assets as % of Gross Domestic Product</v>
      </c>
      <c r="F3" s="78" t="str">
        <f>DataT15a!G4</f>
        <v>National business and other non-financial assets  as % of Gross Domestic Product</v>
      </c>
      <c r="G3" s="124" t="str">
        <f>DataT15a!H4</f>
        <v>National non-financial assets as % of Gross Domestic Product</v>
      </c>
    </row>
    <row r="4" spans="1:12" ht="17" thickBot="1" x14ac:dyDescent="0.25">
      <c r="A4" s="46" t="str">
        <f>DataT15d!B5</f>
        <v>East Asia</v>
      </c>
      <c r="B4" s="47">
        <f>DataT15d!C5</f>
        <v>70217.962663936007</v>
      </c>
      <c r="C4" s="47">
        <f>DataT15d!D5</f>
        <v>107899.748419072</v>
      </c>
      <c r="D4" s="63">
        <f>DataT15d!E5</f>
        <v>178117.714837504</v>
      </c>
      <c r="E4" s="43">
        <f>DataT15d!F5</f>
        <v>2.5661873499782182</v>
      </c>
      <c r="F4" s="43">
        <f>DataT15d!G5</f>
        <v>3.943306797208832</v>
      </c>
      <c r="G4" s="105">
        <f>DataT15d!H5</f>
        <v>6.5094942843989516</v>
      </c>
      <c r="J4" s="127"/>
      <c r="L4" s="126"/>
    </row>
    <row r="5" spans="1:12" ht="17" thickBot="1" x14ac:dyDescent="0.25">
      <c r="A5" s="46" t="str">
        <f>DataT15d!B6</f>
        <v>Europe</v>
      </c>
      <c r="B5" s="47">
        <f>DataT15d!C6</f>
        <v>91214.600775679995</v>
      </c>
      <c r="C5" s="47">
        <f>DataT15d!D6</f>
        <v>44421.714731647997</v>
      </c>
      <c r="D5" s="63">
        <f>DataT15d!E6</f>
        <v>135636.31695027201</v>
      </c>
      <c r="E5" s="43">
        <f>DataT15d!F6</f>
        <v>3.2515924360571544</v>
      </c>
      <c r="F5" s="43">
        <f>DataT15d!G6</f>
        <v>1.5835327939803561</v>
      </c>
      <c r="G5" s="105">
        <f>DataT15d!H6</f>
        <v>4.8351252814751726</v>
      </c>
      <c r="J5" s="127"/>
      <c r="L5" s="126"/>
    </row>
    <row r="6" spans="1:12" ht="17" thickBot="1" x14ac:dyDescent="0.25">
      <c r="A6" s="46" t="str">
        <f>DataT15d!B7</f>
        <v>Latin America</v>
      </c>
      <c r="B6" s="47">
        <f>DataT15d!C7</f>
        <v>16241.887769471999</v>
      </c>
      <c r="C6" s="47">
        <f>DataT15d!D7</f>
        <v>13168.685840966</v>
      </c>
      <c r="D6" s="63">
        <f>DataT15d!E7</f>
        <v>29410.573253695999</v>
      </c>
      <c r="E6" s="43">
        <f>DataT15d!F7</f>
        <v>2.1212514821283319</v>
      </c>
      <c r="F6" s="43">
        <f>DataT15d!G7</f>
        <v>1.7198797796359606</v>
      </c>
      <c r="G6" s="105">
        <f>DataT15d!H7</f>
        <v>3.841131215172449</v>
      </c>
      <c r="J6" s="127"/>
      <c r="L6" s="126"/>
    </row>
    <row r="7" spans="1:12" ht="17" thickBot="1" x14ac:dyDescent="0.25">
      <c r="A7" s="46" t="str">
        <f>DataT15d!B8</f>
        <v>MENA</v>
      </c>
      <c r="B7" s="47">
        <f>DataT15d!C8</f>
        <v>12477.201827839999</v>
      </c>
      <c r="C7" s="47">
        <f>DataT15d!D8</f>
        <v>18901.612957696001</v>
      </c>
      <c r="D7" s="63">
        <f>DataT15d!E8</f>
        <v>31378.814787584</v>
      </c>
      <c r="E7" s="43">
        <f>DataT15d!F8</f>
        <v>1.887514514326494</v>
      </c>
      <c r="F7" s="43">
        <f>DataT15d!G8</f>
        <v>2.8593805962349488</v>
      </c>
      <c r="G7" s="105">
        <f>DataT15d!H8</f>
        <v>4.7468951108712583</v>
      </c>
      <c r="J7" s="127"/>
      <c r="L7" s="126"/>
    </row>
    <row r="8" spans="1:12" ht="17" thickBot="1" x14ac:dyDescent="0.25">
      <c r="A8" s="46" t="str">
        <f>DataT15d!B9</f>
        <v>North America &amp; Oceania</v>
      </c>
      <c r="B8" s="47">
        <f>DataT15d!C9</f>
        <v>75503.423249296</v>
      </c>
      <c r="C8" s="47">
        <f>DataT15d!D9</f>
        <v>138522.05531944599</v>
      </c>
      <c r="D8" s="63">
        <f>DataT15d!E9</f>
        <v>214025.47805827201</v>
      </c>
      <c r="E8" s="43">
        <f>DataT15d!F9</f>
        <v>2.1341489303392787</v>
      </c>
      <c r="F8" s="43">
        <f>DataT15d!G9</f>
        <v>3.9154078512744852</v>
      </c>
      <c r="G8" s="105">
        <f>DataT15d!H9</f>
        <v>6.0495567671850274</v>
      </c>
      <c r="J8" s="127"/>
      <c r="L8" s="126"/>
    </row>
    <row r="9" spans="1:12" ht="17" thickBot="1" x14ac:dyDescent="0.25">
      <c r="A9" s="46" t="str">
        <f>DataT15d!B10</f>
        <v>Russia &amp; Central Asia</v>
      </c>
      <c r="B9" s="47">
        <f>DataT15d!C10</f>
        <v>5738.3570104319997</v>
      </c>
      <c r="C9" s="47">
        <f>DataT15d!D10</f>
        <v>8179.3535160319998</v>
      </c>
      <c r="D9" s="63">
        <f>DataT15d!E10</f>
        <v>13917.711073279999</v>
      </c>
      <c r="E9" s="43">
        <f>DataT15d!F10</f>
        <v>1.5457943861397587</v>
      </c>
      <c r="F9" s="43">
        <f>DataT15d!G10</f>
        <v>2.2033482274367793</v>
      </c>
      <c r="G9" s="105">
        <f>DataT15d!H10</f>
        <v>3.7491427608774295</v>
      </c>
      <c r="J9" s="127"/>
      <c r="L9" s="126"/>
    </row>
    <row r="10" spans="1:12" ht="17" thickBot="1" x14ac:dyDescent="0.25">
      <c r="A10" s="46" t="str">
        <f>DataT15d!B11</f>
        <v>South &amp; South-East Asia</v>
      </c>
      <c r="B10" s="47">
        <f>DataT15d!C11</f>
        <v>25745.159790591999</v>
      </c>
      <c r="C10" s="47">
        <f>DataT15d!D11</f>
        <v>17208.15046144</v>
      </c>
      <c r="D10" s="63">
        <f>DataT15d!E11</f>
        <v>42953.310075173496</v>
      </c>
      <c r="E10" s="43">
        <f>DataT15d!F11</f>
        <v>2.71098491417689</v>
      </c>
      <c r="F10" s="43">
        <f>DataT15d!G11</f>
        <v>1.8120313364261007</v>
      </c>
      <c r="G10" s="105">
        <f>DataT15d!H11</f>
        <v>4.5230162319796561</v>
      </c>
      <c r="J10" s="127"/>
      <c r="L10" s="126"/>
    </row>
    <row r="11" spans="1:12" ht="17" thickBot="1" x14ac:dyDescent="0.25">
      <c r="A11" s="46" t="str">
        <f>DataT15d!B12</f>
        <v>Sub-Saharan Africa</v>
      </c>
      <c r="B11" s="47">
        <f>DataT15d!C12</f>
        <v>4088.73829888</v>
      </c>
      <c r="C11" s="47">
        <f>DataT15d!D12</f>
        <v>5191.7108912639997</v>
      </c>
      <c r="D11" s="63">
        <f>DataT15d!E12</f>
        <v>9280.4491745279993</v>
      </c>
      <c r="E11" s="43">
        <f>DataT15d!F12</f>
        <v>1.4722213709108662</v>
      </c>
      <c r="F11" s="43">
        <f>DataT15d!G12</f>
        <v>1.8693658451565001</v>
      </c>
      <c r="G11" s="105">
        <f>DataT15d!H12</f>
        <v>3.3415872104445539</v>
      </c>
      <c r="J11" s="127"/>
      <c r="L11" s="126"/>
    </row>
    <row r="12" spans="1:12" ht="18" thickBot="1" x14ac:dyDescent="0.25">
      <c r="A12" s="18" t="str">
        <f>DataT15d!B13</f>
        <v>World</v>
      </c>
      <c r="B12" s="63">
        <f>DataT15d!C13</f>
        <v>301227.33138612797</v>
      </c>
      <c r="C12" s="63">
        <f>DataT15d!D13</f>
        <v>353493.03213756398</v>
      </c>
      <c r="D12" s="63">
        <f>DataT15d!E13</f>
        <v>654720.36821030953</v>
      </c>
      <c r="E12" s="105">
        <f>DataT15d!F13</f>
        <v>2.4885157460178928</v>
      </c>
      <c r="F12" s="105">
        <f>DataT15d!G13</f>
        <v>2.9202960187378517</v>
      </c>
      <c r="G12" s="105">
        <f>DataT15d!H13</f>
        <v>5.4088118034730863</v>
      </c>
      <c r="J12" s="127"/>
      <c r="L12" s="126"/>
    </row>
    <row r="13" spans="1:12" ht="42" customHeight="1" x14ac:dyDescent="0.2">
      <c r="A13" s="207" t="s">
        <v>717</v>
      </c>
      <c r="B13" s="208"/>
      <c r="C13" s="208"/>
      <c r="D13" s="208"/>
      <c r="E13" s="208"/>
      <c r="F13" s="208"/>
      <c r="G13" s="209"/>
    </row>
    <row r="14" spans="1:12" ht="71" customHeight="1" thickBot="1" x14ac:dyDescent="0.25">
      <c r="A14" s="210"/>
      <c r="B14" s="211"/>
      <c r="C14" s="211"/>
      <c r="D14" s="211"/>
      <c r="E14" s="211"/>
      <c r="F14" s="211"/>
      <c r="G14" s="212"/>
    </row>
  </sheetData>
  <mergeCells count="4">
    <mergeCell ref="B2:D2"/>
    <mergeCell ref="E2:G2"/>
    <mergeCell ref="A1:G1"/>
    <mergeCell ref="A13:G1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23F44-0FDD-0149-9116-7EB370E2389A}">
  <sheetPr>
    <tabColor theme="7"/>
  </sheetPr>
  <dimension ref="A1:L14"/>
  <sheetViews>
    <sheetView workbookViewId="0">
      <selection activeCell="K7" sqref="K7"/>
    </sheetView>
  </sheetViews>
  <sheetFormatPr baseColWidth="10" defaultRowHeight="15" x14ac:dyDescent="0.2"/>
  <cols>
    <col min="1" max="1" width="24.6640625" customWidth="1"/>
    <col min="2" max="12" width="16.1640625" customWidth="1"/>
  </cols>
  <sheetData>
    <row r="1" spans="1:12" ht="16" thickBot="1" x14ac:dyDescent="0.25">
      <c r="A1" s="232" t="str">
        <f>DataT16a!B2</f>
        <v>Table 16a. National Capital shares by World Region PPP € (2025)</v>
      </c>
      <c r="B1" s="233">
        <f>DataT16a!C2</f>
        <v>0</v>
      </c>
      <c r="C1" s="233">
        <f>DataT16a!D2</f>
        <v>0</v>
      </c>
      <c r="D1" s="233">
        <f>DataT16a!E2</f>
        <v>0</v>
      </c>
      <c r="E1" s="233">
        <f>DataT16a!F2</f>
        <v>0</v>
      </c>
      <c r="F1" s="233">
        <f>DataT16a!G2</f>
        <v>0</v>
      </c>
      <c r="G1" s="233">
        <f>DataT16a!H2</f>
        <v>0</v>
      </c>
      <c r="H1" s="233">
        <f>DataT16a!I2</f>
        <v>0</v>
      </c>
      <c r="I1" s="233">
        <f>DataT16a!J2</f>
        <v>0</v>
      </c>
      <c r="J1" s="233">
        <f>DataT16a!K2</f>
        <v>0</v>
      </c>
      <c r="K1" s="233">
        <f>DataT16a!L2</f>
        <v>0</v>
      </c>
      <c r="L1" s="234">
        <f>DataT16a!M2</f>
        <v>0</v>
      </c>
    </row>
    <row r="2" spans="1:12" ht="35" thickBot="1" x14ac:dyDescent="0.25">
      <c r="A2" s="131"/>
      <c r="B2" s="1" t="str">
        <f>DataT16a!C3</f>
        <v>PPP 2025     billions €</v>
      </c>
      <c r="C2" s="130" t="str">
        <f>DataT16a!D3</f>
        <v>% of GDP</v>
      </c>
      <c r="D2" s="153" t="str">
        <f>DataT16a!E3</f>
        <v>PPP 2025  billions €</v>
      </c>
      <c r="E2" s="172">
        <f>DataT16a!F3</f>
        <v>0</v>
      </c>
      <c r="F2" s="172">
        <f>DataT16a!G3</f>
        <v>0</v>
      </c>
      <c r="G2" s="154">
        <f>DataT16a!H3</f>
        <v>0</v>
      </c>
      <c r="H2" s="235" t="str">
        <f>DataT16a!I3</f>
        <v>% of sector Gross Value Added</v>
      </c>
      <c r="I2" s="236">
        <f>DataT16a!J3</f>
        <v>0</v>
      </c>
      <c r="J2" s="236">
        <f>DataT16a!K3</f>
        <v>0</v>
      </c>
      <c r="K2" s="236">
        <f>DataT16a!L3</f>
        <v>0</v>
      </c>
      <c r="L2" s="237">
        <f>DataT16a!M3</f>
        <v>0</v>
      </c>
    </row>
    <row r="3" spans="1:12" ht="86" thickBot="1" x14ac:dyDescent="0.25">
      <c r="A3" s="132"/>
      <c r="B3" s="1" t="str">
        <f>DataT16a!C4</f>
        <v>Gross domestic product at factor-price</v>
      </c>
      <c r="C3" s="1" t="str">
        <f>DataT16a!D4</f>
        <v>Gross domestic product at factor-price as % of GDP</v>
      </c>
      <c r="D3" s="1" t="str">
        <f>DataT16a!E4</f>
        <v>Gross operating surplus of the government</v>
      </c>
      <c r="E3" s="1" t="str">
        <f>DataT16a!F4</f>
        <v xml:space="preserve"> Gross value added of the corporate sector</v>
      </c>
      <c r="F3" s="1" t="str">
        <f>DataT16a!G4</f>
        <v>Gross mixed income of household sector</v>
      </c>
      <c r="G3" s="1" t="str">
        <f>DataT16a!H4</f>
        <v>Gross operating surplus of household sector</v>
      </c>
      <c r="H3" s="1" t="str">
        <f>DataT16a!I4</f>
        <v>Capital share in the total Economy</v>
      </c>
      <c r="I3" s="1" t="str">
        <f>DataT16a!J4</f>
        <v>Capital share in the government</v>
      </c>
      <c r="J3" s="1" t="str">
        <f>DataT16a!K4</f>
        <v>Capital share in the corporate sector</v>
      </c>
      <c r="K3" s="1" t="str">
        <f>DataT16a!L4</f>
        <v>Capital share in the mixed income of household sector</v>
      </c>
      <c r="L3" s="1" t="str">
        <f>DataT16a!M4</f>
        <v>Capital share in the operating surplus of household sector</v>
      </c>
    </row>
    <row r="4" spans="1:12" ht="18" thickBot="1" x14ac:dyDescent="0.25">
      <c r="A4" s="1" t="str">
        <f>DataT16a!B5</f>
        <v>East Asia</v>
      </c>
      <c r="B4" s="2">
        <f>DataT16a!C5</f>
        <v>34422.473523200002</v>
      </c>
      <c r="C4" s="101">
        <f>DataT16a!D5</f>
        <v>0.92290119641413038</v>
      </c>
      <c r="D4" s="2">
        <f>DataT16a!E5</f>
        <v>695.79176543999995</v>
      </c>
      <c r="E4" s="2">
        <f>DataT16a!F5</f>
        <v>11739.23195904</v>
      </c>
      <c r="F4" s="2">
        <f>DataT16a!G5</f>
        <v>4756.5882854399997</v>
      </c>
      <c r="G4" s="2">
        <f>DataT16a!H5</f>
        <v>2702.6603948759998</v>
      </c>
      <c r="H4" s="84">
        <f>DataT16a!I5</f>
        <v>0.49503471684122857</v>
      </c>
      <c r="I4" s="101">
        <f>DataT16a!J5</f>
        <v>0.2018706946262486</v>
      </c>
      <c r="J4" s="101">
        <f>DataT16a!K5</f>
        <v>0.51358654621702404</v>
      </c>
      <c r="K4" s="101">
        <f>DataT16a!L5</f>
        <v>0.58590260017225571</v>
      </c>
      <c r="L4" s="101">
        <f>DataT16a!M5</f>
        <v>0.33290578408636545</v>
      </c>
    </row>
    <row r="5" spans="1:12" ht="18" thickBot="1" x14ac:dyDescent="0.25">
      <c r="A5" s="1" t="str">
        <f>DataT16a!B6</f>
        <v>Europe</v>
      </c>
      <c r="B5" s="2">
        <f>DataT16a!C6</f>
        <v>21505.111070335999</v>
      </c>
      <c r="C5" s="101">
        <f>DataT16a!D6</f>
        <v>0.89170918788797693</v>
      </c>
      <c r="D5" s="2">
        <f>DataT16a!E6</f>
        <v>633.57897857199998</v>
      </c>
      <c r="E5" s="2">
        <f>DataT16a!F6</f>
        <v>5993.4135558400003</v>
      </c>
      <c r="F5" s="2">
        <f>DataT16a!G6</f>
        <v>2030.5754200639999</v>
      </c>
      <c r="G5" s="2">
        <f>DataT16a!H6</f>
        <v>1545.9744016412501</v>
      </c>
      <c r="H5" s="84">
        <f>DataT16a!I6</f>
        <v>0.41781681920596858</v>
      </c>
      <c r="I5" s="101">
        <f>DataT16a!J6</f>
        <v>0.21009504274803065</v>
      </c>
      <c r="J5" s="101">
        <f>DataT16a!K6</f>
        <v>0.42447148459084166</v>
      </c>
      <c r="K5" s="101">
        <f>DataT16a!L6</f>
        <v>0.464691793308801</v>
      </c>
      <c r="L5" s="101">
        <f>DataT16a!M6</f>
        <v>0.35379213695275125</v>
      </c>
    </row>
    <row r="6" spans="1:12" ht="18" thickBot="1" x14ac:dyDescent="0.25">
      <c r="A6" s="1" t="str">
        <f>DataT16a!B7</f>
        <v>Latin America</v>
      </c>
      <c r="B6" s="2">
        <f>DataT16a!C7</f>
        <v>9032.328478464</v>
      </c>
      <c r="C6" s="101">
        <f>DataT16a!D7</f>
        <v>0.87505032109391856</v>
      </c>
      <c r="D6" s="2">
        <f>DataT16a!E7</f>
        <v>158.84138345599999</v>
      </c>
      <c r="E6" s="2">
        <f>DataT16a!F7</f>
        <v>3088.3059318159999</v>
      </c>
      <c r="F6" s="2">
        <f>DataT16a!G7</f>
        <v>1468.36270545</v>
      </c>
      <c r="G6" s="2">
        <f>DataT16a!H7</f>
        <v>661.96931194000001</v>
      </c>
      <c r="H6" s="84">
        <f>DataT16a!I7</f>
        <v>0.49781866548731291</v>
      </c>
      <c r="I6" s="101">
        <f>DataT16a!J7</f>
        <v>0.14445567484072658</v>
      </c>
      <c r="J6" s="101">
        <f>DataT16a!K7</f>
        <v>0.57334077120915605</v>
      </c>
      <c r="K6" s="101">
        <f>DataT16a!L7</f>
        <v>0.57668049045460346</v>
      </c>
      <c r="L6" s="101">
        <f>DataT16a!M7</f>
        <v>0.2599798987393</v>
      </c>
    </row>
    <row r="7" spans="1:12" ht="18" thickBot="1" x14ac:dyDescent="0.25">
      <c r="A7" s="1" t="str">
        <f>DataT16a!B8</f>
        <v>MENA</v>
      </c>
      <c r="B7" s="2">
        <f>DataT16a!C8</f>
        <v>9819.8234204159999</v>
      </c>
      <c r="C7" s="101">
        <f>DataT16a!D8</f>
        <v>0.92031800325633184</v>
      </c>
      <c r="D7" s="2">
        <f>DataT16a!E8</f>
        <v>177.41741177599999</v>
      </c>
      <c r="E7" s="2">
        <f>DataT16a!F8</f>
        <v>4434.0787281920002</v>
      </c>
      <c r="F7" s="2">
        <f>DataT16a!G8</f>
        <v>1657.9901358</v>
      </c>
      <c r="G7" s="2">
        <f>DataT16a!H8</f>
        <v>611.20191595999995</v>
      </c>
      <c r="H7" s="84">
        <f>DataT16a!I8</f>
        <v>0.59938899695598136</v>
      </c>
      <c r="I7" s="101">
        <f>DataT16a!J8</f>
        <v>0.15403322767628236</v>
      </c>
      <c r="J7" s="101">
        <f>DataT16a!K8</f>
        <v>0.7250850430698883</v>
      </c>
      <c r="K7" s="101">
        <f>DataT16a!L8</f>
        <v>0.64948988349960202</v>
      </c>
      <c r="L7" s="101">
        <f>DataT16a!M8</f>
        <v>0.23942811999906832</v>
      </c>
    </row>
    <row r="8" spans="1:12" ht="18" thickBot="1" x14ac:dyDescent="0.25">
      <c r="A8" s="1" t="str">
        <f>DataT16a!B9</f>
        <v>North America &amp; Oceania</v>
      </c>
      <c r="B8" s="2">
        <f>DataT16a!C9</f>
        <v>23089.542592580001</v>
      </c>
      <c r="C8" s="101">
        <f>DataT16a!D9</f>
        <v>0.94487972899971429</v>
      </c>
      <c r="D8" s="2">
        <f>DataT16a!E9</f>
        <v>893.67189565393755</v>
      </c>
      <c r="E8" s="2">
        <f>DataT16a!F9</f>
        <v>5618.7543942390002</v>
      </c>
      <c r="F8" s="2">
        <f>DataT16a!G9</f>
        <v>3298.8293016920002</v>
      </c>
      <c r="G8" s="2">
        <f>DataT16a!H9</f>
        <v>1674.74000337025</v>
      </c>
      <c r="H8" s="84">
        <f>DataT16a!I9</f>
        <v>0.41173176020364466</v>
      </c>
      <c r="I8" s="101">
        <f>DataT16a!J9</f>
        <v>0.31120847358756476</v>
      </c>
      <c r="J8" s="101">
        <f>DataT16a!K9</f>
        <v>0.42490859351620663</v>
      </c>
      <c r="K8" s="101">
        <f>DataT16a!L9</f>
        <v>0.47163307951939398</v>
      </c>
      <c r="L8" s="101">
        <f>DataT16a!M9</f>
        <v>0.2394373012203764</v>
      </c>
    </row>
    <row r="9" spans="1:12" ht="18" thickBot="1" x14ac:dyDescent="0.25">
      <c r="A9" s="1" t="str">
        <f>DataT16a!B10</f>
        <v>Russia &amp; Central Asia</v>
      </c>
      <c r="B9" s="2">
        <f>DataT16a!C10</f>
        <v>6241.1367219200001</v>
      </c>
      <c r="C9" s="101">
        <f>DataT16a!D10</f>
        <v>0.89015127144800743</v>
      </c>
      <c r="D9" s="2">
        <f>DataT16a!E10</f>
        <v>224.149868352</v>
      </c>
      <c r="E9" s="2">
        <f>DataT16a!F10</f>
        <v>2216.8356300800001</v>
      </c>
      <c r="F9" s="2">
        <f>DataT16a!G10</f>
        <v>537.50705459200003</v>
      </c>
      <c r="G9" s="2">
        <f>DataT16a!H10</f>
        <v>338.19204969600003</v>
      </c>
      <c r="H9" s="84">
        <f>DataT16a!I10</f>
        <v>0.47974920328995474</v>
      </c>
      <c r="I9" s="101">
        <f>DataT16a!J10</f>
        <v>0.24654078638770988</v>
      </c>
      <c r="J9" s="101">
        <f>DataT16a!K10</f>
        <v>0.50854317137999272</v>
      </c>
      <c r="K9" s="101">
        <f>DataT16a!L10</f>
        <v>0.5525540032113907</v>
      </c>
      <c r="L9" s="101">
        <f>DataT16a!M10</f>
        <v>0.34765938291849108</v>
      </c>
    </row>
    <row r="10" spans="1:12" ht="18" thickBot="1" x14ac:dyDescent="0.25">
      <c r="A10" s="1" t="str">
        <f>DataT16a!B11</f>
        <v>South &amp; South-East Asia</v>
      </c>
      <c r="B10" s="2">
        <f>DataT16a!C11</f>
        <v>21807.427310592</v>
      </c>
      <c r="C10" s="101">
        <f>DataT16a!D11</f>
        <v>0.91849544590426402</v>
      </c>
      <c r="D10" s="2">
        <f>DataT16a!E11</f>
        <v>520.63367116200004</v>
      </c>
      <c r="E10" s="2">
        <f>DataT16a!F11</f>
        <v>6189.7953253599999</v>
      </c>
      <c r="F10" s="2">
        <f>DataT16a!G11</f>
        <v>5064.230810176</v>
      </c>
      <c r="G10" s="2">
        <f>DataT16a!H11</f>
        <v>1834.808823656</v>
      </c>
      <c r="H10" s="84">
        <f>DataT16a!I11</f>
        <v>0.48473990047941307</v>
      </c>
      <c r="I10" s="101">
        <f>DataT16a!J11</f>
        <v>0.21878190125986896</v>
      </c>
      <c r="J10" s="101">
        <f>DataT16a!K11</f>
        <v>0.56042704296094048</v>
      </c>
      <c r="K10" s="101">
        <f>DataT16a!L11</f>
        <v>0.60411072551402067</v>
      </c>
      <c r="L10" s="101">
        <f>DataT16a!M11</f>
        <v>0.21887384899817217</v>
      </c>
    </row>
    <row r="11" spans="1:12" ht="18" thickBot="1" x14ac:dyDescent="0.25">
      <c r="A11" s="1" t="str">
        <f>DataT16a!B12</f>
        <v>Sub-Saharan Africa</v>
      </c>
      <c r="B11" s="2">
        <f>DataT16a!C12</f>
        <v>4917.3082154240001</v>
      </c>
      <c r="C11" s="101">
        <f>DataT16a!D12</f>
        <v>0.92801440317359229</v>
      </c>
      <c r="D11" s="2">
        <f>DataT16a!E12</f>
        <v>104.489519863</v>
      </c>
      <c r="E11" s="2">
        <f>DataT16a!F12</f>
        <v>1391.1884397440001</v>
      </c>
      <c r="F11" s="2">
        <f>DataT16a!G12</f>
        <v>1583.521992016</v>
      </c>
      <c r="G11" s="2">
        <f>DataT16a!H12</f>
        <v>342.35023608799997</v>
      </c>
      <c r="H11" s="84">
        <f>DataT16a!I12</f>
        <v>0.50259956956720842</v>
      </c>
      <c r="I11" s="101">
        <f>DataT16a!J12</f>
        <v>0.15873016396380024</v>
      </c>
      <c r="J11" s="101">
        <f>DataT16a!K12</f>
        <v>0.64575755280322744</v>
      </c>
      <c r="K11" s="101">
        <f>DataT16a!L12</f>
        <v>0.75238375637875987</v>
      </c>
      <c r="L11" s="101">
        <f>DataT16a!M12</f>
        <v>0.16266193833981316</v>
      </c>
    </row>
    <row r="12" spans="1:12" ht="18" thickBot="1" x14ac:dyDescent="0.25">
      <c r="A12" s="74" t="str">
        <f>DataT16a!B13</f>
        <v>World</v>
      </c>
      <c r="B12" s="17">
        <f>DataT16a!C13</f>
        <v>130835.151332932</v>
      </c>
      <c r="C12" s="84">
        <f>DataT16a!D13</f>
        <v>0.91559669557762502</v>
      </c>
      <c r="D12" s="17">
        <f>DataT16a!E13</f>
        <v>3408.5744942749375</v>
      </c>
      <c r="E12" s="17">
        <f>DataT16a!F13</f>
        <v>40671.603964310998</v>
      </c>
      <c r="F12" s="17">
        <f>DataT16a!G13</f>
        <v>20397.605705229998</v>
      </c>
      <c r="G12" s="17">
        <f>DataT16a!H13</f>
        <v>9711.8971372274991</v>
      </c>
      <c r="H12" s="84">
        <f>DataT16a!I13</f>
        <v>0.47350514939414423</v>
      </c>
      <c r="I12" s="84">
        <f>DataT16a!J13</f>
        <v>0.21944690323075919</v>
      </c>
      <c r="J12" s="84">
        <f>DataT16a!K13</f>
        <v>0.51313774819197644</v>
      </c>
      <c r="K12" s="84">
        <f>DataT16a!L13</f>
        <v>0.56594013176153934</v>
      </c>
      <c r="L12" s="84">
        <f>DataT16a!M13</f>
        <v>0.269460662438816</v>
      </c>
    </row>
    <row r="13" spans="1:12" ht="24" customHeight="1" x14ac:dyDescent="0.2">
      <c r="A13" s="166" t="s">
        <v>740</v>
      </c>
      <c r="B13" s="167"/>
      <c r="C13" s="167"/>
      <c r="D13" s="167"/>
      <c r="E13" s="167"/>
      <c r="F13" s="167"/>
      <c r="G13" s="167"/>
      <c r="H13" s="167"/>
      <c r="I13" s="167"/>
      <c r="J13" s="167"/>
      <c r="K13" s="167"/>
      <c r="L13" s="168"/>
    </row>
    <row r="14" spans="1:12" ht="39" customHeight="1" thickBot="1" x14ac:dyDescent="0.25">
      <c r="A14" s="169"/>
      <c r="B14" s="170"/>
      <c r="C14" s="170"/>
      <c r="D14" s="170"/>
      <c r="E14" s="170"/>
      <c r="F14" s="170"/>
      <c r="G14" s="170"/>
      <c r="H14" s="170"/>
      <c r="I14" s="170"/>
      <c r="J14" s="170"/>
      <c r="K14" s="170"/>
      <c r="L14" s="171"/>
    </row>
  </sheetData>
  <mergeCells count="4">
    <mergeCell ref="A1:L1"/>
    <mergeCell ref="D2:G2"/>
    <mergeCell ref="H2:L2"/>
    <mergeCell ref="A13:L1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9DD11-0B9A-7E4D-A477-641A6768725A}">
  <sheetPr>
    <tabColor theme="7"/>
  </sheetPr>
  <dimension ref="A1:L14"/>
  <sheetViews>
    <sheetView workbookViewId="0">
      <selection activeCell="D16" sqref="D16"/>
    </sheetView>
  </sheetViews>
  <sheetFormatPr baseColWidth="10" defaultRowHeight="15" x14ac:dyDescent="0.2"/>
  <cols>
    <col min="1" max="1" width="24.5" customWidth="1"/>
    <col min="2" max="12" width="16.1640625" customWidth="1"/>
  </cols>
  <sheetData>
    <row r="1" spans="1:12" ht="16" thickBot="1" x14ac:dyDescent="0.25">
      <c r="A1" s="232" t="str">
        <f>DataT16b!B2</f>
        <v>Table 16b. National Capital shares by World Region PPP $ (2025)</v>
      </c>
      <c r="B1" s="233">
        <f>DataT16b!C2</f>
        <v>0</v>
      </c>
      <c r="C1" s="233">
        <f>DataT16b!D2</f>
        <v>0</v>
      </c>
      <c r="D1" s="233">
        <f>DataT16b!E2</f>
        <v>0</v>
      </c>
      <c r="E1" s="233">
        <f>DataT16b!F2</f>
        <v>0</v>
      </c>
      <c r="F1" s="233">
        <f>DataT16b!G2</f>
        <v>0</v>
      </c>
      <c r="G1" s="233">
        <f>DataT16b!H2</f>
        <v>0</v>
      </c>
      <c r="H1" s="233">
        <f>DataT16b!I2</f>
        <v>0</v>
      </c>
      <c r="I1" s="233">
        <f>DataT16b!J2</f>
        <v>0</v>
      </c>
      <c r="J1" s="233">
        <f>DataT16b!K2</f>
        <v>0</v>
      </c>
      <c r="K1" s="233">
        <f>DataT16b!L2</f>
        <v>0</v>
      </c>
      <c r="L1" s="234">
        <f>DataT16b!M2</f>
        <v>0</v>
      </c>
    </row>
    <row r="2" spans="1:12" ht="35" thickBot="1" x14ac:dyDescent="0.25">
      <c r="A2" s="131"/>
      <c r="B2" s="1" t="str">
        <f>DataT16b!C3</f>
        <v>PPP 2025     billions $</v>
      </c>
      <c r="C2" s="130" t="str">
        <f>DataT16b!D3</f>
        <v>% of GDP</v>
      </c>
      <c r="D2" s="153" t="str">
        <f>DataT16b!E3</f>
        <v>PPP 2025  billions $</v>
      </c>
      <c r="E2" s="172">
        <f>DataT16b!F3</f>
        <v>0</v>
      </c>
      <c r="F2" s="172">
        <f>DataT16b!G3</f>
        <v>0</v>
      </c>
      <c r="G2" s="154">
        <f>DataT16b!H3</f>
        <v>0</v>
      </c>
      <c r="H2" s="235" t="str">
        <f>DataT16b!I3</f>
        <v>% of sector Gross Value Added</v>
      </c>
      <c r="I2" s="236">
        <f>DataT16b!J3</f>
        <v>0</v>
      </c>
      <c r="J2" s="236">
        <f>DataT16b!K3</f>
        <v>0</v>
      </c>
      <c r="K2" s="236">
        <f>DataT16b!L3</f>
        <v>0</v>
      </c>
      <c r="L2" s="237">
        <f>DataT16b!M3</f>
        <v>0</v>
      </c>
    </row>
    <row r="3" spans="1:12" ht="86" thickBot="1" x14ac:dyDescent="0.25">
      <c r="A3" s="132"/>
      <c r="B3" s="1" t="str">
        <f>DataT16b!C4</f>
        <v>Gross domestic product at factor-price</v>
      </c>
      <c r="C3" s="1" t="str">
        <f>DataT16b!D4</f>
        <v>Gross domestic product at factor-price as % of GDP</v>
      </c>
      <c r="D3" s="1" t="str">
        <f>DataT16b!E4</f>
        <v>Gross operating surplus of the government</v>
      </c>
      <c r="E3" s="1" t="str">
        <f>DataT16b!F4</f>
        <v xml:space="preserve"> Gross value added of the corporate sector</v>
      </c>
      <c r="F3" s="1" t="str">
        <f>DataT16b!G4</f>
        <v>Gross mixed income of household sector</v>
      </c>
      <c r="G3" s="1" t="str">
        <f>DataT16b!H4</f>
        <v>Gross operating surplus of household sector</v>
      </c>
      <c r="H3" s="1" t="str">
        <f>DataT16b!I4</f>
        <v>Capital share in the total Economy</v>
      </c>
      <c r="I3" s="1" t="str">
        <f>DataT16b!J4</f>
        <v>Capital share in the government</v>
      </c>
      <c r="J3" s="1" t="str">
        <f>DataT16b!K4</f>
        <v>Capital share in the corporate sector</v>
      </c>
      <c r="K3" s="1" t="str">
        <f>DataT16b!L4</f>
        <v>Capital share in the mixed income of household sector</v>
      </c>
      <c r="L3" s="1" t="str">
        <f>DataT16b!M4</f>
        <v>Capital share in the operating surplus of household sector</v>
      </c>
    </row>
    <row r="4" spans="1:12" ht="18" thickBot="1" x14ac:dyDescent="0.25">
      <c r="A4" s="1" t="str">
        <f>DataT16b!B5</f>
        <v>East Asia</v>
      </c>
      <c r="B4" s="2">
        <f>DataT16b!C5</f>
        <v>50770.245799935998</v>
      </c>
      <c r="C4" s="101">
        <f>DataT16b!D5</f>
        <v>0.92290116845496906</v>
      </c>
      <c r="D4" s="2">
        <f>DataT16b!E5</f>
        <v>1026.23421568</v>
      </c>
      <c r="E4" s="2">
        <f>DataT16b!F5</f>
        <v>17314.377658368001</v>
      </c>
      <c r="F4" s="2">
        <f>DataT16b!G5</f>
        <v>7015.5670804479996</v>
      </c>
      <c r="G4" s="2">
        <f>DataT16b!H5</f>
        <v>3986.196312952</v>
      </c>
      <c r="H4" s="84">
        <f>DataT16b!I5</f>
        <v>0.49503473192187858</v>
      </c>
      <c r="I4" s="101">
        <f>DataT16b!J5</f>
        <v>0.20187069801726071</v>
      </c>
      <c r="J4" s="101">
        <f>DataT16b!K5</f>
        <v>0.51358655049551871</v>
      </c>
      <c r="K4" s="101">
        <f>DataT16b!L5</f>
        <v>0.58590263238690454</v>
      </c>
      <c r="L4" s="101">
        <f>DataT16b!M5</f>
        <v>0.33290579167556161</v>
      </c>
    </row>
    <row r="5" spans="1:12" ht="18" thickBot="1" x14ac:dyDescent="0.25">
      <c r="A5" s="1" t="str">
        <f>DataT16b!B6</f>
        <v>Europe</v>
      </c>
      <c r="B5" s="2">
        <f>DataT16b!C6</f>
        <v>31718.225058815999</v>
      </c>
      <c r="C5" s="101">
        <f>DataT16b!D6</f>
        <v>0.89170920088131223</v>
      </c>
      <c r="D5" s="2">
        <f>DataT16b!E6</f>
        <v>934.47555283999998</v>
      </c>
      <c r="E5" s="2">
        <f>DataT16b!F6</f>
        <v>8839.7793857279994</v>
      </c>
      <c r="F5" s="2">
        <f>DataT16b!G6</f>
        <v>2994.9274283200002</v>
      </c>
      <c r="G5" s="2">
        <f>DataT16b!H6</f>
        <v>2280.181827548719</v>
      </c>
      <c r="H5" s="84">
        <f>DataT16b!I6</f>
        <v>0.41781681392544523</v>
      </c>
      <c r="I5" s="101">
        <f>DataT16b!J6</f>
        <v>0.21009504429603082</v>
      </c>
      <c r="J5" s="101">
        <f>DataT16b!K6</f>
        <v>0.42447148320866279</v>
      </c>
      <c r="K5" s="101">
        <f>DataT16b!L6</f>
        <v>0.46469178936686412</v>
      </c>
      <c r="L5" s="101">
        <f>DataT16b!M6</f>
        <v>0.35379213649921099</v>
      </c>
    </row>
    <row r="6" spans="1:12" ht="18" thickBot="1" x14ac:dyDescent="0.25">
      <c r="A6" s="1" t="str">
        <f>DataT16b!B7</f>
        <v>Latin America</v>
      </c>
      <c r="B6" s="2">
        <f>DataT16b!C7</f>
        <v>13321.922660959999</v>
      </c>
      <c r="C6" s="101">
        <f>DataT16b!D7</f>
        <v>0.87505033883187167</v>
      </c>
      <c r="D6" s="2">
        <f>DataT16b!E7</f>
        <v>234.27764531700001</v>
      </c>
      <c r="E6" s="2">
        <f>DataT16b!F7</f>
        <v>4554.9907737679996</v>
      </c>
      <c r="F6" s="2">
        <f>DataT16b!G7</f>
        <v>2165.7111475860002</v>
      </c>
      <c r="G6" s="2">
        <f>DataT16b!H7</f>
        <v>976.34891887200001</v>
      </c>
      <c r="H6" s="84">
        <f>DataT16b!I7</f>
        <v>0.4978186682036701</v>
      </c>
      <c r="I6" s="101">
        <f>DataT16b!J7</f>
        <v>0.14445567899991696</v>
      </c>
      <c r="J6" s="101">
        <f>DataT16b!K7</f>
        <v>0.57334076639775422</v>
      </c>
      <c r="K6" s="101">
        <f>DataT16b!L7</f>
        <v>0.57668048089701351</v>
      </c>
      <c r="L6" s="101">
        <f>DataT16b!M7</f>
        <v>0.25997989837470969</v>
      </c>
    </row>
    <row r="7" spans="1:12" ht="18" thickBot="1" x14ac:dyDescent="0.25">
      <c r="A7" s="1" t="str">
        <f>DataT16b!B8</f>
        <v>MENA</v>
      </c>
      <c r="B7" s="2">
        <f>DataT16b!C8</f>
        <v>14483.411603455999</v>
      </c>
      <c r="C7" s="101">
        <f>DataT16b!D8</f>
        <v>0.92031800535235975</v>
      </c>
      <c r="D7" s="2">
        <f>DataT16b!E8</f>
        <v>261.67572508799998</v>
      </c>
      <c r="E7" s="2">
        <f>DataT16b!F8</f>
        <v>6539.8923361280004</v>
      </c>
      <c r="F7" s="2">
        <f>DataT16b!G8</f>
        <v>2445.395687832</v>
      </c>
      <c r="G7" s="2">
        <f>DataT16b!H8</f>
        <v>901.47128364800005</v>
      </c>
      <c r="H7" s="84">
        <f>DataT16b!I8</f>
        <v>0.59938900154748842</v>
      </c>
      <c r="I7" s="101">
        <f>DataT16b!J8</f>
        <v>0.15403322793095911</v>
      </c>
      <c r="J7" s="101">
        <f>DataT16b!K8</f>
        <v>0.72508504625847137</v>
      </c>
      <c r="K7" s="101">
        <f>DataT16b!L8</f>
        <v>0.64948989272192437</v>
      </c>
      <c r="L7" s="101">
        <f>DataT16b!M8</f>
        <v>0.23942811800225064</v>
      </c>
    </row>
    <row r="8" spans="1:12" ht="18" thickBot="1" x14ac:dyDescent="0.25">
      <c r="A8" s="1" t="str">
        <f>DataT16b!B9</f>
        <v>North America &amp; Oceania</v>
      </c>
      <c r="B8" s="2">
        <f>DataT16b!C9</f>
        <v>34055.125910952003</v>
      </c>
      <c r="C8" s="101">
        <f>DataT16b!D9</f>
        <v>0.94487965249782213</v>
      </c>
      <c r="D8" s="2">
        <f>DataT16b!E9</f>
        <v>1318.0905568329374</v>
      </c>
      <c r="E8" s="2">
        <f>DataT16b!F9</f>
        <v>8287.1887446510009</v>
      </c>
      <c r="F8" s="2">
        <f>DataT16b!G9</f>
        <v>4865.4948627354997</v>
      </c>
      <c r="G8" s="2">
        <f>DataT16b!H9</f>
        <v>2470.1002894140001</v>
      </c>
      <c r="H8" s="84">
        <f>DataT16b!I9</f>
        <v>0.41173177784325415</v>
      </c>
      <c r="I8" s="101">
        <f>DataT16b!J9</f>
        <v>0.31120845681291848</v>
      </c>
      <c r="J8" s="101">
        <f>DataT16b!K9</f>
        <v>0.42490860186841672</v>
      </c>
      <c r="K8" s="101">
        <f>DataT16b!L9</f>
        <v>0.47163310416987919</v>
      </c>
      <c r="L8" s="101">
        <f>DataT16b!M9</f>
        <v>0.23943732343235094</v>
      </c>
    </row>
    <row r="9" spans="1:12" ht="18" thickBot="1" x14ac:dyDescent="0.25">
      <c r="A9" s="1" t="str">
        <f>DataT16b!B10</f>
        <v>Russia &amp; Central Asia</v>
      </c>
      <c r="B9" s="2">
        <f>DataT16b!C10</f>
        <v>9205.1502571519995</v>
      </c>
      <c r="C9" s="101">
        <f>DataT16b!D10</f>
        <v>0.89015128192105197</v>
      </c>
      <c r="D9" s="2">
        <f>DataT16b!E10</f>
        <v>330.602141824</v>
      </c>
      <c r="E9" s="2">
        <f>DataT16b!F10</f>
        <v>3269.6456048639998</v>
      </c>
      <c r="F9" s="2">
        <f>DataT16b!G10</f>
        <v>792.77759078400004</v>
      </c>
      <c r="G9" s="2">
        <f>DataT16b!H10</f>
        <v>498.80475039999999</v>
      </c>
      <c r="H9" s="84">
        <f>DataT16b!I10</f>
        <v>0.47974920669767812</v>
      </c>
      <c r="I9" s="101">
        <f>DataT16b!J10</f>
        <v>0.24654077398814961</v>
      </c>
      <c r="J9" s="101">
        <f>DataT16b!K10</f>
        <v>0.50854317410760019</v>
      </c>
      <c r="K9" s="101">
        <f>DataT16b!L10</f>
        <v>0.55255402265895759</v>
      </c>
      <c r="L9" s="101">
        <f>DataT16b!M10</f>
        <v>0.34765938714583533</v>
      </c>
    </row>
    <row r="10" spans="1:12" ht="18" thickBot="1" x14ac:dyDescent="0.25">
      <c r="A10" s="1" t="str">
        <f>DataT16b!B11</f>
        <v>South &amp; South-East Asia</v>
      </c>
      <c r="B10" s="2">
        <f>DataT16b!C11</f>
        <v>32164.117648383999</v>
      </c>
      <c r="C10" s="101">
        <f>DataT16b!D11</f>
        <v>0.91849546868429754</v>
      </c>
      <c r="D10" s="2">
        <f>DataT16b!E11</f>
        <v>767.89078625599996</v>
      </c>
      <c r="E10" s="2">
        <f>DataT16b!F11</f>
        <v>9129.4263018559996</v>
      </c>
      <c r="F10" s="2">
        <f>DataT16b!G11</f>
        <v>7469.3135176960004</v>
      </c>
      <c r="G10" s="2">
        <f>DataT16b!H11</f>
        <v>2706.1883049600001</v>
      </c>
      <c r="H10" s="84">
        <f>DataT16b!I11</f>
        <v>0.48473988842450771</v>
      </c>
      <c r="I10" s="101">
        <f>DataT16b!J11</f>
        <v>0.21878190841561077</v>
      </c>
      <c r="J10" s="101">
        <f>DataT16b!K11</f>
        <v>0.56042702513659659</v>
      </c>
      <c r="K10" s="101">
        <f>DataT16b!L11</f>
        <v>0.60411072347987349</v>
      </c>
      <c r="L10" s="101">
        <f>DataT16b!M11</f>
        <v>0.21887384575690477</v>
      </c>
    </row>
    <row r="11" spans="1:12" ht="18" thickBot="1" x14ac:dyDescent="0.25">
      <c r="A11" s="1" t="str">
        <f>DataT16b!B12</f>
        <v>Sub-Saharan Africa</v>
      </c>
      <c r="B11" s="2">
        <f>DataT16b!C12</f>
        <v>7252.61525824</v>
      </c>
      <c r="C11" s="101">
        <f>DataT16b!D12</f>
        <v>0.92801443011443596</v>
      </c>
      <c r="D11" s="2">
        <f>DataT16b!E12</f>
        <v>154.11323492700001</v>
      </c>
      <c r="E11" s="2">
        <f>DataT16b!F12</f>
        <v>2051.8856949440001</v>
      </c>
      <c r="F11" s="2">
        <f>DataT16b!G12</f>
        <v>2335.5614727040002</v>
      </c>
      <c r="G11" s="2">
        <f>DataT16b!H12</f>
        <v>504.937729596</v>
      </c>
      <c r="H11" s="84">
        <f>DataT16b!I12</f>
        <v>0.50259956150399399</v>
      </c>
      <c r="I11" s="101">
        <f>DataT16b!J12</f>
        <v>0.1587301648549922</v>
      </c>
      <c r="J11" s="101">
        <f>DataT16b!K12</f>
        <v>0.64575756023419606</v>
      </c>
      <c r="K11" s="101">
        <f>DataT16b!L12</f>
        <v>0.75238375152230086</v>
      </c>
      <c r="L11" s="101">
        <f>DataT16b!M12</f>
        <v>0.1626619327808802</v>
      </c>
    </row>
    <row r="12" spans="1:12" ht="18" thickBot="1" x14ac:dyDescent="0.25">
      <c r="A12" s="74" t="str">
        <f>DataT16b!B13</f>
        <v>World</v>
      </c>
      <c r="B12" s="17">
        <f>DataT16b!C13</f>
        <v>192970.81419789599</v>
      </c>
      <c r="C12" s="84">
        <f>DataT16b!D13</f>
        <v>0.91559668449030196</v>
      </c>
      <c r="D12" s="17">
        <f>DataT16b!E13</f>
        <v>5027.3598587649376</v>
      </c>
      <c r="E12" s="17">
        <f>DataT16b!F13</f>
        <v>59987.186500306998</v>
      </c>
      <c r="F12" s="17">
        <f>DataT16b!G13</f>
        <v>30084.748788105499</v>
      </c>
      <c r="G12" s="17">
        <f>DataT16b!H13</f>
        <v>14324.229417390719</v>
      </c>
      <c r="H12" s="84">
        <f>DataT16b!I13</f>
        <v>0.47350515502308077</v>
      </c>
      <c r="I12" s="84">
        <f>DataT16b!J13</f>
        <v>0.2194469011995295</v>
      </c>
      <c r="J12" s="84">
        <f>DataT16b!K13</f>
        <v>0.51313774989832139</v>
      </c>
      <c r="K12" s="84">
        <f>DataT16b!L13</f>
        <v>0.56594014560178219</v>
      </c>
      <c r="L12" s="84">
        <f>DataT16b!M13</f>
        <v>0.26946066723736561</v>
      </c>
    </row>
    <row r="13" spans="1:12" ht="34" customHeight="1" x14ac:dyDescent="0.2">
      <c r="A13" s="166" t="s">
        <v>739</v>
      </c>
      <c r="B13" s="167"/>
      <c r="C13" s="167"/>
      <c r="D13" s="167"/>
      <c r="E13" s="167"/>
      <c r="F13" s="167"/>
      <c r="G13" s="167"/>
      <c r="H13" s="167"/>
      <c r="I13" s="167"/>
      <c r="J13" s="167"/>
      <c r="K13" s="167"/>
      <c r="L13" s="168"/>
    </row>
    <row r="14" spans="1:12" ht="30" customHeight="1" thickBot="1" x14ac:dyDescent="0.25">
      <c r="A14" s="169"/>
      <c r="B14" s="170"/>
      <c r="C14" s="170"/>
      <c r="D14" s="170"/>
      <c r="E14" s="170"/>
      <c r="F14" s="170"/>
      <c r="G14" s="170"/>
      <c r="H14" s="170"/>
      <c r="I14" s="170"/>
      <c r="J14" s="170"/>
      <c r="K14" s="170"/>
      <c r="L14" s="171"/>
    </row>
  </sheetData>
  <mergeCells count="4">
    <mergeCell ref="A1:L1"/>
    <mergeCell ref="D2:G2"/>
    <mergeCell ref="H2:L2"/>
    <mergeCell ref="A13:L1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58256-BEBB-FA4B-A50C-E4E8B0E139C8}">
  <sheetPr>
    <tabColor theme="7"/>
  </sheetPr>
  <dimension ref="A1:L14"/>
  <sheetViews>
    <sheetView workbookViewId="0">
      <selection activeCell="I16" sqref="I16"/>
    </sheetView>
  </sheetViews>
  <sheetFormatPr baseColWidth="10" defaultRowHeight="15" x14ac:dyDescent="0.2"/>
  <cols>
    <col min="1" max="1" width="24.5" customWidth="1"/>
    <col min="2" max="12" width="16" customWidth="1"/>
  </cols>
  <sheetData>
    <row r="1" spans="1:12" ht="16" thickBot="1" x14ac:dyDescent="0.25">
      <c r="A1" s="232" t="str">
        <f>DataT16c!B2</f>
        <v>Table 16c. National Capital shares by World Region MER € (2025)</v>
      </c>
      <c r="B1" s="233">
        <f>DataT16c!C2</f>
        <v>0</v>
      </c>
      <c r="C1" s="233">
        <f>DataT16c!D2</f>
        <v>0</v>
      </c>
      <c r="D1" s="233">
        <f>DataT16c!E2</f>
        <v>0</v>
      </c>
      <c r="E1" s="233">
        <f>DataT16c!F2</f>
        <v>0</v>
      </c>
      <c r="F1" s="233">
        <f>DataT16c!G2</f>
        <v>0</v>
      </c>
      <c r="G1" s="233">
        <f>DataT16c!H2</f>
        <v>0</v>
      </c>
      <c r="H1" s="233">
        <f>DataT16c!I2</f>
        <v>0</v>
      </c>
      <c r="I1" s="233">
        <f>DataT16c!J2</f>
        <v>0</v>
      </c>
      <c r="J1" s="233">
        <f>DataT16c!K2</f>
        <v>0</v>
      </c>
      <c r="K1" s="233">
        <f>DataT16c!L2</f>
        <v>0</v>
      </c>
      <c r="L1" s="234">
        <f>DataT16c!M2</f>
        <v>0</v>
      </c>
    </row>
    <row r="2" spans="1:12" ht="18" thickBot="1" x14ac:dyDescent="0.25">
      <c r="A2" s="131"/>
      <c r="B2" s="1" t="str">
        <f>DataT16c!C3</f>
        <v xml:space="preserve"> Billions €</v>
      </c>
      <c r="C2" s="130" t="str">
        <f>DataT16c!D3</f>
        <v>% of GDP</v>
      </c>
      <c r="D2" s="153" t="str">
        <f>DataT16c!E3</f>
        <v>Billions €</v>
      </c>
      <c r="E2" s="172">
        <f>DataT16c!F3</f>
        <v>0</v>
      </c>
      <c r="F2" s="172">
        <f>DataT16c!G3</f>
        <v>0</v>
      </c>
      <c r="G2" s="154">
        <f>DataT16c!H3</f>
        <v>0</v>
      </c>
      <c r="H2" s="235" t="str">
        <f>DataT16c!I3</f>
        <v>% of sector Gross Value Added</v>
      </c>
      <c r="I2" s="236">
        <f>DataT16c!J3</f>
        <v>0</v>
      </c>
      <c r="J2" s="236">
        <f>DataT16c!K3</f>
        <v>0</v>
      </c>
      <c r="K2" s="236">
        <f>DataT16c!L3</f>
        <v>0</v>
      </c>
      <c r="L2" s="237">
        <f>DataT16c!M3</f>
        <v>0</v>
      </c>
    </row>
    <row r="3" spans="1:12" ht="86" thickBot="1" x14ac:dyDescent="0.25">
      <c r="A3" s="132"/>
      <c r="B3" s="1" t="str">
        <f>DataT16c!C4</f>
        <v>Gross domestic product at factor-price</v>
      </c>
      <c r="C3" s="1" t="str">
        <f>DataT16c!D4</f>
        <v>Gross domestic product at factor-price as % of GDP</v>
      </c>
      <c r="D3" s="1" t="str">
        <f>DataT16c!E4</f>
        <v>Gross operating surplus of the government</v>
      </c>
      <c r="E3" s="1" t="str">
        <f>DataT16c!F4</f>
        <v xml:space="preserve"> Gross value added of the corporate sector</v>
      </c>
      <c r="F3" s="1" t="str">
        <f>DataT16c!G4</f>
        <v>Gross mixed income of household sector</v>
      </c>
      <c r="G3" s="1" t="str">
        <f>DataT16c!H4</f>
        <v>Gross operating surplus of household sector</v>
      </c>
      <c r="H3" s="1" t="str">
        <f>DataT16c!I4</f>
        <v>Capital share in the total Economy</v>
      </c>
      <c r="I3" s="1" t="str">
        <f>DataT16c!J4</f>
        <v>Capital share in the government</v>
      </c>
      <c r="J3" s="1" t="str">
        <f>DataT16c!K4</f>
        <v>Capital share in the corporate sector</v>
      </c>
      <c r="K3" s="1" t="str">
        <f>DataT16c!L4</f>
        <v>Capital share in the mixed income of household sector</v>
      </c>
      <c r="L3" s="1" t="str">
        <f>DataT16c!M4</f>
        <v>Capital share in the operating surplus of household sector</v>
      </c>
    </row>
    <row r="4" spans="1:12" ht="18" thickBot="1" x14ac:dyDescent="0.25">
      <c r="A4" s="1" t="str">
        <f>DataT16c!B5</f>
        <v>East Asia</v>
      </c>
      <c r="B4" s="2">
        <f>DataT16c!C5</f>
        <v>21452.418316288</v>
      </c>
      <c r="C4" s="101">
        <f>DataT16c!D5</f>
        <v>0.92405166121066906</v>
      </c>
      <c r="D4" s="2">
        <f>DataT16c!E5</f>
        <v>449.77817206399999</v>
      </c>
      <c r="E4" s="2">
        <f>DataT16c!F5</f>
        <v>7324.2233095680003</v>
      </c>
      <c r="F4" s="2">
        <f>DataT16c!G5</f>
        <v>2820.132147712</v>
      </c>
      <c r="G4" s="2">
        <f>DataT16c!H5</f>
        <v>1665.5365909699999</v>
      </c>
      <c r="H4" s="84">
        <f>DataT16c!I5</f>
        <v>0.49260604449724132</v>
      </c>
      <c r="I4" s="101">
        <f>DataT16c!J5</f>
        <v>0.21042602042277375</v>
      </c>
      <c r="J4" s="101">
        <f>DataT16c!K5</f>
        <v>0.50809183772582922</v>
      </c>
      <c r="K4" s="101">
        <f>DataT16c!L5</f>
        <v>0.57556097927955896</v>
      </c>
      <c r="L4" s="101">
        <f>DataT16c!M5</f>
        <v>0.33991948643341668</v>
      </c>
    </row>
    <row r="5" spans="1:12" ht="18" thickBot="1" x14ac:dyDescent="0.25">
      <c r="A5" s="1" t="str">
        <f>DataT16c!B6</f>
        <v>Europe</v>
      </c>
      <c r="B5" s="2">
        <f>DataT16c!C6</f>
        <v>21265.325951616</v>
      </c>
      <c r="C5" s="101">
        <f>DataT16c!D6</f>
        <v>0.89347758240638131</v>
      </c>
      <c r="D5" s="2">
        <f>DataT16c!E6</f>
        <v>624.38073336800005</v>
      </c>
      <c r="E5" s="2">
        <f>DataT16c!F6</f>
        <v>5914.9804878080004</v>
      </c>
      <c r="F5" s="2">
        <f>DataT16c!G6</f>
        <v>1904.605250368</v>
      </c>
      <c r="G5" s="2">
        <f>DataT16c!H6</f>
        <v>1534.9533773779999</v>
      </c>
      <c r="H5" s="84">
        <f>DataT16c!I6</f>
        <v>0.41551945729897077</v>
      </c>
      <c r="I5" s="101">
        <f>DataT16c!J6</f>
        <v>0.2114979215567882</v>
      </c>
      <c r="J5" s="101">
        <f>DataT16c!K6</f>
        <v>0.4199072604238403</v>
      </c>
      <c r="K5" s="101">
        <f>DataT16c!L6</f>
        <v>0.45060803288342111</v>
      </c>
      <c r="L5" s="101">
        <f>DataT16c!M6</f>
        <v>0.36315258598306605</v>
      </c>
    </row>
    <row r="6" spans="1:12" ht="18" thickBot="1" x14ac:dyDescent="0.25">
      <c r="A6" s="1" t="str">
        <f>DataT16c!B7</f>
        <v>Latin America</v>
      </c>
      <c r="B6" s="2">
        <f>DataT16c!C7</f>
        <v>5694.3637293399997</v>
      </c>
      <c r="C6" s="101">
        <f>DataT16c!D7</f>
        <v>0.87655812206120143</v>
      </c>
      <c r="D6" s="2">
        <f>DataT16c!E7</f>
        <v>101.673886557125</v>
      </c>
      <c r="E6" s="2">
        <f>DataT16c!F7</f>
        <v>1967.6189757019999</v>
      </c>
      <c r="F6" s="2">
        <f>DataT16c!G7</f>
        <v>922.51590054099995</v>
      </c>
      <c r="G6" s="2">
        <f>DataT16c!H7</f>
        <v>421.24540680475002</v>
      </c>
      <c r="H6" s="84">
        <f>DataT16c!I7</f>
        <v>0.50217105285118624</v>
      </c>
      <c r="I6" s="101">
        <f>DataT16c!J7</f>
        <v>0.14612200967237637</v>
      </c>
      <c r="J6" s="101">
        <f>DataT16c!K7</f>
        <v>0.57972684930084428</v>
      </c>
      <c r="K6" s="101">
        <f>DataT16c!L7</f>
        <v>0.57495396609693239</v>
      </c>
      <c r="L6" s="101">
        <f>DataT16c!M7</f>
        <v>0.26253934181565103</v>
      </c>
    </row>
    <row r="7" spans="1:12" ht="18" thickBot="1" x14ac:dyDescent="0.25">
      <c r="A7" s="1" t="str">
        <f>DataT16c!B8</f>
        <v>MENA</v>
      </c>
      <c r="B7" s="2">
        <f>DataT16c!C8</f>
        <v>5141.662442496</v>
      </c>
      <c r="C7" s="101">
        <f>DataT16c!D8</f>
        <v>0.91676188854675844</v>
      </c>
      <c r="D7" s="2">
        <f>DataT16c!E8</f>
        <v>101.082648832</v>
      </c>
      <c r="E7" s="2">
        <f>DataT16c!F8</f>
        <v>2333.302267136</v>
      </c>
      <c r="F7" s="2">
        <f>DataT16c!G8</f>
        <v>793.78272419200005</v>
      </c>
      <c r="G7" s="2">
        <f>DataT16c!H8</f>
        <v>326.19669984000001</v>
      </c>
      <c r="H7" s="84">
        <f>DataT16c!I8</f>
        <v>0.59865748479407188</v>
      </c>
      <c r="I7" s="101">
        <f>DataT16c!J8</f>
        <v>0.16068837109541242</v>
      </c>
      <c r="J7" s="101">
        <f>DataT16c!K8</f>
        <v>0.70913653647247876</v>
      </c>
      <c r="K7" s="101">
        <f>DataT16c!L8</f>
        <v>0.64943871851325385</v>
      </c>
      <c r="L7" s="101">
        <f>DataT16c!M8</f>
        <v>0.26688004194470366</v>
      </c>
    </row>
    <row r="8" spans="1:12" ht="18" thickBot="1" x14ac:dyDescent="0.25">
      <c r="A8" s="1" t="str">
        <f>DataT16c!B9</f>
        <v>North America &amp; Oceania</v>
      </c>
      <c r="B8" s="2">
        <f>DataT16c!C9</f>
        <v>28399.087744908</v>
      </c>
      <c r="C8" s="101">
        <f>DataT16c!D9</f>
        <v>0.9461115081432514</v>
      </c>
      <c r="D8" s="2">
        <f>DataT16c!E9</f>
        <v>1104.9421068015938</v>
      </c>
      <c r="E8" s="2">
        <f>DataT16c!F9</f>
        <v>6903.6828821070003</v>
      </c>
      <c r="F8" s="2">
        <f>DataT16c!G9</f>
        <v>4062.61803779</v>
      </c>
      <c r="G8" s="2">
        <f>DataT16c!H9</f>
        <v>2082.3291544160002</v>
      </c>
      <c r="H8" s="84">
        <f>DataT16c!I9</f>
        <v>0.41254851084226429</v>
      </c>
      <c r="I8" s="101">
        <f>DataT16c!J9</f>
        <v>0.31447890823551111</v>
      </c>
      <c r="J8" s="101">
        <f>DataT16c!K9</f>
        <v>0.42567094399839561</v>
      </c>
      <c r="K8" s="101">
        <f>DataT16c!L9</f>
        <v>0.46873653003402321</v>
      </c>
      <c r="L8" s="101">
        <f>DataT16c!M9</f>
        <v>0.24025486352652559</v>
      </c>
    </row>
    <row r="9" spans="1:12" ht="18" thickBot="1" x14ac:dyDescent="0.25">
      <c r="A9" s="1" t="str">
        <f>DataT16c!B10</f>
        <v>Russia &amp; Central Asia</v>
      </c>
      <c r="B9" s="2">
        <f>DataT16c!C10</f>
        <v>2800.2796451839999</v>
      </c>
      <c r="C9" s="101">
        <f>DataT16c!D10</f>
        <v>0.88908940523489033</v>
      </c>
      <c r="D9" s="2">
        <f>DataT16c!E10</f>
        <v>103.27391507199999</v>
      </c>
      <c r="E9" s="2">
        <f>DataT16c!F10</f>
        <v>985.50639283199996</v>
      </c>
      <c r="F9" s="2">
        <f>DataT16c!G10</f>
        <v>231.02754611200001</v>
      </c>
      <c r="G9" s="2">
        <f>DataT16c!H10</f>
        <v>151.8951836</v>
      </c>
      <c r="H9" s="84">
        <f>DataT16c!I10</f>
        <v>0.47605477982939304</v>
      </c>
      <c r="I9" s="101">
        <f>DataT16c!J10</f>
        <v>0.25284082733033719</v>
      </c>
      <c r="J9" s="101">
        <f>DataT16c!K10</f>
        <v>0.50153855153775584</v>
      </c>
      <c r="K9" s="101">
        <f>DataT16c!L10</f>
        <v>0.5412267411042665</v>
      </c>
      <c r="L9" s="101">
        <f>DataT16c!M10</f>
        <v>0.35584386620895725</v>
      </c>
    </row>
    <row r="10" spans="1:12" ht="18" thickBot="1" x14ac:dyDescent="0.25">
      <c r="A10" s="1" t="str">
        <f>DataT16c!B11</f>
        <v>South &amp; South-East Asia</v>
      </c>
      <c r="B10" s="2">
        <f>DataT16c!C11</f>
        <v>7425.3271339519997</v>
      </c>
      <c r="C10" s="101">
        <f>DataT16c!D11</f>
        <v>0.92156711222217746</v>
      </c>
      <c r="D10" s="2">
        <f>DataT16c!E11</f>
        <v>172.52856857250001</v>
      </c>
      <c r="E10" s="2">
        <f>DataT16c!F11</f>
        <v>2182.004660732</v>
      </c>
      <c r="F10" s="2">
        <f>DataT16c!G11</f>
        <v>1631.5207910720001</v>
      </c>
      <c r="G10" s="2">
        <f>DataT16c!H11</f>
        <v>613.68415582</v>
      </c>
      <c r="H10" s="84">
        <f>DataT16c!I11</f>
        <v>0.4876318088394011</v>
      </c>
      <c r="I10" s="101">
        <f>DataT16c!J11</f>
        <v>0.21577143408163429</v>
      </c>
      <c r="J10" s="101">
        <f>DataT16c!K11</f>
        <v>0.55945750910948633</v>
      </c>
      <c r="K10" s="101">
        <f>DataT16c!L11</f>
        <v>0.5986084389552333</v>
      </c>
      <c r="L10" s="101">
        <f>DataT16c!M11</f>
        <v>0.22516201849048867</v>
      </c>
    </row>
    <row r="11" spans="1:12" ht="18" thickBot="1" x14ac:dyDescent="0.25">
      <c r="A11" s="1" t="str">
        <f>DataT16c!B12</f>
        <v>Sub-Saharan Africa</v>
      </c>
      <c r="B11" s="2">
        <f>DataT16c!C12</f>
        <v>2156.115593856</v>
      </c>
      <c r="C11" s="101">
        <f>DataT16c!D12</f>
        <v>0.91503081760396787</v>
      </c>
      <c r="D11" s="2">
        <f>DataT16c!E12</f>
        <v>46.809682359</v>
      </c>
      <c r="E11" s="2">
        <f>DataT16c!F12</f>
        <v>563.429043632</v>
      </c>
      <c r="F11" s="2">
        <f>DataT16c!G12</f>
        <v>702.22476869599996</v>
      </c>
      <c r="G11" s="2">
        <f>DataT16c!H12</f>
        <v>132.36875764800001</v>
      </c>
      <c r="H11" s="84">
        <f>DataT16c!I12</f>
        <v>0.47469504605130003</v>
      </c>
      <c r="I11" s="101">
        <f>DataT16c!J12</f>
        <v>0.16044562969119333</v>
      </c>
      <c r="J11" s="101">
        <f>DataT16c!K12</f>
        <v>0.6024577552577387</v>
      </c>
      <c r="K11" s="101">
        <f>DataT16c!L12</f>
        <v>0.75577105333528471</v>
      </c>
      <c r="L11" s="101">
        <f>DataT16c!M12</f>
        <v>0.14246218569316871</v>
      </c>
    </row>
    <row r="12" spans="1:12" ht="18" thickBot="1" x14ac:dyDescent="0.25">
      <c r="A12" s="74" t="str">
        <f>DataT16c!B13</f>
        <v>World</v>
      </c>
      <c r="B12" s="17">
        <f>DataT16c!C13</f>
        <v>94334.580557640002</v>
      </c>
      <c r="C12" s="84">
        <f>DataT16c!D13</f>
        <v>0.91853731935702787</v>
      </c>
      <c r="D12" s="17">
        <f>DataT16c!E13</f>
        <v>2704.4697136262189</v>
      </c>
      <c r="E12" s="17">
        <f>DataT16c!F13</f>
        <v>28174.748019516999</v>
      </c>
      <c r="F12" s="17">
        <f>DataT16c!G13</f>
        <v>13068.427166482999</v>
      </c>
      <c r="G12" s="17">
        <f>DataT16c!H13</f>
        <v>6928.20932647675</v>
      </c>
      <c r="H12" s="84">
        <f>DataT16c!I13</f>
        <v>0.45619323976236048</v>
      </c>
      <c r="I12" s="84">
        <f>DataT16c!J13</f>
        <v>0.2366554115936956</v>
      </c>
      <c r="J12" s="84">
        <f>DataT16c!K13</f>
        <v>0.48406313885972252</v>
      </c>
      <c r="K12" s="84">
        <f>DataT16c!L13</f>
        <v>0.52904317201330986</v>
      </c>
      <c r="L12" s="84">
        <f>DataT16c!M13</f>
        <v>0.2804715358441926</v>
      </c>
    </row>
    <row r="13" spans="1:12" ht="25" customHeight="1" x14ac:dyDescent="0.2">
      <c r="A13" s="166" t="s">
        <v>738</v>
      </c>
      <c r="B13" s="167"/>
      <c r="C13" s="167"/>
      <c r="D13" s="167"/>
      <c r="E13" s="167"/>
      <c r="F13" s="167"/>
      <c r="G13" s="167"/>
      <c r="H13" s="167"/>
      <c r="I13" s="167"/>
      <c r="J13" s="167"/>
      <c r="K13" s="167"/>
      <c r="L13" s="168"/>
    </row>
    <row r="14" spans="1:12" ht="33" customHeight="1" thickBot="1" x14ac:dyDescent="0.25">
      <c r="A14" s="169"/>
      <c r="B14" s="170"/>
      <c r="C14" s="170"/>
      <c r="D14" s="170"/>
      <c r="E14" s="170"/>
      <c r="F14" s="170"/>
      <c r="G14" s="170"/>
      <c r="H14" s="170"/>
      <c r="I14" s="170"/>
      <c r="J14" s="170"/>
      <c r="K14" s="170"/>
      <c r="L14" s="171"/>
    </row>
  </sheetData>
  <mergeCells count="4">
    <mergeCell ref="A1:L1"/>
    <mergeCell ref="D2:G2"/>
    <mergeCell ref="H2:L2"/>
    <mergeCell ref="A13:L1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EF1C-ADE4-864E-A6DB-3DB2DFCC2C37}">
  <sheetPr>
    <tabColor theme="7"/>
  </sheetPr>
  <dimension ref="A1:L14"/>
  <sheetViews>
    <sheetView workbookViewId="0">
      <selection activeCell="E19" sqref="E19"/>
    </sheetView>
  </sheetViews>
  <sheetFormatPr baseColWidth="10" defaultRowHeight="15" x14ac:dyDescent="0.2"/>
  <cols>
    <col min="1" max="1" width="24.33203125" customWidth="1"/>
    <col min="2" max="12" width="16.33203125" customWidth="1"/>
  </cols>
  <sheetData>
    <row r="1" spans="1:12" ht="16" thickBot="1" x14ac:dyDescent="0.25">
      <c r="A1" s="232" t="str">
        <f>DataT16d!B2</f>
        <v>Table 16d. National Capital shares by World Region MER $ (2025)</v>
      </c>
      <c r="B1" s="233">
        <f>DataT16d!C2</f>
        <v>0</v>
      </c>
      <c r="C1" s="233">
        <f>DataT16d!D2</f>
        <v>0</v>
      </c>
      <c r="D1" s="233">
        <f>DataT16d!E2</f>
        <v>0</v>
      </c>
      <c r="E1" s="233">
        <f>DataT16d!F2</f>
        <v>0</v>
      </c>
      <c r="F1" s="233">
        <f>DataT16d!G2</f>
        <v>0</v>
      </c>
      <c r="G1" s="233">
        <f>DataT16d!H2</f>
        <v>0</v>
      </c>
      <c r="H1" s="233">
        <f>DataT16d!I2</f>
        <v>0</v>
      </c>
      <c r="I1" s="233">
        <f>DataT16d!J2</f>
        <v>0</v>
      </c>
      <c r="J1" s="233">
        <f>DataT16d!K2</f>
        <v>0</v>
      </c>
      <c r="K1" s="233">
        <f>DataT16d!L2</f>
        <v>0</v>
      </c>
      <c r="L1" s="234">
        <f>DataT16d!M2</f>
        <v>0</v>
      </c>
    </row>
    <row r="2" spans="1:12" ht="18" thickBot="1" x14ac:dyDescent="0.25">
      <c r="A2" s="131"/>
      <c r="B2" s="1" t="str">
        <f>DataT16d!C3</f>
        <v>Billions $</v>
      </c>
      <c r="C2" s="130" t="str">
        <f>DataT16d!D3</f>
        <v>% of GDP</v>
      </c>
      <c r="D2" s="153" t="str">
        <f>DataT16d!E3</f>
        <v>Billions $</v>
      </c>
      <c r="E2" s="172">
        <f>DataT16d!F3</f>
        <v>0</v>
      </c>
      <c r="F2" s="172">
        <f>DataT16d!G3</f>
        <v>0</v>
      </c>
      <c r="G2" s="154">
        <f>DataT16d!H3</f>
        <v>0</v>
      </c>
      <c r="H2" s="235" t="str">
        <f>DataT16d!I3</f>
        <v>% of sector Gross Value Added</v>
      </c>
      <c r="I2" s="236">
        <f>DataT16d!J3</f>
        <v>0</v>
      </c>
      <c r="J2" s="236">
        <f>DataT16d!K3</f>
        <v>0</v>
      </c>
      <c r="K2" s="236">
        <f>DataT16d!L3</f>
        <v>0</v>
      </c>
      <c r="L2" s="237">
        <f>DataT16d!M3</f>
        <v>0</v>
      </c>
    </row>
    <row r="3" spans="1:12" ht="86" thickBot="1" x14ac:dyDescent="0.25">
      <c r="A3" s="132"/>
      <c r="B3" s="1" t="str">
        <f>DataT16d!C4</f>
        <v>Gross domestic product at factor-price</v>
      </c>
      <c r="C3" s="1" t="str">
        <f>DataT16d!D4</f>
        <v>Gross domestic product at factor-price as % of GDP</v>
      </c>
      <c r="D3" s="1" t="str">
        <f>DataT16d!E4</f>
        <v>Gross operating surplus of the government</v>
      </c>
      <c r="E3" s="1" t="str">
        <f>DataT16d!F4</f>
        <v xml:space="preserve"> Gross value added of the corporate sector</v>
      </c>
      <c r="F3" s="1" t="str">
        <f>DataT16d!G4</f>
        <v>Gross mixed income of household sector</v>
      </c>
      <c r="G3" s="1" t="str">
        <f>DataT16d!H4</f>
        <v>Gross operating surplus of household sector</v>
      </c>
      <c r="H3" s="1" t="str">
        <f>DataT16d!I4</f>
        <v>Capital share in the total Economy</v>
      </c>
      <c r="I3" s="1" t="str">
        <f>DataT16d!J4</f>
        <v>Capital share in the government</v>
      </c>
      <c r="J3" s="1" t="str">
        <f>DataT16d!K4</f>
        <v>Capital share in the corporate sector</v>
      </c>
      <c r="K3" s="1" t="str">
        <f>DataT16d!L4</f>
        <v>Capital share in the mixed income of household sector</v>
      </c>
      <c r="L3" s="1" t="str">
        <f>DataT16d!M4</f>
        <v>Capital share in the operating surplus of household sector</v>
      </c>
    </row>
    <row r="4" spans="1:12" ht="18" thickBot="1" x14ac:dyDescent="0.25">
      <c r="A4" s="1" t="str">
        <f>DataT16d!B5</f>
        <v>East Asia</v>
      </c>
      <c r="B4" s="2">
        <f>DataT16d!C5</f>
        <v>25284.601783295999</v>
      </c>
      <c r="C4" s="101">
        <f>DataT16d!D5</f>
        <v>0.92405166404601324</v>
      </c>
      <c r="D4" s="2">
        <f>DataT16d!E5</f>
        <v>530.12494396800003</v>
      </c>
      <c r="E4" s="2">
        <f>DataT16d!F5</f>
        <v>8632.5964968959997</v>
      </c>
      <c r="F4" s="2">
        <f>DataT16d!G5</f>
        <v>3323.9105533440002</v>
      </c>
      <c r="G4" s="2">
        <f>DataT16d!H5</f>
        <v>1963.0621875100001</v>
      </c>
      <c r="H4" s="84">
        <f>DataT16d!I5</f>
        <v>0.49260605155902004</v>
      </c>
      <c r="I4" s="101">
        <f>DataT16d!J5</f>
        <v>0.2104260181415018</v>
      </c>
      <c r="J4" s="101">
        <f>DataT16d!K5</f>
        <v>0.5080918370700499</v>
      </c>
      <c r="K4" s="101">
        <f>DataT16d!L5</f>
        <v>0.57556098178471193</v>
      </c>
      <c r="L4" s="101">
        <f>DataT16d!M5</f>
        <v>0.3399194959716979</v>
      </c>
    </row>
    <row r="5" spans="1:12" ht="18" thickBot="1" x14ac:dyDescent="0.25">
      <c r="A5" s="1" t="str">
        <f>DataT16d!B6</f>
        <v>Europe</v>
      </c>
      <c r="B5" s="2">
        <f>DataT16d!C6</f>
        <v>25064.088937216002</v>
      </c>
      <c r="C5" s="101">
        <f>DataT16d!D6</f>
        <v>0.89347759362933832</v>
      </c>
      <c r="D5" s="2">
        <f>DataT16d!E6</f>
        <v>735.91790414000002</v>
      </c>
      <c r="E5" s="2">
        <f>DataT16d!F6</f>
        <v>6971.6117942399997</v>
      </c>
      <c r="F5" s="2">
        <f>DataT16d!G6</f>
        <v>2244.8372448959999</v>
      </c>
      <c r="G5" s="2">
        <f>DataT16d!H6</f>
        <v>1809.1520683346876</v>
      </c>
      <c r="H5" s="84">
        <f>DataT16d!I6</f>
        <v>0.41551945856723782</v>
      </c>
      <c r="I5" s="101">
        <f>DataT16d!J6</f>
        <v>0.21149792075275906</v>
      </c>
      <c r="J5" s="101">
        <f>DataT16d!K6</f>
        <v>0.41990726917305071</v>
      </c>
      <c r="K5" s="101">
        <f>DataT16d!L6</f>
        <v>0.45060803123274684</v>
      </c>
      <c r="L5" s="101">
        <f>DataT16d!M6</f>
        <v>0.3631525864810361</v>
      </c>
    </row>
    <row r="6" spans="1:12" ht="18" thickBot="1" x14ac:dyDescent="0.25">
      <c r="A6" s="1" t="str">
        <f>DataT16d!B7</f>
        <v>Latin America</v>
      </c>
      <c r="B6" s="2">
        <f>DataT16d!C7</f>
        <v>6711.5847962719999</v>
      </c>
      <c r="C6" s="101">
        <f>DataT16d!D7</f>
        <v>0.87655815620654187</v>
      </c>
      <c r="D6" s="2">
        <f>DataT16d!E7</f>
        <v>119.83655003437499</v>
      </c>
      <c r="E6" s="2">
        <f>DataT16d!F7</f>
        <v>2319.1074773820001</v>
      </c>
      <c r="F6" s="2">
        <f>DataT16d!G7</f>
        <v>1087.3108681619999</v>
      </c>
      <c r="G6" s="2">
        <f>DataT16d!H7</f>
        <v>496.495209902</v>
      </c>
      <c r="H6" s="84">
        <f>DataT16d!I7</f>
        <v>0.50217105004100793</v>
      </c>
      <c r="I6" s="101">
        <f>DataT16d!J7</f>
        <v>0.14612201066767955</v>
      </c>
      <c r="J6" s="101">
        <f>DataT16d!K7</f>
        <v>0.57972685659016976</v>
      </c>
      <c r="K6" s="101">
        <f>DataT16d!L7</f>
        <v>0.57495395728401955</v>
      </c>
      <c r="L6" s="101">
        <f>DataT16d!M7</f>
        <v>0.26253934736094575</v>
      </c>
    </row>
    <row r="7" spans="1:12" ht="18" thickBot="1" x14ac:dyDescent="0.25">
      <c r="A7" s="1" t="str">
        <f>DataT16d!B8</f>
        <v>MENA</v>
      </c>
      <c r="B7" s="2">
        <f>DataT16d!C8</f>
        <v>6060.151054336</v>
      </c>
      <c r="C7" s="101">
        <f>DataT16d!D8</f>
        <v>0.91676188554933491</v>
      </c>
      <c r="D7" s="2">
        <f>DataT16d!E8</f>
        <v>119.13969763199999</v>
      </c>
      <c r="E7" s="2">
        <f>DataT16d!F8</f>
        <v>2750.1151198719999</v>
      </c>
      <c r="F7" s="2">
        <f>DataT16d!G8</f>
        <v>935.58127515599995</v>
      </c>
      <c r="G7" s="2">
        <f>DataT16d!H8</f>
        <v>384.46733795199998</v>
      </c>
      <c r="H7" s="84">
        <f>DataT16d!I8</f>
        <v>0.59865746463904079</v>
      </c>
      <c r="I7" s="101">
        <f>DataT16d!J8</f>
        <v>0.16068837271144365</v>
      </c>
      <c r="J7" s="101">
        <f>DataT16d!K8</f>
        <v>0.70913653620881234</v>
      </c>
      <c r="K7" s="101">
        <f>DataT16d!L8</f>
        <v>0.64943872814761083</v>
      </c>
      <c r="L7" s="101">
        <f>DataT16d!M8</f>
        <v>0.26688005158313077</v>
      </c>
    </row>
    <row r="8" spans="1:12" ht="35" thickBot="1" x14ac:dyDescent="0.25">
      <c r="A8" s="1" t="str">
        <f>DataT16d!B9</f>
        <v>North America &amp; Oceania</v>
      </c>
      <c r="B8" s="2">
        <f>DataT16d!C9</f>
        <v>33472.198590512002</v>
      </c>
      <c r="C8" s="101">
        <f>DataT16d!D9</f>
        <v>0.94611149725202903</v>
      </c>
      <c r="D8" s="2">
        <f>DataT16d!E9</f>
        <v>1302.3249794290625</v>
      </c>
      <c r="E8" s="2">
        <f>DataT16d!F9</f>
        <v>8136.9319493949997</v>
      </c>
      <c r="F8" s="2">
        <f>DataT16d!G9</f>
        <v>4788.3495155709998</v>
      </c>
      <c r="G8" s="2">
        <f>DataT16d!H9</f>
        <v>2454.3090963609998</v>
      </c>
      <c r="H8" s="84">
        <f>DataT16d!I9</f>
        <v>0.41254851527224518</v>
      </c>
      <c r="I8" s="101">
        <f>DataT16d!J9</f>
        <v>0.31447888178027639</v>
      </c>
      <c r="J8" s="101">
        <f>DataT16d!K9</f>
        <v>0.42567093861750316</v>
      </c>
      <c r="K8" s="101">
        <f>DataT16d!L9</f>
        <v>0.46873653710579211</v>
      </c>
      <c r="L8" s="101">
        <f>DataT16d!M9</f>
        <v>0.24025488178640514</v>
      </c>
    </row>
    <row r="9" spans="1:12" ht="18" thickBot="1" x14ac:dyDescent="0.25">
      <c r="A9" s="1" t="str">
        <f>DataT16d!B10</f>
        <v>Russia &amp; Central Asia</v>
      </c>
      <c r="B9" s="2">
        <f>DataT16d!C10</f>
        <v>3300.5116764159998</v>
      </c>
      <c r="C9" s="101">
        <f>DataT16d!D10</f>
        <v>0.88908940512373069</v>
      </c>
      <c r="D9" s="2">
        <f>DataT16d!E10</f>
        <v>121.72239424</v>
      </c>
      <c r="E9" s="2">
        <f>DataT16d!F10</f>
        <v>1161.5537856000001</v>
      </c>
      <c r="F9" s="2">
        <f>DataT16d!G10</f>
        <v>272.29749811200003</v>
      </c>
      <c r="G9" s="2">
        <f>DataT16d!H10</f>
        <v>179.02919688</v>
      </c>
      <c r="H9" s="84">
        <f>DataT16d!I10</f>
        <v>0.47605478483596231</v>
      </c>
      <c r="I9" s="101">
        <f>DataT16d!J10</f>
        <v>0.25284081418739413</v>
      </c>
      <c r="J9" s="101">
        <f>DataT16d!K10</f>
        <v>0.50153856011882569</v>
      </c>
      <c r="K9" s="101">
        <f>DataT16d!L10</f>
        <v>0.54122678093180987</v>
      </c>
      <c r="L9" s="101">
        <f>DataT16d!M10</f>
        <v>0.3558438714714709</v>
      </c>
    </row>
    <row r="10" spans="1:12" ht="18" thickBot="1" x14ac:dyDescent="0.25">
      <c r="A10" s="1" t="str">
        <f>DataT16d!B11</f>
        <v>South &amp; South-East Asia</v>
      </c>
      <c r="B10" s="2">
        <f>DataT16d!C11</f>
        <v>8751.7614682879994</v>
      </c>
      <c r="C10" s="101">
        <f>DataT16d!D11</f>
        <v>0.92156714139616502</v>
      </c>
      <c r="D10" s="2">
        <f>DataT16d!E11</f>
        <v>203.34845736</v>
      </c>
      <c r="E10" s="2">
        <f>DataT16d!F11</f>
        <v>2571.7902491079999</v>
      </c>
      <c r="F10" s="2">
        <f>DataT16d!G11</f>
        <v>1922.9698910879999</v>
      </c>
      <c r="G10" s="2">
        <f>DataT16d!H11</f>
        <v>723.31051301599996</v>
      </c>
      <c r="H10" s="84">
        <f>DataT16d!I11</f>
        <v>0.48763179748248164</v>
      </c>
      <c r="I10" s="101">
        <f>DataT16d!J11</f>
        <v>0.21577143002641933</v>
      </c>
      <c r="J10" s="101">
        <f>DataT16d!K11</f>
        <v>0.55945749300604575</v>
      </c>
      <c r="K10" s="101">
        <f>DataT16d!L11</f>
        <v>0.59860841868093007</v>
      </c>
      <c r="L10" s="101">
        <f>DataT16d!M11</f>
        <v>0.22516200821367188</v>
      </c>
    </row>
    <row r="11" spans="1:12" ht="18" thickBot="1" x14ac:dyDescent="0.25">
      <c r="A11" s="1" t="str">
        <f>DataT16d!B12</f>
        <v>Sub-Saharan Africa</v>
      </c>
      <c r="B11" s="2">
        <f>DataT16d!C12</f>
        <v>2541.2764323199999</v>
      </c>
      <c r="C11" s="101">
        <f>DataT16d!D12</f>
        <v>0.91503079912902718</v>
      </c>
      <c r="D11" s="2">
        <f>DataT16d!E12</f>
        <v>55.171598924500003</v>
      </c>
      <c r="E11" s="2">
        <f>DataT16d!F12</f>
        <v>664.07799974399995</v>
      </c>
      <c r="F11" s="2">
        <f>DataT16d!G12</f>
        <v>827.66771909600004</v>
      </c>
      <c r="G11" s="2">
        <f>DataT16d!H12</f>
        <v>156.01464596950001</v>
      </c>
      <c r="H11" s="84">
        <f>DataT16d!I12</f>
        <v>0.47469504573932059</v>
      </c>
      <c r="I11" s="101">
        <f>DataT16d!J12</f>
        <v>0.16044562948476421</v>
      </c>
      <c r="J11" s="101">
        <f>DataT16d!K12</f>
        <v>0.6024577398971257</v>
      </c>
      <c r="K11" s="101">
        <f>DataT16d!L12</f>
        <v>0.7557710597041738</v>
      </c>
      <c r="L11" s="101">
        <f>DataT16d!M12</f>
        <v>0.14246218813816533</v>
      </c>
    </row>
    <row r="12" spans="1:12" ht="18" thickBot="1" x14ac:dyDescent="0.25">
      <c r="A12" s="74" t="str">
        <f>DataT16d!B13</f>
        <v>World</v>
      </c>
      <c r="B12" s="17">
        <f>DataT16d!C13</f>
        <v>111186.174738656</v>
      </c>
      <c r="C12" s="84">
        <f>DataT16d!D13</f>
        <v>0.9185373229694398</v>
      </c>
      <c r="D12" s="17">
        <f>DataT16d!E13</f>
        <v>3187.5865257279374</v>
      </c>
      <c r="E12" s="17">
        <f>DataT16d!F13</f>
        <v>33207.784872237004</v>
      </c>
      <c r="F12" s="17">
        <f>DataT16d!G13</f>
        <v>15402.924565425001</v>
      </c>
      <c r="G12" s="17">
        <f>DataT16d!H13</f>
        <v>8165.8402559251872</v>
      </c>
      <c r="H12" s="84">
        <f>DataT16d!I13</f>
        <v>0.45619324164432756</v>
      </c>
      <c r="I12" s="84">
        <f>DataT16d!J13</f>
        <v>0.23665540277112643</v>
      </c>
      <c r="J12" s="84">
        <f>DataT16d!K13</f>
        <v>0.4840631393365431</v>
      </c>
      <c r="K12" s="84">
        <f>DataT16d!L13</f>
        <v>0.52904317441467497</v>
      </c>
      <c r="L12" s="84">
        <f>DataT16d!M13</f>
        <v>0.28047154502432003</v>
      </c>
    </row>
    <row r="13" spans="1:12" ht="33" customHeight="1" x14ac:dyDescent="0.2">
      <c r="A13" s="166" t="s">
        <v>737</v>
      </c>
      <c r="B13" s="167"/>
      <c r="C13" s="167"/>
      <c r="D13" s="167"/>
      <c r="E13" s="167"/>
      <c r="F13" s="167"/>
      <c r="G13" s="167"/>
      <c r="H13" s="167"/>
      <c r="I13" s="167"/>
      <c r="J13" s="167"/>
      <c r="K13" s="167"/>
      <c r="L13" s="168"/>
    </row>
    <row r="14" spans="1:12" ht="29" customHeight="1" thickBot="1" x14ac:dyDescent="0.25">
      <c r="A14" s="169"/>
      <c r="B14" s="170"/>
      <c r="C14" s="170"/>
      <c r="D14" s="170"/>
      <c r="E14" s="170"/>
      <c r="F14" s="170"/>
      <c r="G14" s="170"/>
      <c r="H14" s="170"/>
      <c r="I14" s="170"/>
      <c r="J14" s="170"/>
      <c r="K14" s="170"/>
      <c r="L14" s="171"/>
    </row>
  </sheetData>
  <mergeCells count="4">
    <mergeCell ref="A1:L1"/>
    <mergeCell ref="D2:G2"/>
    <mergeCell ref="H2:L2"/>
    <mergeCell ref="A13:L1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V219"/>
  <sheetViews>
    <sheetView workbookViewId="0">
      <pane xSplit="1" ySplit="3" topLeftCell="L107" activePane="bottomRight" state="frozen"/>
      <selection pane="topRight" activeCell="B1" sqref="B1"/>
      <selection pane="bottomLeft" activeCell="A4" sqref="A4"/>
      <selection pane="bottomRight" activeCell="R128" sqref="R128"/>
    </sheetView>
  </sheetViews>
  <sheetFormatPr baseColWidth="10" defaultColWidth="8.83203125" defaultRowHeight="15" x14ac:dyDescent="0.2"/>
  <cols>
    <col min="1" max="1" width="18.33203125" customWidth="1"/>
    <col min="2" max="2" width="15.83203125" customWidth="1"/>
    <col min="3" max="3" width="11.33203125" bestFit="1" customWidth="1"/>
    <col min="4" max="4" width="24.5" bestFit="1" customWidth="1"/>
    <col min="5" max="5" width="23" customWidth="1"/>
    <col min="6" max="6" width="14.33203125" bestFit="1" customWidth="1"/>
    <col min="8" max="9" width="17.5" bestFit="1" customWidth="1"/>
    <col min="10" max="10" width="16.33203125" bestFit="1" customWidth="1"/>
    <col min="11" max="11" width="20.33203125" bestFit="1" customWidth="1"/>
    <col min="12" max="12" width="19.6640625" bestFit="1" customWidth="1"/>
    <col min="13" max="16" width="20.5" customWidth="1"/>
    <col min="17" max="17" width="16" customWidth="1"/>
    <col min="18" max="18" width="19.33203125" customWidth="1"/>
    <col min="19" max="20" width="20.1640625" customWidth="1"/>
    <col min="21" max="21" width="19.1640625" customWidth="1"/>
    <col min="22" max="22" width="21.5" customWidth="1"/>
  </cols>
  <sheetData>
    <row r="1" spans="1:22" ht="16" hidden="1" thickBot="1" x14ac:dyDescent="0.25"/>
    <row r="2" spans="1:22" ht="16" hidden="1" thickBot="1" x14ac:dyDescent="0.25"/>
    <row r="3" spans="1:22" ht="69" thickBot="1" x14ac:dyDescent="0.25">
      <c r="A3" s="1" t="s">
        <v>460</v>
      </c>
      <c r="B3" s="2" t="s">
        <v>681</v>
      </c>
      <c r="C3" s="1" t="s">
        <v>461</v>
      </c>
      <c r="D3" s="1" t="s">
        <v>462</v>
      </c>
      <c r="E3" s="3" t="s">
        <v>574</v>
      </c>
      <c r="F3" s="4" t="s">
        <v>575</v>
      </c>
      <c r="G3" s="1" t="s">
        <v>463</v>
      </c>
      <c r="H3" s="3" t="s">
        <v>592</v>
      </c>
      <c r="I3" s="3" t="s">
        <v>593</v>
      </c>
      <c r="J3" s="3" t="s">
        <v>594</v>
      </c>
      <c r="K3" s="3" t="s">
        <v>595</v>
      </c>
      <c r="L3" s="3" t="s">
        <v>596</v>
      </c>
      <c r="M3" s="3" t="s">
        <v>597</v>
      </c>
      <c r="N3" s="3" t="s">
        <v>678</v>
      </c>
      <c r="O3" s="3" t="s">
        <v>679</v>
      </c>
      <c r="P3" s="3" t="s">
        <v>680</v>
      </c>
      <c r="Q3" s="3" t="s">
        <v>576</v>
      </c>
      <c r="R3" s="3" t="s">
        <v>577</v>
      </c>
      <c r="S3" s="3" t="s">
        <v>464</v>
      </c>
      <c r="T3" s="3" t="s">
        <v>465</v>
      </c>
      <c r="U3" s="3" t="s">
        <v>544</v>
      </c>
      <c r="V3" s="3" t="s">
        <v>545</v>
      </c>
    </row>
    <row r="4" spans="1:22" ht="18" thickBot="1" x14ac:dyDescent="0.25">
      <c r="A4" s="5" t="s">
        <v>0</v>
      </c>
      <c r="B4" s="2">
        <v>169163.171875</v>
      </c>
      <c r="C4" s="4" t="s">
        <v>216</v>
      </c>
      <c r="D4" s="4" t="s">
        <v>226</v>
      </c>
      <c r="E4" s="6">
        <v>6485884928</v>
      </c>
      <c r="F4" s="6">
        <v>38341</v>
      </c>
      <c r="G4" s="4" t="s">
        <v>234</v>
      </c>
      <c r="H4" s="7">
        <v>-2635004928</v>
      </c>
      <c r="I4" s="7">
        <v>-2688736768</v>
      </c>
      <c r="J4" s="7">
        <v>-11238426</v>
      </c>
      <c r="K4" s="7">
        <v>99965444096</v>
      </c>
      <c r="L4" s="7">
        <v>9120889856</v>
      </c>
      <c r="M4" s="8">
        <v>11422899200</v>
      </c>
      <c r="N4" s="8">
        <v>16847813632</v>
      </c>
      <c r="O4" s="8">
        <v>11420002304</v>
      </c>
      <c r="P4" s="8">
        <v>13460031488</v>
      </c>
      <c r="Q4" s="108">
        <v>0.99974638223648071</v>
      </c>
      <c r="R4" s="108">
        <v>0.79891860485076904</v>
      </c>
      <c r="S4" s="108">
        <v>1.0346940755844116</v>
      </c>
      <c r="T4" s="108">
        <v>0.83258408308029175</v>
      </c>
      <c r="U4" s="107">
        <v>-0.4106777012348175</v>
      </c>
      <c r="V4" s="107">
        <v>-1.0855217464268208E-2</v>
      </c>
    </row>
    <row r="5" spans="1:22" ht="18" thickBot="1" x14ac:dyDescent="0.25">
      <c r="A5" s="5" t="s">
        <v>1</v>
      </c>
      <c r="B5" s="2">
        <v>147878.453125</v>
      </c>
      <c r="C5" s="4" t="s">
        <v>216</v>
      </c>
      <c r="D5" s="4" t="s">
        <v>226</v>
      </c>
      <c r="E5" s="6">
        <v>5934066688</v>
      </c>
      <c r="F5" s="6">
        <v>40128</v>
      </c>
      <c r="G5" s="4" t="s">
        <v>235</v>
      </c>
      <c r="H5" s="7">
        <v>1116934528</v>
      </c>
      <c r="I5" s="7">
        <v>1305211392</v>
      </c>
      <c r="J5" s="7">
        <v>-12201865</v>
      </c>
      <c r="K5" s="7">
        <v>69156864000</v>
      </c>
      <c r="L5" s="7">
        <v>4817132032</v>
      </c>
      <c r="M5" s="8">
        <v>5764568576</v>
      </c>
      <c r="N5" s="8">
        <v>8502253056</v>
      </c>
      <c r="O5" s="8">
        <v>8152464896</v>
      </c>
      <c r="P5" s="8">
        <v>9608792064</v>
      </c>
      <c r="Q5" s="108">
        <v>1.4142367839813232</v>
      </c>
      <c r="R5" s="108">
        <v>1.1301466226577759</v>
      </c>
      <c r="S5" s="108">
        <v>1.4370356798171997</v>
      </c>
      <c r="T5" s="108">
        <v>1.1563351154327393</v>
      </c>
      <c r="U5" s="107">
        <v>0.18934565782546997</v>
      </c>
      <c r="V5" s="107">
        <v>-5.9584998525679111E-3</v>
      </c>
    </row>
    <row r="6" spans="1:22" ht="18" thickBot="1" x14ac:dyDescent="0.25">
      <c r="A6" s="5" t="s">
        <v>2</v>
      </c>
      <c r="B6" s="2">
        <v>127784.8515625</v>
      </c>
      <c r="C6" s="4" t="s">
        <v>216</v>
      </c>
      <c r="D6" s="4" t="s">
        <v>226</v>
      </c>
      <c r="E6" s="6">
        <v>86951583744</v>
      </c>
      <c r="F6" s="6">
        <v>680453</v>
      </c>
      <c r="G6" s="4" t="s">
        <v>236</v>
      </c>
      <c r="H6" s="7">
        <v>27893823488</v>
      </c>
      <c r="I6" s="7">
        <v>39816540160</v>
      </c>
      <c r="J6" s="7">
        <v>-11925958656</v>
      </c>
      <c r="K6" s="7">
        <v>404244365312</v>
      </c>
      <c r="L6" s="7">
        <v>59057758208</v>
      </c>
      <c r="M6" s="8">
        <v>69475926016</v>
      </c>
      <c r="N6" s="8">
        <v>102471131136</v>
      </c>
      <c r="O6" s="8">
        <v>89522200576</v>
      </c>
      <c r="P6" s="8">
        <v>105514131456</v>
      </c>
      <c r="Q6" s="108">
        <v>1.2885355949401855</v>
      </c>
      <c r="R6" s="108">
        <v>1.0296962261199951</v>
      </c>
      <c r="S6" s="108">
        <v>1.226334810256958</v>
      </c>
      <c r="T6" s="108">
        <v>0.98679107427597046</v>
      </c>
      <c r="U6" s="107">
        <v>0.31631156802177429</v>
      </c>
      <c r="V6" s="107">
        <v>1.3982760719954967E-2</v>
      </c>
    </row>
    <row r="7" spans="1:22" ht="18" thickBot="1" x14ac:dyDescent="0.25">
      <c r="A7" s="5" t="s">
        <v>4</v>
      </c>
      <c r="B7" s="2">
        <v>126080.4609375</v>
      </c>
      <c r="C7" s="4" t="s">
        <v>216</v>
      </c>
      <c r="D7" s="4" t="s">
        <v>227</v>
      </c>
      <c r="E7" s="6">
        <v>8139124224</v>
      </c>
      <c r="F7" s="6">
        <v>64555</v>
      </c>
      <c r="G7" s="4" t="s">
        <v>238</v>
      </c>
      <c r="H7" s="7">
        <v>3009701888</v>
      </c>
      <c r="I7" s="7">
        <v>1982366208</v>
      </c>
      <c r="J7" s="7">
        <v>936577408</v>
      </c>
      <c r="K7" s="7">
        <v>260002430976</v>
      </c>
      <c r="L7" s="7">
        <v>5129422336</v>
      </c>
      <c r="M7" s="8">
        <v>5399391744</v>
      </c>
      <c r="N7" s="8">
        <v>7963647488</v>
      </c>
      <c r="O7" s="8">
        <v>7728161792</v>
      </c>
      <c r="P7" s="8">
        <v>9108692992</v>
      </c>
      <c r="Q7" s="108">
        <v>1.4313023090362549</v>
      </c>
      <c r="R7" s="108">
        <v>1.1437840461730957</v>
      </c>
      <c r="S7" s="108">
        <v>1.5179735422134399</v>
      </c>
      <c r="T7" s="108">
        <v>1.2214632034301758</v>
      </c>
      <c r="U7" s="107">
        <v>0.3759954571723938</v>
      </c>
      <c r="V7" s="107">
        <v>-1.6802936792373657E-2</v>
      </c>
    </row>
    <row r="8" spans="1:22" ht="18" thickBot="1" x14ac:dyDescent="0.25">
      <c r="A8" s="5" t="s">
        <v>3</v>
      </c>
      <c r="B8" s="2">
        <v>125533.953125</v>
      </c>
      <c r="C8" s="4" t="s">
        <v>216</v>
      </c>
      <c r="D8" s="4" t="s">
        <v>226</v>
      </c>
      <c r="E8" s="6">
        <v>8094052864</v>
      </c>
      <c r="F8" s="6">
        <v>64477</v>
      </c>
      <c r="G8" s="4" t="s">
        <v>237</v>
      </c>
      <c r="H8" s="7">
        <v>3894073344</v>
      </c>
      <c r="I8" s="7">
        <v>3873055232</v>
      </c>
      <c r="J8" s="7">
        <v>-6143264.5</v>
      </c>
      <c r="K8" s="7">
        <v>136834605056</v>
      </c>
      <c r="L8" s="7">
        <v>4199979520</v>
      </c>
      <c r="M8" s="8">
        <v>5005654528</v>
      </c>
      <c r="N8" s="8">
        <v>7382918656</v>
      </c>
      <c r="O8" s="8">
        <v>5936060928</v>
      </c>
      <c r="P8" s="8">
        <v>6996457984</v>
      </c>
      <c r="Q8" s="108">
        <v>1.1858710050582886</v>
      </c>
      <c r="R8" s="108">
        <v>0.94765478372573853</v>
      </c>
      <c r="S8" s="108">
        <v>1.1433886289596558</v>
      </c>
      <c r="T8" s="108">
        <v>0.92004704475402832</v>
      </c>
      <c r="U8" s="107">
        <v>0.48277124762535095</v>
      </c>
      <c r="V8" s="107">
        <v>-3.4674967173486948E-3</v>
      </c>
    </row>
    <row r="9" spans="1:22" ht="18" thickBot="1" x14ac:dyDescent="0.25">
      <c r="A9" s="5" t="s">
        <v>5</v>
      </c>
      <c r="B9" s="2">
        <v>121734.2421875</v>
      </c>
      <c r="C9" s="4" t="s">
        <v>216</v>
      </c>
      <c r="D9" s="4" t="s">
        <v>226</v>
      </c>
      <c r="E9" s="6">
        <v>12659021824</v>
      </c>
      <c r="F9" s="6">
        <v>103989</v>
      </c>
      <c r="G9" s="4" t="s">
        <v>239</v>
      </c>
      <c r="H9" s="7">
        <v>5971734016</v>
      </c>
      <c r="I9" s="7">
        <v>5938406400</v>
      </c>
      <c r="J9" s="7">
        <v>-9654247</v>
      </c>
      <c r="K9" s="7">
        <v>145862279168</v>
      </c>
      <c r="L9" s="7">
        <v>6687287808</v>
      </c>
      <c r="M9" s="8">
        <v>7961007104</v>
      </c>
      <c r="N9" s="8">
        <v>11741813760</v>
      </c>
      <c r="O9" s="8">
        <v>9440727040</v>
      </c>
      <c r="P9" s="8">
        <v>11127186432</v>
      </c>
      <c r="Q9" s="108">
        <v>1.1858710050582886</v>
      </c>
      <c r="R9" s="108">
        <v>0.94765478372573853</v>
      </c>
      <c r="S9" s="108">
        <v>1.1433886289596558</v>
      </c>
      <c r="T9" s="108">
        <v>0.92004704475402832</v>
      </c>
      <c r="U9" s="107">
        <v>0.47340086102485657</v>
      </c>
      <c r="V9" s="107">
        <v>-3.5262617748230696E-3</v>
      </c>
    </row>
    <row r="10" spans="1:22" ht="18" thickBot="1" x14ac:dyDescent="0.25">
      <c r="A10" s="5" t="s">
        <v>6</v>
      </c>
      <c r="B10" s="2">
        <v>107491.484375</v>
      </c>
      <c r="C10" s="4" t="s">
        <v>216</v>
      </c>
      <c r="D10" s="4" t="s">
        <v>228</v>
      </c>
      <c r="E10" s="6">
        <v>631055646720</v>
      </c>
      <c r="F10" s="6">
        <v>5870750</v>
      </c>
      <c r="G10" s="4" t="s">
        <v>240</v>
      </c>
      <c r="H10" s="7">
        <v>66965573632</v>
      </c>
      <c r="I10" s="7">
        <v>71294427136</v>
      </c>
      <c r="J10" s="7">
        <v>-4106567424</v>
      </c>
      <c r="K10" s="7">
        <v>1253698961408</v>
      </c>
      <c r="L10" s="7">
        <v>564090044416</v>
      </c>
      <c r="M10" s="8">
        <v>667098021888</v>
      </c>
      <c r="N10" s="8">
        <v>983913267200</v>
      </c>
      <c r="O10" s="8">
        <v>503649501184</v>
      </c>
      <c r="P10" s="8">
        <v>593619714048</v>
      </c>
      <c r="Q10" s="108">
        <v>0.75498580932617188</v>
      </c>
      <c r="R10" s="108">
        <v>0.60332518815994263</v>
      </c>
      <c r="S10" s="108">
        <v>0.7502015233039856</v>
      </c>
      <c r="T10" s="108">
        <v>0.60366237163543701</v>
      </c>
      <c r="U10" s="107">
        <v>0.10595600306987762</v>
      </c>
      <c r="V10" s="107">
        <v>1.5147639205679297E-3</v>
      </c>
    </row>
    <row r="11" spans="1:22" ht="18" thickBot="1" x14ac:dyDescent="0.25">
      <c r="A11" s="5" t="s">
        <v>7</v>
      </c>
      <c r="B11" s="2">
        <v>101096.9296875</v>
      </c>
      <c r="C11" s="4" t="s">
        <v>216</v>
      </c>
      <c r="D11" s="4" t="s">
        <v>229</v>
      </c>
      <c r="E11" s="6">
        <v>7667595776</v>
      </c>
      <c r="F11" s="6">
        <v>75844</v>
      </c>
      <c r="G11" s="4" t="s">
        <v>241</v>
      </c>
      <c r="H11" s="7">
        <v>3143677184</v>
      </c>
      <c r="I11" s="7">
        <v>3162051328</v>
      </c>
      <c r="J11" s="7">
        <v>-44994576</v>
      </c>
      <c r="K11" s="7">
        <v>-308550172672</v>
      </c>
      <c r="L11" s="7">
        <v>4523918336</v>
      </c>
      <c r="M11" s="8">
        <v>4905377792</v>
      </c>
      <c r="N11" s="8">
        <v>7235018240</v>
      </c>
      <c r="O11" s="8">
        <v>6868285440</v>
      </c>
      <c r="P11" s="8">
        <v>8095212032</v>
      </c>
      <c r="Q11" s="108">
        <v>1.4001543521881104</v>
      </c>
      <c r="R11" s="108">
        <v>1.1188931465148926</v>
      </c>
      <c r="S11" s="108">
        <v>1.4486871957778931</v>
      </c>
      <c r="T11" s="108">
        <v>1.1657106876373291</v>
      </c>
      <c r="U11" s="107">
        <v>0.39541998505592346</v>
      </c>
      <c r="V11" s="107">
        <v>3.5549681633710861E-2</v>
      </c>
    </row>
    <row r="12" spans="1:22" ht="18" thickBot="1" x14ac:dyDescent="0.25">
      <c r="A12" s="5" t="s">
        <v>10</v>
      </c>
      <c r="B12" s="2">
        <v>86012.515625</v>
      </c>
      <c r="C12" s="4" t="s">
        <v>216</v>
      </c>
      <c r="D12" s="4" t="s">
        <v>226</v>
      </c>
      <c r="E12" s="6">
        <v>3451338240</v>
      </c>
      <c r="F12" s="6">
        <v>40126</v>
      </c>
      <c r="G12" s="4" t="s">
        <v>244</v>
      </c>
      <c r="H12" s="7">
        <v>935415424</v>
      </c>
      <c r="I12" s="7">
        <v>922787520</v>
      </c>
      <c r="J12" s="7">
        <v>-3551318</v>
      </c>
      <c r="K12" s="7">
        <v>20421632000</v>
      </c>
      <c r="L12" s="7">
        <v>2515922688</v>
      </c>
      <c r="M12" s="8">
        <v>2996204800</v>
      </c>
      <c r="N12" s="8">
        <v>4419149312</v>
      </c>
      <c r="O12" s="8">
        <v>3553112576</v>
      </c>
      <c r="P12" s="8">
        <v>4187827968</v>
      </c>
      <c r="Q12" s="108">
        <v>1.1858710050582886</v>
      </c>
      <c r="R12" s="108">
        <v>0.94765478372573853</v>
      </c>
      <c r="S12" s="108">
        <v>1.1433886289596558</v>
      </c>
      <c r="T12" s="108">
        <v>0.92004704475402832</v>
      </c>
      <c r="U12" s="107">
        <v>0.26327323913574219</v>
      </c>
      <c r="V12" s="107">
        <v>2.8618788346648216E-2</v>
      </c>
    </row>
    <row r="13" spans="1:22" ht="18" thickBot="1" x14ac:dyDescent="0.25">
      <c r="A13" s="5" t="s">
        <v>8</v>
      </c>
      <c r="B13" s="2">
        <v>78176.765625</v>
      </c>
      <c r="C13" s="4" t="s">
        <v>216</v>
      </c>
      <c r="D13" s="4" t="s">
        <v>230</v>
      </c>
      <c r="E13" s="6">
        <v>56444170240</v>
      </c>
      <c r="F13" s="6">
        <v>722007</v>
      </c>
      <c r="G13" s="4" t="s">
        <v>242</v>
      </c>
      <c r="H13" s="7">
        <v>2939763968</v>
      </c>
      <c r="I13" s="7">
        <v>5833635328</v>
      </c>
      <c r="J13" s="7">
        <v>-3078751232</v>
      </c>
      <c r="K13" s="7">
        <v>219241398272</v>
      </c>
      <c r="L13" s="7">
        <v>53504405504</v>
      </c>
      <c r="M13" s="8">
        <v>63747739648</v>
      </c>
      <c r="N13" s="8">
        <v>94022541312</v>
      </c>
      <c r="O13" s="8">
        <v>43861221376</v>
      </c>
      <c r="P13" s="8">
        <v>51696435200</v>
      </c>
      <c r="Q13" s="108">
        <v>0.68804359436035156</v>
      </c>
      <c r="R13" s="108">
        <v>0.54983025789260864</v>
      </c>
      <c r="S13" s="108">
        <v>0.76021987199783325</v>
      </c>
      <c r="T13" s="108">
        <v>0.61172384023666382</v>
      </c>
      <c r="U13" s="107">
        <v>5.657365545630455E-2</v>
      </c>
      <c r="V13" s="107">
        <v>-8.6227722465991974E-2</v>
      </c>
    </row>
    <row r="14" spans="1:22" ht="18" thickBot="1" x14ac:dyDescent="0.25">
      <c r="A14" s="5" t="s">
        <v>9</v>
      </c>
      <c r="B14" s="2">
        <v>73980.734375</v>
      </c>
      <c r="C14" s="4" t="s">
        <v>216</v>
      </c>
      <c r="D14" s="4" t="s">
        <v>229</v>
      </c>
      <c r="E14" s="6">
        <v>1089588224</v>
      </c>
      <c r="F14" s="6">
        <v>14728</v>
      </c>
      <c r="G14" s="4" t="s">
        <v>243</v>
      </c>
      <c r="H14" s="7">
        <v>-37522444</v>
      </c>
      <c r="I14" s="7">
        <v>-41481080</v>
      </c>
      <c r="J14" s="7">
        <v>215971.0625</v>
      </c>
      <c r="K14" s="7">
        <v>-1905376128</v>
      </c>
      <c r="L14" s="7">
        <v>1127110784</v>
      </c>
      <c r="M14" s="8">
        <v>1328113792</v>
      </c>
      <c r="N14" s="8">
        <v>1958855808</v>
      </c>
      <c r="O14" s="8">
        <v>411254400</v>
      </c>
      <c r="P14" s="8">
        <v>484719456</v>
      </c>
      <c r="Q14" s="108">
        <v>0.30965298414230347</v>
      </c>
      <c r="R14" s="108">
        <v>0.24745029211044312</v>
      </c>
      <c r="S14" s="108">
        <v>0.3078954815864563</v>
      </c>
      <c r="T14" s="108">
        <v>0.2477533221244812</v>
      </c>
      <c r="U14" s="107">
        <v>-3.6218404769897461E-2</v>
      </c>
      <c r="V14" s="107">
        <v>-5.1721144467592239E-2</v>
      </c>
    </row>
    <row r="15" spans="1:22" ht="18" thickBot="1" x14ac:dyDescent="0.25">
      <c r="A15" s="5" t="s">
        <v>12</v>
      </c>
      <c r="B15" s="2">
        <v>70146.875</v>
      </c>
      <c r="C15" s="4" t="s">
        <v>216</v>
      </c>
      <c r="D15" s="4" t="s">
        <v>226</v>
      </c>
      <c r="E15" s="6">
        <v>394440867840</v>
      </c>
      <c r="F15" s="6">
        <v>5623071</v>
      </c>
      <c r="G15" s="4" t="s">
        <v>246</v>
      </c>
      <c r="H15" s="7">
        <v>54407671808</v>
      </c>
      <c r="I15" s="7">
        <v>58597707776</v>
      </c>
      <c r="J15" s="7">
        <v>-5090473472</v>
      </c>
      <c r="K15" s="7">
        <v>1391784755200</v>
      </c>
      <c r="L15" s="7">
        <v>340033175552</v>
      </c>
      <c r="M15" s="8">
        <v>407300505600</v>
      </c>
      <c r="N15" s="8">
        <v>600733908992</v>
      </c>
      <c r="O15" s="8">
        <v>448300744704</v>
      </c>
      <c r="P15" s="8">
        <v>528383606784</v>
      </c>
      <c r="Q15" s="108">
        <v>1.1006633043289185</v>
      </c>
      <c r="R15" s="108">
        <v>0.87956345081329346</v>
      </c>
      <c r="S15" s="108">
        <v>1.2998535633087158</v>
      </c>
      <c r="T15" s="108">
        <v>1.0459492206573486</v>
      </c>
      <c r="U15" s="107">
        <v>0.13942356407642365</v>
      </c>
      <c r="V15" s="107">
        <v>-1.0783047415316105E-2</v>
      </c>
    </row>
    <row r="16" spans="1:22" ht="18" thickBot="1" x14ac:dyDescent="0.25">
      <c r="A16" s="5" t="s">
        <v>13</v>
      </c>
      <c r="B16" s="2">
        <v>69266.0625</v>
      </c>
      <c r="C16" s="4" t="s">
        <v>216</v>
      </c>
      <c r="D16" s="4" t="s">
        <v>231</v>
      </c>
      <c r="E16" s="6">
        <v>215825367040</v>
      </c>
      <c r="F16" s="6">
        <v>3115889</v>
      </c>
      <c r="G16" s="4" t="s">
        <v>247</v>
      </c>
      <c r="H16" s="7">
        <v>-6488843776</v>
      </c>
      <c r="I16" s="7">
        <v>-7464173056</v>
      </c>
      <c r="J16" s="7">
        <v>1703778560</v>
      </c>
      <c r="K16" s="7">
        <v>768800456704</v>
      </c>
      <c r="L16" s="7">
        <v>222314201088</v>
      </c>
      <c r="M16" s="8">
        <v>258561671168</v>
      </c>
      <c r="N16" s="8">
        <v>381356638208</v>
      </c>
      <c r="O16" s="8">
        <v>187623915520</v>
      </c>
      <c r="P16" s="8">
        <v>221140402176</v>
      </c>
      <c r="Q16" s="108">
        <v>0.72564476728439331</v>
      </c>
      <c r="R16" s="108">
        <v>0.57987821102142334</v>
      </c>
      <c r="S16" s="108">
        <v>0.76322609186172485</v>
      </c>
      <c r="T16" s="108">
        <v>0.6141427755355835</v>
      </c>
      <c r="U16" s="107">
        <v>-3.2755941152572632E-2</v>
      </c>
      <c r="V16" s="107">
        <v>-8.9494995772838593E-2</v>
      </c>
    </row>
    <row r="17" spans="1:22" ht="18" thickBot="1" x14ac:dyDescent="0.25">
      <c r="A17" s="5" t="s">
        <v>11</v>
      </c>
      <c r="B17" s="2">
        <v>67616.46875</v>
      </c>
      <c r="C17" s="4" t="s">
        <v>216</v>
      </c>
      <c r="D17" s="4" t="s">
        <v>226</v>
      </c>
      <c r="E17" s="6">
        <v>5687762432</v>
      </c>
      <c r="F17" s="6">
        <v>84118</v>
      </c>
      <c r="G17" s="4" t="s">
        <v>245</v>
      </c>
      <c r="H17" s="7">
        <v>194490352</v>
      </c>
      <c r="I17" s="7">
        <v>166907520</v>
      </c>
      <c r="J17" s="7">
        <v>-8018694.5</v>
      </c>
      <c r="K17" s="7">
        <v>9804717056</v>
      </c>
      <c r="L17" s="7">
        <v>5493272064</v>
      </c>
      <c r="M17" s="8">
        <v>6557005312</v>
      </c>
      <c r="N17" s="8">
        <v>9671029760</v>
      </c>
      <c r="O17" s="8">
        <v>8027247616</v>
      </c>
      <c r="P17" s="8">
        <v>9461207040</v>
      </c>
      <c r="Q17" s="108">
        <v>1.2242245674133301</v>
      </c>
      <c r="R17" s="108">
        <v>0.97830396890640259</v>
      </c>
      <c r="S17" s="108">
        <v>1.1433886289596558</v>
      </c>
      <c r="T17" s="108">
        <v>0.92004704475402832</v>
      </c>
      <c r="U17" s="107">
        <v>3.4416217356920242E-2</v>
      </c>
      <c r="V17" s="107">
        <v>-6.4831869676709175E-3</v>
      </c>
    </row>
    <row r="18" spans="1:22" ht="18" thickBot="1" x14ac:dyDescent="0.25">
      <c r="A18" s="5" t="s">
        <v>19</v>
      </c>
      <c r="B18" s="2">
        <v>60793.3125</v>
      </c>
      <c r="C18" s="4" t="s">
        <v>216</v>
      </c>
      <c r="D18" s="4" t="s">
        <v>226</v>
      </c>
      <c r="E18" s="6">
        <v>322693267456</v>
      </c>
      <c r="F18" s="6">
        <v>5308039</v>
      </c>
      <c r="G18" s="4" t="s">
        <v>253</v>
      </c>
      <c r="H18" s="7">
        <v>-109083951104</v>
      </c>
      <c r="I18" s="7">
        <v>-109752639488</v>
      </c>
      <c r="J18" s="7">
        <v>-12362870</v>
      </c>
      <c r="K18" s="7">
        <v>-176097280000</v>
      </c>
      <c r="L18" s="7">
        <v>431777218560</v>
      </c>
      <c r="M18" s="8">
        <v>553287417856</v>
      </c>
      <c r="N18" s="8">
        <v>816052371456</v>
      </c>
      <c r="O18" s="8">
        <v>602729807872</v>
      </c>
      <c r="P18" s="8">
        <v>710399361024</v>
      </c>
      <c r="Q18" s="108">
        <v>1.0893610715866089</v>
      </c>
      <c r="R18" s="108">
        <v>0.87053155899047852</v>
      </c>
      <c r="S18" s="108">
        <v>1.1051734685897827</v>
      </c>
      <c r="T18" s="108">
        <v>0.88929653167724609</v>
      </c>
      <c r="U18" s="107">
        <v>-0.34172698855400085</v>
      </c>
      <c r="V18" s="107">
        <v>-1.0900299996137619E-2</v>
      </c>
    </row>
    <row r="19" spans="1:22" ht="18" thickBot="1" x14ac:dyDescent="0.25">
      <c r="A19" s="5" t="s">
        <v>16</v>
      </c>
      <c r="B19" s="2">
        <v>56006.68359375</v>
      </c>
      <c r="C19" s="4" t="s">
        <v>216</v>
      </c>
      <c r="D19" s="4" t="s">
        <v>230</v>
      </c>
      <c r="E19" s="6">
        <v>414229692416</v>
      </c>
      <c r="F19" s="6">
        <v>7396076</v>
      </c>
      <c r="G19" s="4" t="s">
        <v>250</v>
      </c>
      <c r="H19" s="7">
        <v>67642171392</v>
      </c>
      <c r="I19" s="7">
        <v>67060785152</v>
      </c>
      <c r="J19" s="7">
        <v>-824831680</v>
      </c>
      <c r="K19" s="7">
        <v>2341087739904</v>
      </c>
      <c r="L19" s="7">
        <v>346587496448</v>
      </c>
      <c r="M19" s="8">
        <v>408837324800</v>
      </c>
      <c r="N19" s="8">
        <v>603000602624</v>
      </c>
      <c r="O19" s="8">
        <v>358777421824</v>
      </c>
      <c r="P19" s="8">
        <v>422868156416</v>
      </c>
      <c r="Q19" s="108">
        <v>0.8775554895401001</v>
      </c>
      <c r="R19" s="108">
        <v>0.70127320289611816</v>
      </c>
      <c r="S19" s="108">
        <v>0.93879389762878418</v>
      </c>
      <c r="T19" s="108">
        <v>0.7554163932800293</v>
      </c>
      <c r="U19" s="107">
        <v>0.16620521247386932</v>
      </c>
      <c r="V19" s="107">
        <v>-1.7813742160797119E-2</v>
      </c>
    </row>
    <row r="20" spans="1:22" ht="18" thickBot="1" x14ac:dyDescent="0.25">
      <c r="A20" s="5" t="s">
        <v>18</v>
      </c>
      <c r="B20" s="2">
        <v>55286.77734375</v>
      </c>
      <c r="C20" s="4" t="s">
        <v>216</v>
      </c>
      <c r="D20" s="4" t="s">
        <v>230</v>
      </c>
      <c r="E20" s="6">
        <v>1277831806976</v>
      </c>
      <c r="F20" s="6">
        <v>23112793</v>
      </c>
      <c r="G20" s="4" t="s">
        <v>252</v>
      </c>
      <c r="H20" s="7">
        <v>72230813696</v>
      </c>
      <c r="I20" s="7">
        <v>68840734720</v>
      </c>
      <c r="J20" s="7">
        <v>3342662656</v>
      </c>
      <c r="K20" s="7">
        <v>2431637520384</v>
      </c>
      <c r="L20" s="7">
        <v>1205600911360</v>
      </c>
      <c r="M20" s="8">
        <v>1425366319104</v>
      </c>
      <c r="N20" s="8">
        <v>2102295134208</v>
      </c>
      <c r="O20" s="8">
        <v>833242267648</v>
      </c>
      <c r="P20" s="8">
        <v>982089728000</v>
      </c>
      <c r="Q20" s="108">
        <v>0.58458113670349121</v>
      </c>
      <c r="R20" s="108">
        <v>0.46715125441551208</v>
      </c>
      <c r="S20" s="108">
        <v>0.64281702041625977</v>
      </c>
      <c r="T20" s="108">
        <v>0.51725363731384277</v>
      </c>
      <c r="U20" s="107">
        <v>5.7481303811073303E-2</v>
      </c>
      <c r="V20" s="107">
        <v>-1.6898972913622856E-2</v>
      </c>
    </row>
    <row r="21" spans="1:22" ht="35" thickBot="1" x14ac:dyDescent="0.25">
      <c r="A21" s="5" t="s">
        <v>21</v>
      </c>
      <c r="B21" s="2">
        <v>53645.61328125</v>
      </c>
      <c r="C21" s="4" t="s">
        <v>216</v>
      </c>
      <c r="D21" s="4" t="s">
        <v>231</v>
      </c>
      <c r="E21" s="6">
        <v>608663109632</v>
      </c>
      <c r="F21" s="6">
        <v>11346000</v>
      </c>
      <c r="G21" s="4" t="s">
        <v>255</v>
      </c>
      <c r="H21" s="7">
        <v>24955228160</v>
      </c>
      <c r="I21" s="7">
        <v>10015157248</v>
      </c>
      <c r="J21" s="7">
        <v>10168041472</v>
      </c>
      <c r="K21" s="7">
        <v>1622353248256</v>
      </c>
      <c r="L21" s="7">
        <v>583707918336</v>
      </c>
      <c r="M21" s="8">
        <v>643060531200</v>
      </c>
      <c r="N21" s="8">
        <v>948460060672</v>
      </c>
      <c r="O21" s="8">
        <v>484989894656</v>
      </c>
      <c r="P21" s="8">
        <v>571626815488</v>
      </c>
      <c r="Q21" s="108">
        <v>0.75419008731842041</v>
      </c>
      <c r="R21" s="108">
        <v>0.60268938541412354</v>
      </c>
      <c r="S21" s="108">
        <v>0.79947745800018311</v>
      </c>
      <c r="T21" s="108">
        <v>0.64331305027008057</v>
      </c>
      <c r="U21" s="107">
        <v>4.7976873815059662E-2</v>
      </c>
      <c r="V21" s="107">
        <v>-0.17016571760177612</v>
      </c>
    </row>
    <row r="22" spans="1:22" ht="35" thickBot="1" x14ac:dyDescent="0.25">
      <c r="A22" s="5" t="s">
        <v>15</v>
      </c>
      <c r="B22" s="2">
        <v>53241.6328125</v>
      </c>
      <c r="C22" s="4" t="s">
        <v>216</v>
      </c>
      <c r="D22" s="4" t="s">
        <v>228</v>
      </c>
      <c r="E22" s="6">
        <v>24828170240</v>
      </c>
      <c r="F22" s="6">
        <v>466330</v>
      </c>
      <c r="G22" s="4" t="s">
        <v>249</v>
      </c>
      <c r="H22" s="7">
        <v>174838304</v>
      </c>
      <c r="I22" s="7">
        <v>-107395968</v>
      </c>
      <c r="J22" s="7">
        <v>108496400</v>
      </c>
      <c r="K22" s="7">
        <v>176605249536</v>
      </c>
      <c r="L22" s="7">
        <v>24653332480</v>
      </c>
      <c r="M22" s="8">
        <v>29255540736</v>
      </c>
      <c r="N22" s="8">
        <v>43149455360</v>
      </c>
      <c r="O22" s="8">
        <v>13992704000</v>
      </c>
      <c r="P22" s="8">
        <v>16492311552</v>
      </c>
      <c r="Q22" s="108">
        <v>0.47829243540763855</v>
      </c>
      <c r="R22" s="108">
        <v>0.38221368193626404</v>
      </c>
      <c r="S22" s="108">
        <v>0.49245369434356689</v>
      </c>
      <c r="T22" s="108">
        <v>0.39626121520996094</v>
      </c>
      <c r="U22" s="107">
        <v>7.2132563218474388E-3</v>
      </c>
      <c r="V22" s="107">
        <v>-2.4328995496034622E-2</v>
      </c>
    </row>
    <row r="23" spans="1:22" ht="18" thickBot="1" x14ac:dyDescent="0.25">
      <c r="A23" s="5" t="s">
        <v>14</v>
      </c>
      <c r="B23" s="2">
        <v>52952.34765625</v>
      </c>
      <c r="C23" s="4" t="s">
        <v>216</v>
      </c>
      <c r="D23" s="4" t="s">
        <v>229</v>
      </c>
      <c r="E23" s="6">
        <v>230819280</v>
      </c>
      <c r="F23" s="6">
        <v>4359</v>
      </c>
      <c r="G23" s="4" t="s">
        <v>248</v>
      </c>
      <c r="H23" s="7">
        <v>14634717</v>
      </c>
      <c r="I23" s="7">
        <v>14064431</v>
      </c>
      <c r="J23" s="7">
        <v>-186985.140625</v>
      </c>
      <c r="K23" s="7">
        <v>331913248</v>
      </c>
      <c r="L23" s="7">
        <v>216184560</v>
      </c>
      <c r="M23" s="8">
        <v>249957248</v>
      </c>
      <c r="N23" s="8">
        <v>368665856</v>
      </c>
      <c r="O23" s="8">
        <v>72800088</v>
      </c>
      <c r="P23" s="8">
        <v>85804840</v>
      </c>
      <c r="Q23" s="108">
        <v>0.29125013947486877</v>
      </c>
      <c r="R23" s="108">
        <v>0.23274420201778412</v>
      </c>
      <c r="S23" s="108">
        <v>0.3078954815864563</v>
      </c>
      <c r="T23" s="108">
        <v>0.2477533221244812</v>
      </c>
      <c r="U23" s="107">
        <v>3.8861710578203201E-2</v>
      </c>
      <c r="V23" s="107">
        <v>0.38707172870635986</v>
      </c>
    </row>
    <row r="24" spans="1:22" ht="18" thickBot="1" x14ac:dyDescent="0.25">
      <c r="A24" s="5" t="s">
        <v>27</v>
      </c>
      <c r="B24" s="2">
        <v>52538.98828125</v>
      </c>
      <c r="C24" s="4" t="s">
        <v>216</v>
      </c>
      <c r="D24" s="4" t="s">
        <v>229</v>
      </c>
      <c r="E24" s="6">
        <v>43921858560</v>
      </c>
      <c r="F24" s="6">
        <v>835986</v>
      </c>
      <c r="G24" s="4" t="s">
        <v>261</v>
      </c>
      <c r="H24" s="7">
        <v>-4868793856</v>
      </c>
      <c r="I24" s="7">
        <v>-4697012736</v>
      </c>
      <c r="J24" s="7">
        <v>-41050584</v>
      </c>
      <c r="K24" s="7">
        <v>2443987200</v>
      </c>
      <c r="L24" s="7">
        <v>48790650880</v>
      </c>
      <c r="M24" s="8">
        <v>55422074880</v>
      </c>
      <c r="N24" s="8">
        <v>81742888960</v>
      </c>
      <c r="O24" s="8">
        <v>22911080448</v>
      </c>
      <c r="P24" s="8">
        <v>27003834368</v>
      </c>
      <c r="Q24" s="108">
        <v>0.41339266300201416</v>
      </c>
      <c r="R24" s="108">
        <v>0.33035087585449219</v>
      </c>
      <c r="S24" s="108">
        <v>0.53593271970748901</v>
      </c>
      <c r="T24" s="108">
        <v>0.43124732375144958</v>
      </c>
      <c r="U24" s="107">
        <v>-0.10297737270593643</v>
      </c>
      <c r="V24" s="107">
        <v>7.1031197905540466E-2</v>
      </c>
    </row>
    <row r="25" spans="1:22" ht="18" thickBot="1" x14ac:dyDescent="0.25">
      <c r="A25" s="5" t="s">
        <v>20</v>
      </c>
      <c r="B25" s="2">
        <v>51844.78125</v>
      </c>
      <c r="C25" s="4" t="s">
        <v>216</v>
      </c>
      <c r="D25" s="4" t="s">
        <v>226</v>
      </c>
      <c r="E25" s="6">
        <v>464913268736</v>
      </c>
      <c r="F25" s="6">
        <v>8967407</v>
      </c>
      <c r="G25" s="4" t="s">
        <v>254</v>
      </c>
      <c r="H25" s="7">
        <v>8693670912</v>
      </c>
      <c r="I25" s="7">
        <v>32192641024</v>
      </c>
      <c r="J25" s="7">
        <v>-25268785152</v>
      </c>
      <c r="K25" s="7">
        <v>744711585792</v>
      </c>
      <c r="L25" s="7">
        <v>456219590656</v>
      </c>
      <c r="M25" s="8">
        <v>595632455680</v>
      </c>
      <c r="N25" s="8">
        <v>878507720704</v>
      </c>
      <c r="O25" s="8">
        <v>896187301888</v>
      </c>
      <c r="P25" s="8">
        <v>1056278970368</v>
      </c>
      <c r="Q25" s="108">
        <v>1.5045976638793945</v>
      </c>
      <c r="R25" s="108">
        <v>1.2023559808731079</v>
      </c>
      <c r="S25" s="108">
        <v>1.4370356798171997</v>
      </c>
      <c r="T25" s="108">
        <v>1.1563351154327393</v>
      </c>
      <c r="U25" s="107">
        <v>1.8899494782090187E-2</v>
      </c>
      <c r="V25" s="107">
        <v>-1.0692260228097439E-2</v>
      </c>
    </row>
    <row r="26" spans="1:22" ht="18" thickBot="1" x14ac:dyDescent="0.25">
      <c r="A26" s="5" t="s">
        <v>22</v>
      </c>
      <c r="B26" s="2">
        <v>49940.43359375</v>
      </c>
      <c r="C26" s="4" t="s">
        <v>217</v>
      </c>
      <c r="D26" s="4" t="s">
        <v>227</v>
      </c>
      <c r="E26" s="6">
        <v>17343104155648</v>
      </c>
      <c r="F26" s="6">
        <v>347275807</v>
      </c>
      <c r="G26" s="4" t="s">
        <v>256</v>
      </c>
      <c r="H26" s="7">
        <v>-11439797248</v>
      </c>
      <c r="I26" s="7">
        <v>14772901888</v>
      </c>
      <c r="J26" s="7">
        <v>-8216910848</v>
      </c>
      <c r="K26" s="7">
        <v>-18117858164736</v>
      </c>
      <c r="L26" s="7">
        <v>17354543071232</v>
      </c>
      <c r="M26" s="8">
        <v>20860192686080</v>
      </c>
      <c r="N26" s="8">
        <v>30767025487872</v>
      </c>
      <c r="O26" s="8">
        <v>26103915741184</v>
      </c>
      <c r="P26" s="8">
        <v>30767025487872</v>
      </c>
      <c r="Q26" s="108">
        <v>1.2513744831085205</v>
      </c>
      <c r="R26" s="108">
        <v>1</v>
      </c>
      <c r="S26" s="108">
        <v>1.2427501678466797</v>
      </c>
      <c r="T26" s="108">
        <v>1</v>
      </c>
      <c r="U26" s="107">
        <v>-6.650146096944809E-4</v>
      </c>
      <c r="V26" s="107">
        <v>-8.183695375919342E-3</v>
      </c>
    </row>
    <row r="27" spans="1:22" ht="18" thickBot="1" x14ac:dyDescent="0.25">
      <c r="A27" s="5" t="s">
        <v>17</v>
      </c>
      <c r="B27" s="2">
        <v>49726.015625</v>
      </c>
      <c r="C27" s="4" t="s">
        <v>217</v>
      </c>
      <c r="D27" s="4" t="s">
        <v>226</v>
      </c>
      <c r="E27" s="6">
        <v>298480762880</v>
      </c>
      <c r="F27" s="6">
        <v>6002507</v>
      </c>
      <c r="G27" s="4" t="s">
        <v>251</v>
      </c>
      <c r="H27" s="7">
        <v>14955708416</v>
      </c>
      <c r="I27" s="7">
        <v>16649945088</v>
      </c>
      <c r="J27" s="7">
        <v>-2020977920</v>
      </c>
      <c r="K27" s="7">
        <v>246621962240</v>
      </c>
      <c r="L27" s="7">
        <v>283525054464</v>
      </c>
      <c r="M27" s="8">
        <v>346681376768</v>
      </c>
      <c r="N27" s="8">
        <v>511325798400</v>
      </c>
      <c r="O27" s="8">
        <v>409805750272</v>
      </c>
      <c r="P27" s="8">
        <v>483011985408</v>
      </c>
      <c r="Q27" s="108">
        <v>1.1820818185806274</v>
      </c>
      <c r="R27" s="108">
        <v>0.94462668895721436</v>
      </c>
      <c r="S27" s="108">
        <v>1.242978572845459</v>
      </c>
      <c r="T27" s="108">
        <v>1.0001837015151978</v>
      </c>
      <c r="U27" s="107">
        <v>5.0754319876432419E-2</v>
      </c>
      <c r="V27" s="107">
        <v>-1.2936900369822979E-2</v>
      </c>
    </row>
    <row r="28" spans="1:22" ht="18" thickBot="1" x14ac:dyDescent="0.25">
      <c r="A28" s="5" t="s">
        <v>36</v>
      </c>
      <c r="B28" s="2">
        <v>48625.1640625</v>
      </c>
      <c r="C28" s="4" t="s">
        <v>217</v>
      </c>
      <c r="D28" s="4" t="s">
        <v>231</v>
      </c>
      <c r="E28" s="6">
        <v>1680793403392</v>
      </c>
      <c r="F28" s="6">
        <v>34566328</v>
      </c>
      <c r="G28" s="4" t="s">
        <v>270</v>
      </c>
      <c r="H28" s="7">
        <v>6024096768</v>
      </c>
      <c r="I28" s="7">
        <v>4382204416</v>
      </c>
      <c r="J28" s="7">
        <v>168980592</v>
      </c>
      <c r="K28" s="7">
        <v>2538001137664</v>
      </c>
      <c r="L28" s="7">
        <v>1674769334272</v>
      </c>
      <c r="M28" s="8">
        <v>1850256785408</v>
      </c>
      <c r="N28" s="8">
        <v>2728972779520</v>
      </c>
      <c r="O28" s="8">
        <v>1083182153728</v>
      </c>
      <c r="P28" s="8">
        <v>1276677980160</v>
      </c>
      <c r="Q28" s="108">
        <v>0.58542263507843018</v>
      </c>
      <c r="R28" s="108">
        <v>0.46782365441322327</v>
      </c>
      <c r="S28" s="108">
        <v>0.63278394937515259</v>
      </c>
      <c r="T28" s="108">
        <v>0.50918030738830566</v>
      </c>
      <c r="U28" s="107">
        <v>3.6927189212292433E-3</v>
      </c>
      <c r="V28" s="107">
        <v>-3.0311789363622665E-2</v>
      </c>
    </row>
    <row r="29" spans="1:22" ht="18" thickBot="1" x14ac:dyDescent="0.25">
      <c r="A29" s="5" t="s">
        <v>23</v>
      </c>
      <c r="B29" s="2">
        <v>48456.609375</v>
      </c>
      <c r="C29" s="4" t="s">
        <v>217</v>
      </c>
      <c r="D29" s="4" t="s">
        <v>227</v>
      </c>
      <c r="E29" s="6">
        <v>2701213696</v>
      </c>
      <c r="F29" s="6">
        <v>55745</v>
      </c>
      <c r="G29" s="4" t="s">
        <v>257</v>
      </c>
      <c r="H29" s="7">
        <v>-42814048</v>
      </c>
      <c r="I29" s="7">
        <v>-2906907.75</v>
      </c>
      <c r="J29" s="7">
        <v>-36174684</v>
      </c>
      <c r="K29" s="7">
        <v>-219606480</v>
      </c>
      <c r="L29" s="7">
        <v>2744027648</v>
      </c>
      <c r="M29" s="8">
        <v>3239293440</v>
      </c>
      <c r="N29" s="8">
        <v>4777684992</v>
      </c>
      <c r="O29" s="8">
        <v>3340372736</v>
      </c>
      <c r="P29" s="8">
        <v>3937084928</v>
      </c>
      <c r="Q29" s="108">
        <v>1.0312041044235229</v>
      </c>
      <c r="R29" s="108">
        <v>0.82405710220336914</v>
      </c>
      <c r="S29" s="108">
        <v>1.042516827583313</v>
      </c>
      <c r="T29" s="108">
        <v>0.83887887001037598</v>
      </c>
      <c r="U29" s="107">
        <v>-1.6063075512647629E-2</v>
      </c>
      <c r="V29" s="107">
        <v>-1.3447740115225315E-2</v>
      </c>
    </row>
    <row r="30" spans="1:22" ht="35" thickBot="1" x14ac:dyDescent="0.25">
      <c r="A30" s="5" t="s">
        <v>34</v>
      </c>
      <c r="B30" s="2">
        <v>48148.61328125</v>
      </c>
      <c r="C30" s="4" t="s">
        <v>217</v>
      </c>
      <c r="D30" s="4" t="s">
        <v>229</v>
      </c>
      <c r="E30" s="6">
        <v>1913040640</v>
      </c>
      <c r="F30" s="6">
        <v>39732</v>
      </c>
      <c r="G30" s="4" t="s">
        <v>268</v>
      </c>
      <c r="H30" s="7">
        <v>700194688</v>
      </c>
      <c r="I30" s="7">
        <v>672747520</v>
      </c>
      <c r="J30" s="7">
        <v>16836482</v>
      </c>
      <c r="K30" s="7">
        <v>495422144512</v>
      </c>
      <c r="L30" s="7">
        <v>1212845952</v>
      </c>
      <c r="M30" s="8">
        <v>1436089472</v>
      </c>
      <c r="N30" s="8">
        <v>2118110976</v>
      </c>
      <c r="O30" s="8">
        <v>1624294912</v>
      </c>
      <c r="P30" s="8">
        <v>1914453120</v>
      </c>
      <c r="Q30" s="108">
        <v>1.1310540437698364</v>
      </c>
      <c r="R30" s="108">
        <v>0.90384930372238159</v>
      </c>
      <c r="S30" s="108">
        <v>1.1988176107406616</v>
      </c>
      <c r="T30" s="108">
        <v>0.96464896202087402</v>
      </c>
      <c r="U30" s="107">
        <v>0.35860744118690491</v>
      </c>
      <c r="V30" s="107">
        <v>2.0228752866387367E-2</v>
      </c>
    </row>
    <row r="31" spans="1:22" ht="18" thickBot="1" x14ac:dyDescent="0.25">
      <c r="A31" s="5" t="s">
        <v>25</v>
      </c>
      <c r="B31" s="2">
        <v>47551.421875</v>
      </c>
      <c r="C31" s="4" t="s">
        <v>217</v>
      </c>
      <c r="D31" s="4" t="s">
        <v>226</v>
      </c>
      <c r="E31" s="6">
        <v>872417329152</v>
      </c>
      <c r="F31" s="6">
        <v>18346819</v>
      </c>
      <c r="G31" s="4" t="s">
        <v>259</v>
      </c>
      <c r="H31" s="7">
        <v>17800837120</v>
      </c>
      <c r="I31" s="7">
        <v>27830335488</v>
      </c>
      <c r="J31" s="7">
        <v>-9409257472</v>
      </c>
      <c r="K31" s="7">
        <v>981299036160</v>
      </c>
      <c r="L31" s="7">
        <v>854616506368</v>
      </c>
      <c r="M31" s="8">
        <v>1023999672320</v>
      </c>
      <c r="N31" s="8">
        <v>1510313295872</v>
      </c>
      <c r="O31" s="8">
        <v>1177926631424</v>
      </c>
      <c r="P31" s="8">
        <v>1388347260928</v>
      </c>
      <c r="Q31" s="108">
        <v>1.1503193378448486</v>
      </c>
      <c r="R31" s="108">
        <v>0.91924458742141724</v>
      </c>
      <c r="S31" s="108">
        <v>1.0899457931518555</v>
      </c>
      <c r="T31" s="108">
        <v>0.87704330682754517</v>
      </c>
      <c r="U31" s="107">
        <v>2.0593596622347832E-2</v>
      </c>
      <c r="V31" s="107">
        <v>-9.2901820316910744E-3</v>
      </c>
    </row>
    <row r="32" spans="1:22" ht="18" thickBot="1" x14ac:dyDescent="0.25">
      <c r="A32" s="5" t="s">
        <v>24</v>
      </c>
      <c r="B32" s="2">
        <v>45943.37890625</v>
      </c>
      <c r="C32" s="4" t="s">
        <v>217</v>
      </c>
      <c r="D32" s="4" t="s">
        <v>226</v>
      </c>
      <c r="E32" s="6">
        <v>3808889856</v>
      </c>
      <c r="F32" s="6">
        <v>82904</v>
      </c>
      <c r="G32" s="4" t="s">
        <v>258</v>
      </c>
      <c r="H32" s="7">
        <v>38276376</v>
      </c>
      <c r="I32" s="7">
        <v>111148936</v>
      </c>
      <c r="J32" s="7">
        <v>-87424496</v>
      </c>
      <c r="K32" s="7">
        <v>13404381184</v>
      </c>
      <c r="L32" s="7">
        <v>3770613504</v>
      </c>
      <c r="M32" s="8">
        <v>4455058432</v>
      </c>
      <c r="N32" s="8">
        <v>6570835456</v>
      </c>
      <c r="O32" s="8">
        <v>3979126528</v>
      </c>
      <c r="P32" s="8">
        <v>4689943552</v>
      </c>
      <c r="Q32" s="108">
        <v>0.89317041635513306</v>
      </c>
      <c r="R32" s="108">
        <v>0.71375149488449097</v>
      </c>
      <c r="S32" s="108">
        <v>0.88863289356231689</v>
      </c>
      <c r="T32" s="108">
        <v>0.71515297889709473</v>
      </c>
      <c r="U32" s="107">
        <v>9.8838182166218758E-3</v>
      </c>
      <c r="V32" s="107">
        <v>1.645931787788868E-2</v>
      </c>
    </row>
    <row r="33" spans="1:22" ht="18" thickBot="1" x14ac:dyDescent="0.25">
      <c r="A33" s="5" t="s">
        <v>26</v>
      </c>
      <c r="B33" s="2">
        <v>45180.1484375</v>
      </c>
      <c r="C33" s="4" t="s">
        <v>217</v>
      </c>
      <c r="D33" s="4" t="s">
        <v>226</v>
      </c>
      <c r="E33" s="6">
        <v>481468252160</v>
      </c>
      <c r="F33" s="6">
        <v>10656633</v>
      </c>
      <c r="G33" s="4" t="s">
        <v>260</v>
      </c>
      <c r="H33" s="7">
        <v>40582963200</v>
      </c>
      <c r="I33" s="7">
        <v>38857220096</v>
      </c>
      <c r="J33" s="7">
        <v>1638189312</v>
      </c>
      <c r="K33" s="7">
        <v>359349059584</v>
      </c>
      <c r="L33" s="7">
        <v>440885280768</v>
      </c>
      <c r="M33" s="8">
        <v>533630353408</v>
      </c>
      <c r="N33" s="8">
        <v>787059834880</v>
      </c>
      <c r="O33" s="8">
        <v>590625046528</v>
      </c>
      <c r="P33" s="8">
        <v>696132173824</v>
      </c>
      <c r="Q33" s="108">
        <v>1.1068054437637329</v>
      </c>
      <c r="R33" s="108">
        <v>0.88447177410125732</v>
      </c>
      <c r="S33" s="108">
        <v>1.2119104862213135</v>
      </c>
      <c r="T33" s="108">
        <v>0.97518432140350342</v>
      </c>
      <c r="U33" s="107">
        <v>8.5822269320487976E-2</v>
      </c>
      <c r="V33" s="107">
        <v>-1.8178423866629601E-2</v>
      </c>
    </row>
    <row r="34" spans="1:22" ht="18" thickBot="1" x14ac:dyDescent="0.25">
      <c r="A34" s="5" t="s">
        <v>28</v>
      </c>
      <c r="B34" s="2">
        <v>43639.58203125</v>
      </c>
      <c r="C34" s="4" t="s">
        <v>217</v>
      </c>
      <c r="D34" s="4" t="s">
        <v>226</v>
      </c>
      <c r="E34" s="6">
        <v>17380161536</v>
      </c>
      <c r="F34" s="6">
        <v>398266</v>
      </c>
      <c r="G34" s="4" t="s">
        <v>262</v>
      </c>
      <c r="H34" s="7">
        <v>199699744</v>
      </c>
      <c r="I34" s="7">
        <v>238343632</v>
      </c>
      <c r="J34" s="7">
        <v>-32230076</v>
      </c>
      <c r="K34" s="7">
        <v>9382126592</v>
      </c>
      <c r="L34" s="7">
        <v>17180461056</v>
      </c>
      <c r="M34" s="8">
        <v>21219514368</v>
      </c>
      <c r="N34" s="8">
        <v>31296993280</v>
      </c>
      <c r="O34" s="8">
        <v>34886385664</v>
      </c>
      <c r="P34" s="8">
        <v>41118367744</v>
      </c>
      <c r="Q34" s="108">
        <v>1.6440708637237549</v>
      </c>
      <c r="R34" s="108">
        <v>1.3138120174407959</v>
      </c>
      <c r="S34" s="108">
        <v>1.3954094648361206</v>
      </c>
      <c r="T34" s="108">
        <v>1.1228398084640503</v>
      </c>
      <c r="U34" s="107">
        <v>1.1723771691322327E-2</v>
      </c>
      <c r="V34" s="107">
        <v>-2.0337020978331566E-2</v>
      </c>
    </row>
    <row r="35" spans="1:22" ht="18" thickBot="1" x14ac:dyDescent="0.25">
      <c r="A35" s="5" t="s">
        <v>38</v>
      </c>
      <c r="B35" s="2">
        <v>43172.16796875</v>
      </c>
      <c r="C35" s="4" t="s">
        <v>217</v>
      </c>
      <c r="D35" s="4" t="s">
        <v>231</v>
      </c>
      <c r="E35" s="6">
        <v>216986681344</v>
      </c>
      <c r="F35" s="6">
        <v>5026078</v>
      </c>
      <c r="G35" s="4" t="s">
        <v>272</v>
      </c>
      <c r="H35" s="7">
        <v>46328475648</v>
      </c>
      <c r="I35" s="7">
        <v>46570426368</v>
      </c>
      <c r="J35" s="7">
        <v>-14371431</v>
      </c>
      <c r="K35" s="7">
        <v>1570793586688</v>
      </c>
      <c r="L35" s="7">
        <v>170658201600</v>
      </c>
      <c r="M35" s="8">
        <v>185548750848</v>
      </c>
      <c r="N35" s="8">
        <v>273668767744</v>
      </c>
      <c r="O35" s="8">
        <v>133737046016</v>
      </c>
      <c r="P35" s="8">
        <v>157627351040</v>
      </c>
      <c r="Q35" s="108">
        <v>0.72076499462127686</v>
      </c>
      <c r="R35" s="108">
        <v>0.57597857713699341</v>
      </c>
      <c r="S35" s="108">
        <v>0.83464992046356201</v>
      </c>
      <c r="T35" s="108">
        <v>0.67161518335342407</v>
      </c>
      <c r="U35" s="107">
        <v>0.23797233402729034</v>
      </c>
      <c r="V35" s="107">
        <v>-0.11458076536655426</v>
      </c>
    </row>
    <row r="36" spans="1:22" ht="18" thickBot="1" x14ac:dyDescent="0.25">
      <c r="A36" s="5" t="s">
        <v>37</v>
      </c>
      <c r="B36" s="2">
        <v>42499.2734375</v>
      </c>
      <c r="C36" s="4" t="s">
        <v>217</v>
      </c>
      <c r="D36" s="4" t="s">
        <v>226</v>
      </c>
      <c r="E36" s="6">
        <v>23179317248</v>
      </c>
      <c r="F36" s="6">
        <v>545405</v>
      </c>
      <c r="G36" s="4" t="s">
        <v>271</v>
      </c>
      <c r="H36" s="7">
        <v>-2152965632</v>
      </c>
      <c r="I36" s="7">
        <v>-1995486208</v>
      </c>
      <c r="J36" s="7">
        <v>-156012992</v>
      </c>
      <c r="K36" s="7">
        <v>92807110656</v>
      </c>
      <c r="L36" s="7">
        <v>25332283392</v>
      </c>
      <c r="M36" s="8">
        <v>29501057024</v>
      </c>
      <c r="N36" s="8">
        <v>43511570432</v>
      </c>
      <c r="O36" s="8">
        <v>24564219904</v>
      </c>
      <c r="P36" s="8">
        <v>28952285184</v>
      </c>
      <c r="Q36" s="108">
        <v>0.83265560865402222</v>
      </c>
      <c r="R36" s="108">
        <v>0.66539281606674194</v>
      </c>
      <c r="S36" s="108">
        <v>0.83276885747909546</v>
      </c>
      <c r="T36" s="108">
        <v>0.6701015830039978</v>
      </c>
      <c r="U36" s="107">
        <v>-9.7441315650939941E-2</v>
      </c>
      <c r="V36" s="107">
        <v>-4.9075264483690262E-2</v>
      </c>
    </row>
    <row r="37" spans="1:22" ht="18" thickBot="1" x14ac:dyDescent="0.25">
      <c r="A37" s="5" t="s">
        <v>35</v>
      </c>
      <c r="B37" s="2">
        <v>42166.83984375</v>
      </c>
      <c r="C37" s="4" t="s">
        <v>217</v>
      </c>
      <c r="D37" s="4" t="s">
        <v>227</v>
      </c>
      <c r="E37" s="6">
        <v>1692017098752</v>
      </c>
      <c r="F37" s="6">
        <v>40126723</v>
      </c>
      <c r="G37" s="4" t="s">
        <v>269</v>
      </c>
      <c r="H37" s="7">
        <v>49942507520</v>
      </c>
      <c r="I37" s="7">
        <v>51328970752</v>
      </c>
      <c r="J37" s="7">
        <v>321982464</v>
      </c>
      <c r="K37" s="7">
        <v>1417458876416</v>
      </c>
      <c r="L37" s="7">
        <v>1642074603520</v>
      </c>
      <c r="M37" s="8">
        <v>1918757765120</v>
      </c>
      <c r="N37" s="8">
        <v>2830005960704</v>
      </c>
      <c r="O37" s="8">
        <v>2024236646400</v>
      </c>
      <c r="P37" s="8">
        <v>2385839128576</v>
      </c>
      <c r="Q37" s="108">
        <v>1.0549725294113159</v>
      </c>
      <c r="R37" s="108">
        <v>0.84305089712142944</v>
      </c>
      <c r="S37" s="108">
        <v>1.1531673669815063</v>
      </c>
      <c r="T37" s="108">
        <v>0.92791563272476196</v>
      </c>
      <c r="U37" s="107">
        <v>2.9568063095211983E-2</v>
      </c>
      <c r="V37" s="107">
        <v>-1.7451980384066701E-3</v>
      </c>
    </row>
    <row r="38" spans="1:22" ht="18" thickBot="1" x14ac:dyDescent="0.25">
      <c r="A38" s="5" t="s">
        <v>29</v>
      </c>
      <c r="B38" s="2">
        <v>42067.3671875</v>
      </c>
      <c r="C38" s="4" t="s">
        <v>217</v>
      </c>
      <c r="D38" s="4" t="s">
        <v>226</v>
      </c>
      <c r="E38" s="6">
        <v>494653472768</v>
      </c>
      <c r="F38" s="6">
        <v>11758603</v>
      </c>
      <c r="G38" s="4" t="s">
        <v>263</v>
      </c>
      <c r="H38" s="7">
        <v>13795646464</v>
      </c>
      <c r="I38" s="7">
        <v>8159819264</v>
      </c>
      <c r="J38" s="7">
        <v>6151258112</v>
      </c>
      <c r="K38" s="7">
        <v>380513812480</v>
      </c>
      <c r="L38" s="7">
        <v>480857817088</v>
      </c>
      <c r="M38" s="8">
        <v>600437293056</v>
      </c>
      <c r="N38" s="8">
        <v>885594390528</v>
      </c>
      <c r="O38" s="8">
        <v>635385610240</v>
      </c>
      <c r="P38" s="8">
        <v>748888653824</v>
      </c>
      <c r="Q38" s="108">
        <v>1.0582047700881958</v>
      </c>
      <c r="R38" s="108">
        <v>0.84563392400741577</v>
      </c>
      <c r="S38" s="108">
        <v>1.0581690073013306</v>
      </c>
      <c r="T38" s="108">
        <v>0.85147362947463989</v>
      </c>
      <c r="U38" s="107">
        <v>2.8262700885534286E-2</v>
      </c>
      <c r="V38" s="107">
        <v>-1.3380828313529491E-2</v>
      </c>
    </row>
    <row r="39" spans="1:22" ht="18" thickBot="1" x14ac:dyDescent="0.25">
      <c r="A39" s="5" t="s">
        <v>30</v>
      </c>
      <c r="B39" s="2">
        <v>41797.828125</v>
      </c>
      <c r="C39" s="4" t="s">
        <v>217</v>
      </c>
      <c r="D39" s="4" t="s">
        <v>226</v>
      </c>
      <c r="E39" s="6">
        <v>3514155401216</v>
      </c>
      <c r="F39" s="6">
        <v>84075075</v>
      </c>
      <c r="G39" s="4" t="s">
        <v>264</v>
      </c>
      <c r="H39" s="7">
        <v>156755607552</v>
      </c>
      <c r="I39" s="7">
        <v>153189859328</v>
      </c>
      <c r="J39" s="7">
        <v>5294989824</v>
      </c>
      <c r="K39" s="7">
        <v>2956718768128</v>
      </c>
      <c r="L39" s="7">
        <v>3357399842816</v>
      </c>
      <c r="M39" s="8">
        <v>4159198199808</v>
      </c>
      <c r="N39" s="8">
        <v>6134466347008</v>
      </c>
      <c r="O39" s="8">
        <v>4429207044096</v>
      </c>
      <c r="P39" s="8">
        <v>5220424744960</v>
      </c>
      <c r="Q39" s="108">
        <v>1.0649185180664062</v>
      </c>
      <c r="R39" s="108">
        <v>0.85099905729293823</v>
      </c>
      <c r="S39" s="108">
        <v>1.0387390851974487</v>
      </c>
      <c r="T39" s="108">
        <v>0.83583897352218628</v>
      </c>
      <c r="U39" s="107">
        <v>4.5158520340919495E-2</v>
      </c>
      <c r="V39" s="107">
        <v>-1.2366054579615593E-2</v>
      </c>
    </row>
    <row r="40" spans="1:22" ht="18" thickBot="1" x14ac:dyDescent="0.25">
      <c r="A40" s="5" t="s">
        <v>31</v>
      </c>
      <c r="B40" s="2">
        <v>41643.890625</v>
      </c>
      <c r="C40" s="4" t="s">
        <v>217</v>
      </c>
      <c r="D40" s="4" t="s">
        <v>226</v>
      </c>
      <c r="E40" s="6">
        <v>1398068736</v>
      </c>
      <c r="F40" s="6">
        <v>33572</v>
      </c>
      <c r="G40" s="4" t="s">
        <v>265</v>
      </c>
      <c r="H40" s="7">
        <v>-147961152</v>
      </c>
      <c r="I40" s="7">
        <v>23823472</v>
      </c>
      <c r="J40" s="7">
        <v>-173669680</v>
      </c>
      <c r="K40" s="7">
        <v>3686766848</v>
      </c>
      <c r="L40" s="7">
        <v>1546029952</v>
      </c>
      <c r="M40" s="8">
        <v>1949310592</v>
      </c>
      <c r="N40" s="8">
        <v>2875068672</v>
      </c>
      <c r="O40" s="8">
        <v>1988822400</v>
      </c>
      <c r="P40" s="8">
        <v>2344098560</v>
      </c>
      <c r="Q40" s="108">
        <v>1.0202696323394775</v>
      </c>
      <c r="R40" s="108">
        <v>0.81531918048858643</v>
      </c>
      <c r="S40" s="108">
        <v>1.0397461652755737</v>
      </c>
      <c r="T40" s="108">
        <v>0.83676576614379883</v>
      </c>
      <c r="U40" s="107">
        <v>-0.10194855183362961</v>
      </c>
      <c r="V40" s="107">
        <v>3.6699350923299789E-2</v>
      </c>
    </row>
    <row r="41" spans="1:22" ht="18" thickBot="1" x14ac:dyDescent="0.25">
      <c r="A41" s="5" t="s">
        <v>32</v>
      </c>
      <c r="B41" s="2">
        <v>41639.90234375</v>
      </c>
      <c r="C41" s="4" t="s">
        <v>217</v>
      </c>
      <c r="D41" s="4" t="s">
        <v>227</v>
      </c>
      <c r="E41" s="6">
        <v>1123195813888</v>
      </c>
      <c r="F41" s="6">
        <v>26974026</v>
      </c>
      <c r="G41" s="4" t="s">
        <v>266</v>
      </c>
      <c r="H41" s="7">
        <v>-15623137280</v>
      </c>
      <c r="I41" s="7">
        <v>-7488260096</v>
      </c>
      <c r="J41" s="7">
        <v>-8308145152</v>
      </c>
      <c r="K41" s="7">
        <v>-240483958784</v>
      </c>
      <c r="L41" s="7">
        <v>1138818940928</v>
      </c>
      <c r="M41" s="8">
        <v>1377916157952</v>
      </c>
      <c r="N41" s="8">
        <v>2032310157312</v>
      </c>
      <c r="O41" s="8">
        <v>1590965567488</v>
      </c>
      <c r="P41" s="8">
        <v>1875170033664</v>
      </c>
      <c r="Q41" s="108">
        <v>1.1546171903610229</v>
      </c>
      <c r="R41" s="108">
        <v>0.92267912626266479</v>
      </c>
      <c r="S41" s="108">
        <v>1.3029633760452271</v>
      </c>
      <c r="T41" s="108">
        <v>1.0484515428543091</v>
      </c>
      <c r="U41" s="107">
        <v>-1.3893940486013889E-2</v>
      </c>
      <c r="V41" s="107">
        <v>1.1215045815333724E-3</v>
      </c>
    </row>
    <row r="42" spans="1:22" ht="18" thickBot="1" x14ac:dyDescent="0.25">
      <c r="A42" s="5" t="s">
        <v>33</v>
      </c>
      <c r="B42" s="2">
        <v>41578.578125</v>
      </c>
      <c r="C42" s="4" t="s">
        <v>217</v>
      </c>
      <c r="D42" s="4" t="s">
        <v>226</v>
      </c>
      <c r="E42" s="6">
        <v>378929446912</v>
      </c>
      <c r="F42" s="6">
        <v>9113574</v>
      </c>
      <c r="G42" s="4" t="s">
        <v>267</v>
      </c>
      <c r="H42" s="7">
        <v>4769620992</v>
      </c>
      <c r="I42" s="7">
        <v>8570811392</v>
      </c>
      <c r="J42" s="7">
        <v>-4158864640</v>
      </c>
      <c r="K42" s="7">
        <v>112344219648</v>
      </c>
      <c r="L42" s="7">
        <v>374159802368</v>
      </c>
      <c r="M42" s="8">
        <v>467525206016</v>
      </c>
      <c r="N42" s="8">
        <v>689560289280</v>
      </c>
      <c r="O42" s="8">
        <v>513508737024</v>
      </c>
      <c r="P42" s="8">
        <v>605240098816</v>
      </c>
      <c r="Q42" s="108">
        <v>1.0983551740646362</v>
      </c>
      <c r="R42" s="108">
        <v>0.87771892547607422</v>
      </c>
      <c r="S42" s="108">
        <v>1.0588068962097168</v>
      </c>
      <c r="T42" s="108">
        <v>0.85198694467544556</v>
      </c>
      <c r="U42" s="107">
        <v>1.268989872187376E-2</v>
      </c>
      <c r="V42" s="107">
        <v>-8.1673990935087204E-3</v>
      </c>
    </row>
    <row r="43" spans="1:22" ht="18" thickBot="1" x14ac:dyDescent="0.25">
      <c r="A43" s="5" t="s">
        <v>40</v>
      </c>
      <c r="B43" s="2">
        <v>41425.05859375</v>
      </c>
      <c r="C43" s="4" t="s">
        <v>217</v>
      </c>
      <c r="D43" s="4" t="s">
        <v>231</v>
      </c>
      <c r="E43" s="6">
        <v>68075122688</v>
      </c>
      <c r="F43" s="6">
        <v>1643332</v>
      </c>
      <c r="G43" s="4" t="s">
        <v>274</v>
      </c>
      <c r="H43" s="7">
        <v>-1771947136</v>
      </c>
      <c r="I43" s="7">
        <v>594075136</v>
      </c>
      <c r="J43" s="7">
        <v>-3219168256</v>
      </c>
      <c r="K43" s="7">
        <v>45436239872</v>
      </c>
      <c r="L43" s="7">
        <v>69847072768</v>
      </c>
      <c r="M43" s="8">
        <v>76565790720</v>
      </c>
      <c r="N43" s="8">
        <v>112928088064</v>
      </c>
      <c r="O43" s="8">
        <v>40117436416</v>
      </c>
      <c r="P43" s="8">
        <v>47283871744</v>
      </c>
      <c r="Q43" s="108">
        <v>0.52396029233932495</v>
      </c>
      <c r="R43" s="108">
        <v>0.41870781779289246</v>
      </c>
      <c r="S43" s="108">
        <v>0.61392307281494141</v>
      </c>
      <c r="T43" s="108">
        <v>0.49400362372398376</v>
      </c>
      <c r="U43" s="107">
        <v>-2.6953244581818581E-2</v>
      </c>
      <c r="V43" s="107">
        <v>-3.5496708005666733E-2</v>
      </c>
    </row>
    <row r="44" spans="1:22" ht="18" thickBot="1" x14ac:dyDescent="0.25">
      <c r="A44" s="5" t="s">
        <v>46</v>
      </c>
      <c r="B44" s="2">
        <v>38893.01953125</v>
      </c>
      <c r="C44" s="4" t="s">
        <v>217</v>
      </c>
      <c r="D44" s="4" t="s">
        <v>229</v>
      </c>
      <c r="E44" s="6">
        <v>125830160384</v>
      </c>
      <c r="F44" s="6">
        <v>3235289</v>
      </c>
      <c r="G44" s="4" t="s">
        <v>280</v>
      </c>
      <c r="H44" s="7">
        <v>23275264000</v>
      </c>
      <c r="I44" s="7">
        <v>21824972800</v>
      </c>
      <c r="J44" s="7">
        <v>758119040</v>
      </c>
      <c r="K44" s="7">
        <v>978279727104</v>
      </c>
      <c r="L44" s="7">
        <v>102554894336</v>
      </c>
      <c r="M44" s="8">
        <v>111786532864</v>
      </c>
      <c r="N44" s="8">
        <v>164875714560</v>
      </c>
      <c r="O44" s="8">
        <v>107348598784</v>
      </c>
      <c r="P44" s="8">
        <v>126524964864</v>
      </c>
      <c r="Q44" s="108">
        <v>0.96029984951019287</v>
      </c>
      <c r="R44" s="108">
        <v>0.76739597320556641</v>
      </c>
      <c r="S44" s="108">
        <v>0.99945461750030518</v>
      </c>
      <c r="T44" s="108">
        <v>0.80422812700271606</v>
      </c>
      <c r="U44" s="107">
        <v>0.18056182563304901</v>
      </c>
      <c r="V44" s="107">
        <v>2.3851074278354645E-2</v>
      </c>
    </row>
    <row r="45" spans="1:22" ht="18" thickBot="1" x14ac:dyDescent="0.25">
      <c r="A45" s="5" t="s">
        <v>42</v>
      </c>
      <c r="B45" s="2">
        <v>38013.4453125</v>
      </c>
      <c r="C45" s="4" t="s">
        <v>217</v>
      </c>
      <c r="D45" s="4" t="s">
        <v>226</v>
      </c>
      <c r="E45" s="6">
        <v>2643885817856</v>
      </c>
      <c r="F45" s="6">
        <v>69551332</v>
      </c>
      <c r="G45" s="4" t="s">
        <v>276</v>
      </c>
      <c r="H45" s="7">
        <v>41207799808</v>
      </c>
      <c r="I45" s="7">
        <v>41902764032</v>
      </c>
      <c r="J45" s="7">
        <v>-236219776</v>
      </c>
      <c r="K45" s="7">
        <v>137023062016</v>
      </c>
      <c r="L45" s="7">
        <v>2602678091776</v>
      </c>
      <c r="M45" s="8">
        <v>2977126416384</v>
      </c>
      <c r="N45" s="8">
        <v>4391010041856</v>
      </c>
      <c r="O45" s="8">
        <v>3530486972416</v>
      </c>
      <c r="P45" s="8">
        <v>4161160871936</v>
      </c>
      <c r="Q45" s="108">
        <v>1.1858707666397095</v>
      </c>
      <c r="R45" s="108">
        <v>0.9476546049118042</v>
      </c>
      <c r="S45" s="108">
        <v>1.1433886289596558</v>
      </c>
      <c r="T45" s="108">
        <v>0.92004704475402832</v>
      </c>
      <c r="U45" s="107">
        <v>1.5667559579014778E-2</v>
      </c>
      <c r="V45" s="107">
        <v>-5.2281012758612633E-3</v>
      </c>
    </row>
    <row r="46" spans="1:22" ht="18" thickBot="1" x14ac:dyDescent="0.25">
      <c r="A46" s="5" t="s">
        <v>39</v>
      </c>
      <c r="B46" s="2">
        <v>37176.40234375</v>
      </c>
      <c r="C46" s="4" t="s">
        <v>217</v>
      </c>
      <c r="D46" s="4" t="s">
        <v>226</v>
      </c>
      <c r="E46" s="6">
        <v>2561383858176</v>
      </c>
      <c r="F46" s="6">
        <v>68898112</v>
      </c>
      <c r="G46" s="4" t="s">
        <v>273</v>
      </c>
      <c r="H46" s="7">
        <v>93649215488</v>
      </c>
      <c r="I46" s="7">
        <v>52883361792</v>
      </c>
      <c r="J46" s="7">
        <v>37299769344</v>
      </c>
      <c r="K46" s="7">
        <v>-575827869696</v>
      </c>
      <c r="L46" s="7">
        <v>2467734749184</v>
      </c>
      <c r="M46" s="8">
        <v>3040565264384</v>
      </c>
      <c r="N46" s="8">
        <v>4484577099776</v>
      </c>
      <c r="O46" s="8">
        <v>3012660822016</v>
      </c>
      <c r="P46" s="8">
        <v>3550831968256</v>
      </c>
      <c r="Q46" s="108">
        <v>0.99082261323928833</v>
      </c>
      <c r="R46" s="108">
        <v>0.79178744554519653</v>
      </c>
      <c r="S46" s="108">
        <v>1.0346940755844116</v>
      </c>
      <c r="T46" s="108">
        <v>0.83258408308029175</v>
      </c>
      <c r="U46" s="107">
        <v>3.729536384344101E-2</v>
      </c>
      <c r="V46" s="107">
        <v>-2.0059159025549889E-2</v>
      </c>
    </row>
    <row r="47" spans="1:22" ht="18" thickBot="1" x14ac:dyDescent="0.25">
      <c r="A47" s="5" t="s">
        <v>41</v>
      </c>
      <c r="B47" s="2">
        <v>36963.29296875</v>
      </c>
      <c r="C47" s="4" t="s">
        <v>217</v>
      </c>
      <c r="D47" s="4" t="s">
        <v>226</v>
      </c>
      <c r="E47" s="6">
        <v>207856746496</v>
      </c>
      <c r="F47" s="6">
        <v>5623329</v>
      </c>
      <c r="G47" s="4" t="s">
        <v>275</v>
      </c>
      <c r="H47" s="7">
        <v>6601562624</v>
      </c>
      <c r="I47" s="7">
        <v>6589106176</v>
      </c>
      <c r="J47" s="7">
        <v>-95057200</v>
      </c>
      <c r="K47" s="7">
        <v>69323472896</v>
      </c>
      <c r="L47" s="7">
        <v>201255174144</v>
      </c>
      <c r="M47" s="8">
        <v>250745274368</v>
      </c>
      <c r="N47" s="8">
        <v>369828134912</v>
      </c>
      <c r="O47" s="8">
        <v>280539299840</v>
      </c>
      <c r="P47" s="8">
        <v>330653859840</v>
      </c>
      <c r="Q47" s="108">
        <v>1.1188218593597412</v>
      </c>
      <c r="R47" s="108">
        <v>0.89407438039779663</v>
      </c>
      <c r="S47" s="108">
        <v>1.1619744300842285</v>
      </c>
      <c r="T47" s="108">
        <v>0.93500238656997681</v>
      </c>
      <c r="U47" s="107">
        <v>3.1987439841032028E-2</v>
      </c>
      <c r="V47" s="107">
        <v>-7.1562509983778E-3</v>
      </c>
    </row>
    <row r="48" spans="1:22" ht="18" thickBot="1" x14ac:dyDescent="0.25">
      <c r="A48" s="5" t="s">
        <v>45</v>
      </c>
      <c r="B48" s="2">
        <v>35047.8359375</v>
      </c>
      <c r="C48" s="4" t="s">
        <v>218</v>
      </c>
      <c r="D48" s="4" t="s">
        <v>230</v>
      </c>
      <c r="E48" s="6">
        <v>1810817613824</v>
      </c>
      <c r="F48" s="6">
        <v>51667029</v>
      </c>
      <c r="G48" s="4" t="s">
        <v>279</v>
      </c>
      <c r="H48" s="7">
        <v>18022580224</v>
      </c>
      <c r="I48" s="7">
        <v>16913488896</v>
      </c>
      <c r="J48" s="7">
        <v>831303552</v>
      </c>
      <c r="K48" s="7">
        <v>1380795809792</v>
      </c>
      <c r="L48" s="7">
        <v>1792795082752</v>
      </c>
      <c r="M48" s="8">
        <v>2264698191872</v>
      </c>
      <c r="N48" s="8">
        <v>3340239110144</v>
      </c>
      <c r="O48" s="8">
        <v>1658045071360</v>
      </c>
      <c r="P48" s="8">
        <v>1954232270848</v>
      </c>
      <c r="Q48" s="108">
        <v>0.73212629556655884</v>
      </c>
      <c r="R48" s="108">
        <v>0.58505761623382568</v>
      </c>
      <c r="S48" s="108">
        <v>0.90154016017913818</v>
      </c>
      <c r="T48" s="108">
        <v>0.72543948888778687</v>
      </c>
      <c r="U48" s="107">
        <v>1.0051271878182888E-2</v>
      </c>
      <c r="V48" s="107">
        <v>-9.9009331315755844E-3</v>
      </c>
    </row>
    <row r="49" spans="1:22" ht="18" thickBot="1" x14ac:dyDescent="0.25">
      <c r="A49" s="5" t="s">
        <v>44</v>
      </c>
      <c r="B49" s="2">
        <v>34700.1328125</v>
      </c>
      <c r="C49" s="4" t="s">
        <v>218</v>
      </c>
      <c r="D49" s="4" t="s">
        <v>226</v>
      </c>
      <c r="E49" s="6">
        <v>2052383047680</v>
      </c>
      <c r="F49" s="6">
        <v>59146260</v>
      </c>
      <c r="G49" s="4" t="s">
        <v>278</v>
      </c>
      <c r="H49" s="7">
        <v>-1972739072</v>
      </c>
      <c r="I49" s="7">
        <v>-9575384064</v>
      </c>
      <c r="J49" s="7">
        <v>6797757440</v>
      </c>
      <c r="K49" s="7">
        <v>222241701888</v>
      </c>
      <c r="L49" s="7">
        <v>2054355812352</v>
      </c>
      <c r="M49" s="8">
        <v>2499947790336</v>
      </c>
      <c r="N49" s="8">
        <v>3687211859968</v>
      </c>
      <c r="O49" s="8">
        <v>2250387226624</v>
      </c>
      <c r="P49" s="8">
        <v>2652388458496</v>
      </c>
      <c r="Q49" s="108">
        <v>0.90017372369766235</v>
      </c>
      <c r="R49" s="108">
        <v>0.71934795379638672</v>
      </c>
      <c r="S49" s="108">
        <v>0.91918003559112549</v>
      </c>
      <c r="T49" s="108">
        <v>0.73963373899459839</v>
      </c>
      <c r="U49" s="107">
        <v>-9.7187113715335727E-4</v>
      </c>
      <c r="V49" s="107">
        <v>-1.1107794940471649E-2</v>
      </c>
    </row>
    <row r="50" spans="1:22" ht="18" thickBot="1" x14ac:dyDescent="0.25">
      <c r="A50" s="5" t="s">
        <v>43</v>
      </c>
      <c r="B50" s="2">
        <v>33692.66015625</v>
      </c>
      <c r="C50" s="4" t="s">
        <v>218</v>
      </c>
      <c r="D50" s="4" t="s">
        <v>231</v>
      </c>
      <c r="E50" s="6">
        <v>320659128320</v>
      </c>
      <c r="F50" s="6">
        <v>9517181</v>
      </c>
      <c r="G50" s="4" t="s">
        <v>277</v>
      </c>
      <c r="H50" s="7">
        <v>-11641690112</v>
      </c>
      <c r="I50" s="7">
        <v>-9435325440</v>
      </c>
      <c r="J50" s="7">
        <v>-2039565568</v>
      </c>
      <c r="K50" s="7">
        <v>165887361024</v>
      </c>
      <c r="L50" s="7">
        <v>332300812288</v>
      </c>
      <c r="M50" s="8">
        <v>387229319168</v>
      </c>
      <c r="N50" s="8">
        <v>571130576896</v>
      </c>
      <c r="O50" s="8">
        <v>531194281984</v>
      </c>
      <c r="P50" s="8">
        <v>626085003264</v>
      </c>
      <c r="Q50" s="108">
        <v>1.3717823028564453</v>
      </c>
      <c r="R50" s="108">
        <v>1.0962203741073608</v>
      </c>
      <c r="S50" s="108">
        <v>1.4072086811065674</v>
      </c>
      <c r="T50" s="108">
        <v>1.1323342323303223</v>
      </c>
      <c r="U50" s="107">
        <v>-3.5418819636106491E-2</v>
      </c>
      <c r="V50" s="107">
        <v>2.4422828108072281E-2</v>
      </c>
    </row>
    <row r="51" spans="1:22" ht="18" thickBot="1" x14ac:dyDescent="0.25">
      <c r="A51" s="5" t="s">
        <v>49</v>
      </c>
      <c r="B51" s="2">
        <v>33533.7109375</v>
      </c>
      <c r="C51" s="4" t="s">
        <v>218</v>
      </c>
      <c r="D51" s="4" t="s">
        <v>226</v>
      </c>
      <c r="E51" s="6">
        <v>1605928091648</v>
      </c>
      <c r="F51" s="6">
        <v>47889958</v>
      </c>
      <c r="G51" s="4" t="s">
        <v>283</v>
      </c>
      <c r="H51" s="7">
        <v>-3531215616</v>
      </c>
      <c r="I51" s="7">
        <v>-10480719872</v>
      </c>
      <c r="J51" s="7">
        <v>4963837440</v>
      </c>
      <c r="K51" s="7">
        <v>-567482515456</v>
      </c>
      <c r="L51" s="7">
        <v>1609459302400</v>
      </c>
      <c r="M51" s="8">
        <v>1927060389888</v>
      </c>
      <c r="N51" s="8">
        <v>2842251493376</v>
      </c>
      <c r="O51" s="8">
        <v>1684128530432</v>
      </c>
      <c r="P51" s="8">
        <v>1984975339520</v>
      </c>
      <c r="Q51" s="108">
        <v>0.87393653392791748</v>
      </c>
      <c r="R51" s="108">
        <v>0.69838130474090576</v>
      </c>
      <c r="S51" s="108">
        <v>0.86496305465698242</v>
      </c>
      <c r="T51" s="108">
        <v>0.6960071325302124</v>
      </c>
      <c r="U51" s="107">
        <v>-2.2065816447138786E-3</v>
      </c>
      <c r="V51" s="107">
        <v>-3.5104004200547934E-3</v>
      </c>
    </row>
    <row r="52" spans="1:22" ht="18" thickBot="1" x14ac:dyDescent="0.25">
      <c r="A52" s="5" t="s">
        <v>51</v>
      </c>
      <c r="B52" s="2">
        <v>32442.962890625</v>
      </c>
      <c r="C52" s="4" t="s">
        <v>218</v>
      </c>
      <c r="D52" s="4" t="s">
        <v>227</v>
      </c>
      <c r="E52" s="6">
        <v>170387161088</v>
      </c>
      <c r="F52" s="6">
        <v>5251899</v>
      </c>
      <c r="G52" s="4" t="s">
        <v>285</v>
      </c>
      <c r="H52" s="7">
        <v>-3129539328</v>
      </c>
      <c r="I52" s="7">
        <v>-2766946560</v>
      </c>
      <c r="J52" s="7">
        <v>-327192544</v>
      </c>
      <c r="K52" s="7">
        <v>-88872640512</v>
      </c>
      <c r="L52" s="7">
        <v>173516701696</v>
      </c>
      <c r="M52" s="8">
        <v>206031699968</v>
      </c>
      <c r="N52" s="8">
        <v>303879389184</v>
      </c>
      <c r="O52" s="8">
        <v>233864380416</v>
      </c>
      <c r="P52" s="8">
        <v>275641073664</v>
      </c>
      <c r="Q52" s="108">
        <v>1.1350892782211304</v>
      </c>
      <c r="R52" s="108">
        <v>0.90707403421401978</v>
      </c>
      <c r="S52" s="108">
        <v>1.2865813970565796</v>
      </c>
      <c r="T52" s="108">
        <v>1.0352694988250732</v>
      </c>
      <c r="U52" s="107">
        <v>-1.8404038622975349E-2</v>
      </c>
      <c r="V52" s="107">
        <v>-2.0043414551764727E-3</v>
      </c>
    </row>
    <row r="53" spans="1:22" ht="18" thickBot="1" x14ac:dyDescent="0.25">
      <c r="A53" s="5" t="s">
        <v>48</v>
      </c>
      <c r="B53" s="2">
        <v>32367.87109375</v>
      </c>
      <c r="C53" s="4" t="s">
        <v>218</v>
      </c>
      <c r="D53" s="4" t="s">
        <v>226</v>
      </c>
      <c r="E53" s="6">
        <v>91605737472</v>
      </c>
      <c r="F53" s="6">
        <v>2830144</v>
      </c>
      <c r="G53" s="4" t="s">
        <v>282</v>
      </c>
      <c r="H53" s="7">
        <v>-3556500736</v>
      </c>
      <c r="I53" s="7">
        <v>-3750059520</v>
      </c>
      <c r="J53" s="7">
        <v>-30024814</v>
      </c>
      <c r="K53" s="7">
        <v>3062142464</v>
      </c>
      <c r="L53" s="7">
        <v>95162236928</v>
      </c>
      <c r="M53" s="8">
        <v>111211659264</v>
      </c>
      <c r="N53" s="8">
        <v>164027826176</v>
      </c>
      <c r="O53" s="8">
        <v>83426992128</v>
      </c>
      <c r="P53" s="8">
        <v>98330099712</v>
      </c>
      <c r="Q53" s="108">
        <v>0.75016409158706665</v>
      </c>
      <c r="R53" s="108">
        <v>0.5994720458984375</v>
      </c>
      <c r="S53" s="108">
        <v>0.64666962623596191</v>
      </c>
      <c r="T53" s="108">
        <v>0.52035367488861084</v>
      </c>
      <c r="U53" s="107">
        <v>-3.9049774408340454E-2</v>
      </c>
      <c r="V53" s="107">
        <v>-5.8154738508164883E-3</v>
      </c>
    </row>
    <row r="54" spans="1:22" ht="18" thickBot="1" x14ac:dyDescent="0.25">
      <c r="A54" s="5" t="s">
        <v>47</v>
      </c>
      <c r="B54" s="2">
        <v>31132.7578125</v>
      </c>
      <c r="C54" s="4" t="s">
        <v>218</v>
      </c>
      <c r="D54" s="4" t="s">
        <v>232</v>
      </c>
      <c r="E54" s="6">
        <v>39485054976</v>
      </c>
      <c r="F54" s="6">
        <v>1268280</v>
      </c>
      <c r="G54" s="4" t="s">
        <v>281</v>
      </c>
      <c r="H54" s="7">
        <v>17303664640</v>
      </c>
      <c r="I54" s="7">
        <v>17228568576</v>
      </c>
      <c r="J54" s="7">
        <v>-11728387</v>
      </c>
      <c r="K54" s="7">
        <v>140212862976</v>
      </c>
      <c r="L54" s="7">
        <v>22181388288</v>
      </c>
      <c r="M54" s="8">
        <v>28154505216</v>
      </c>
      <c r="N54" s="8">
        <v>41525518336</v>
      </c>
      <c r="O54" s="8">
        <v>14005364736</v>
      </c>
      <c r="P54" s="8">
        <v>16507234304</v>
      </c>
      <c r="Q54" s="108">
        <v>0.4974466860294342</v>
      </c>
      <c r="R54" s="108">
        <v>0.39752024412155151</v>
      </c>
      <c r="S54" s="108">
        <v>0.4956759512424469</v>
      </c>
      <c r="T54" s="108">
        <v>0.39885401725769043</v>
      </c>
      <c r="U54" s="107">
        <v>0.46834057569503784</v>
      </c>
      <c r="V54" s="107">
        <v>-6.8701490759849548E-2</v>
      </c>
    </row>
    <row r="55" spans="1:22" ht="18" thickBot="1" x14ac:dyDescent="0.25">
      <c r="A55" s="5" t="s">
        <v>53</v>
      </c>
      <c r="B55" s="2">
        <v>31116.65234375</v>
      </c>
      <c r="C55" s="4" t="s">
        <v>218</v>
      </c>
      <c r="D55" s="4" t="s">
        <v>226</v>
      </c>
      <c r="E55" s="6">
        <v>65876193280</v>
      </c>
      <c r="F55" s="6">
        <v>2117072</v>
      </c>
      <c r="G55" s="4" t="s">
        <v>287</v>
      </c>
      <c r="H55" s="7">
        <v>-297383136</v>
      </c>
      <c r="I55" s="7">
        <v>-715846656</v>
      </c>
      <c r="J55" s="7">
        <v>318400704</v>
      </c>
      <c r="K55" s="7">
        <v>9864981504</v>
      </c>
      <c r="L55" s="7">
        <v>66173579264</v>
      </c>
      <c r="M55" s="8">
        <v>82711109632</v>
      </c>
      <c r="N55" s="8">
        <v>121991913472</v>
      </c>
      <c r="O55" s="8">
        <v>70015664128</v>
      </c>
      <c r="P55" s="8">
        <v>82523013120</v>
      </c>
      <c r="Q55" s="108">
        <v>0.84650856256484985</v>
      </c>
      <c r="R55" s="108">
        <v>0.67646300792694092</v>
      </c>
      <c r="S55" s="108">
        <v>0.79001098871231079</v>
      </c>
      <c r="T55" s="108">
        <v>0.6356956958770752</v>
      </c>
      <c r="U55" s="107">
        <v>-4.5614195987582207E-3</v>
      </c>
      <c r="V55" s="107">
        <v>-1.0443859733641148E-2</v>
      </c>
    </row>
    <row r="56" spans="1:22" ht="18" thickBot="1" x14ac:dyDescent="0.25">
      <c r="A56" s="5" t="s">
        <v>54</v>
      </c>
      <c r="B56" s="2">
        <v>30406.158203125</v>
      </c>
      <c r="C56" s="4" t="s">
        <v>218</v>
      </c>
      <c r="D56" s="4" t="s">
        <v>229</v>
      </c>
      <c r="E56" s="6">
        <v>3288334848</v>
      </c>
      <c r="F56" s="6">
        <v>108147</v>
      </c>
      <c r="G56" s="4" t="s">
        <v>288</v>
      </c>
      <c r="H56" s="7">
        <v>-87821584</v>
      </c>
      <c r="I56" s="7">
        <v>-92193384</v>
      </c>
      <c r="J56" s="7">
        <v>-13582382</v>
      </c>
      <c r="K56" s="7">
        <v>-3025935104</v>
      </c>
      <c r="L56" s="7">
        <v>3376156416</v>
      </c>
      <c r="M56" s="8">
        <v>3799037952</v>
      </c>
      <c r="N56" s="8">
        <v>5603260928</v>
      </c>
      <c r="O56" s="8">
        <v>3731934464</v>
      </c>
      <c r="P56" s="8">
        <v>4398594048</v>
      </c>
      <c r="Q56" s="108">
        <v>0.98233669996261597</v>
      </c>
      <c r="R56" s="108">
        <v>0.78500610589981079</v>
      </c>
      <c r="S56" s="108">
        <v>0.94695734977722168</v>
      </c>
      <c r="T56" s="108">
        <v>0.76198524236679077</v>
      </c>
      <c r="U56" s="107">
        <v>-2.7750538662075996E-2</v>
      </c>
      <c r="V56" s="107">
        <v>-3.9073273539543152E-2</v>
      </c>
    </row>
    <row r="57" spans="1:22" ht="18" thickBot="1" x14ac:dyDescent="0.25">
      <c r="A57" s="5" t="s">
        <v>50</v>
      </c>
      <c r="B57" s="2">
        <v>30128.634765625</v>
      </c>
      <c r="C57" s="4" t="s">
        <v>218</v>
      </c>
      <c r="D57" s="4" t="s">
        <v>230</v>
      </c>
      <c r="E57" s="6">
        <v>3708939665408</v>
      </c>
      <c r="F57" s="6">
        <v>123103479</v>
      </c>
      <c r="G57" s="4" t="s">
        <v>284</v>
      </c>
      <c r="H57" s="7">
        <v>300755025920</v>
      </c>
      <c r="I57" s="7">
        <v>297561849856</v>
      </c>
      <c r="J57" s="7">
        <v>2843715840</v>
      </c>
      <c r="K57" s="7">
        <v>3509444411392</v>
      </c>
      <c r="L57" s="7">
        <v>3408184737792</v>
      </c>
      <c r="M57" s="8">
        <v>4492499615744</v>
      </c>
      <c r="N57" s="8">
        <v>6626058174464</v>
      </c>
      <c r="O57" s="8">
        <v>3683006808064</v>
      </c>
      <c r="P57" s="8">
        <v>4340926119936</v>
      </c>
      <c r="Q57" s="108">
        <v>0.81981241703033447</v>
      </c>
      <c r="R57" s="108">
        <v>0.65512949228286743</v>
      </c>
      <c r="S57" s="108">
        <v>1.1233712434768677</v>
      </c>
      <c r="T57" s="108">
        <v>0.90393966436386108</v>
      </c>
      <c r="U57" s="107">
        <v>8.182390034198761E-2</v>
      </c>
      <c r="V57" s="107">
        <v>-9.0601369738578796E-3</v>
      </c>
    </row>
    <row r="58" spans="1:22" ht="35" thickBot="1" x14ac:dyDescent="0.25">
      <c r="A58" s="5" t="s">
        <v>52</v>
      </c>
      <c r="B58" s="2">
        <v>29759.009765625</v>
      </c>
      <c r="C58" s="4" t="s">
        <v>218</v>
      </c>
      <c r="D58" s="4" t="s">
        <v>229</v>
      </c>
      <c r="E58" s="6">
        <v>1307105024</v>
      </c>
      <c r="F58" s="6">
        <v>43923</v>
      </c>
      <c r="G58" s="4" t="s">
        <v>286</v>
      </c>
      <c r="H58" s="7">
        <v>-43259252</v>
      </c>
      <c r="I58" s="7">
        <v>-13494745</v>
      </c>
      <c r="J58" s="7">
        <v>-29722308</v>
      </c>
      <c r="K58" s="7">
        <v>-858392512</v>
      </c>
      <c r="L58" s="7">
        <v>1350364288</v>
      </c>
      <c r="M58" s="8">
        <v>1579145344</v>
      </c>
      <c r="N58" s="8">
        <v>2329106176</v>
      </c>
      <c r="O58" s="8">
        <v>1515486464</v>
      </c>
      <c r="P58" s="8">
        <v>1786207744</v>
      </c>
      <c r="Q58" s="108">
        <v>0.95968776941299438</v>
      </c>
      <c r="R58" s="108">
        <v>0.76690691709518433</v>
      </c>
      <c r="S58" s="108">
        <v>0.99858081340789795</v>
      </c>
      <c r="T58" s="108">
        <v>0.80352491140365601</v>
      </c>
      <c r="U58" s="107">
        <v>-3.6091629415750504E-2</v>
      </c>
      <c r="V58" s="107">
        <v>-9.0530849993228912E-2</v>
      </c>
    </row>
    <row r="59" spans="1:22" ht="18" thickBot="1" x14ac:dyDescent="0.25">
      <c r="A59" s="5" t="s">
        <v>55</v>
      </c>
      <c r="B59" s="2">
        <v>29576.16796875</v>
      </c>
      <c r="C59" s="4" t="s">
        <v>218</v>
      </c>
      <c r="D59" s="4" t="s">
        <v>226</v>
      </c>
      <c r="E59" s="6">
        <v>1128061992960</v>
      </c>
      <c r="F59" s="6">
        <v>38140910</v>
      </c>
      <c r="G59" s="4" t="s">
        <v>289</v>
      </c>
      <c r="H59" s="7">
        <v>-63005204480</v>
      </c>
      <c r="I59" s="7">
        <v>-64555970560</v>
      </c>
      <c r="J59" s="7">
        <v>-631470272</v>
      </c>
      <c r="K59" s="7">
        <v>-380706979840</v>
      </c>
      <c r="L59" s="7">
        <v>1191067123712</v>
      </c>
      <c r="M59" s="8">
        <v>1355621466112</v>
      </c>
      <c r="N59" s="8">
        <v>1999427338240</v>
      </c>
      <c r="O59" s="8">
        <v>827166097408</v>
      </c>
      <c r="P59" s="8">
        <v>974928150528</v>
      </c>
      <c r="Q59" s="108">
        <v>0.61017483472824097</v>
      </c>
      <c r="R59" s="108">
        <v>0.48760369420051575</v>
      </c>
      <c r="S59" s="108">
        <v>0.56404083967208862</v>
      </c>
      <c r="T59" s="108">
        <v>0.45386502146720886</v>
      </c>
      <c r="U59" s="107">
        <v>-5.5860750377178192E-2</v>
      </c>
      <c r="V59" s="107">
        <v>-1.4573814405594021E-4</v>
      </c>
    </row>
    <row r="60" spans="1:22" ht="18" thickBot="1" x14ac:dyDescent="0.25">
      <c r="A60" s="5" t="s">
        <v>60</v>
      </c>
      <c r="B60" s="2">
        <v>29258.5234375</v>
      </c>
      <c r="C60" s="4" t="s">
        <v>218</v>
      </c>
      <c r="D60" s="4" t="s">
        <v>226</v>
      </c>
      <c r="E60" s="6">
        <v>112591478784</v>
      </c>
      <c r="F60" s="6">
        <v>3848160</v>
      </c>
      <c r="G60" s="4" t="s">
        <v>294</v>
      </c>
      <c r="H60" s="7">
        <v>-301984896</v>
      </c>
      <c r="I60" s="7">
        <v>-3968414208</v>
      </c>
      <c r="J60" s="7">
        <v>3127354112</v>
      </c>
      <c r="K60" s="7">
        <v>-25365741568</v>
      </c>
      <c r="L60" s="7">
        <v>112893460480</v>
      </c>
      <c r="M60" s="8">
        <v>135693484032</v>
      </c>
      <c r="N60" s="8">
        <v>200136458240</v>
      </c>
      <c r="O60" s="8">
        <v>93585227776</v>
      </c>
      <c r="P60" s="8">
        <v>110302961664</v>
      </c>
      <c r="Q60" s="108">
        <v>0.68968105316162109</v>
      </c>
      <c r="R60" s="108">
        <v>0.55113881826400757</v>
      </c>
      <c r="S60" s="108">
        <v>0.59864866733551025</v>
      </c>
      <c r="T60" s="108">
        <v>0.48171278834342957</v>
      </c>
      <c r="U60" s="107">
        <v>-2.6408203411847353E-3</v>
      </c>
      <c r="V60" s="107">
        <v>1.5401512384414673E-2</v>
      </c>
    </row>
    <row r="61" spans="1:22" ht="18" thickBot="1" x14ac:dyDescent="0.25">
      <c r="A61" s="5" t="s">
        <v>57</v>
      </c>
      <c r="B61" s="2">
        <v>29224.78125</v>
      </c>
      <c r="C61" s="4" t="s">
        <v>218</v>
      </c>
      <c r="D61" s="4" t="s">
        <v>226</v>
      </c>
      <c r="E61" s="6">
        <v>310052683776</v>
      </c>
      <c r="F61" s="6">
        <v>10609239</v>
      </c>
      <c r="G61" s="4" t="s">
        <v>291</v>
      </c>
      <c r="H61" s="7">
        <v>-22259197952</v>
      </c>
      <c r="I61" s="7">
        <v>-23240779776</v>
      </c>
      <c r="J61" s="7">
        <v>1530414720</v>
      </c>
      <c r="K61" s="7">
        <v>-9160270848</v>
      </c>
      <c r="L61" s="7">
        <v>332311887872</v>
      </c>
      <c r="M61" s="8">
        <v>424803860480</v>
      </c>
      <c r="N61" s="8">
        <v>626549850112</v>
      </c>
      <c r="O61" s="8">
        <v>342147956736</v>
      </c>
      <c r="P61" s="8">
        <v>403268042752</v>
      </c>
      <c r="Q61" s="108">
        <v>0.80542570352554321</v>
      </c>
      <c r="R61" s="108">
        <v>0.64363282918930054</v>
      </c>
      <c r="S61" s="108">
        <v>0.72013890743255615</v>
      </c>
      <c r="T61" s="108">
        <v>0.57947194576263428</v>
      </c>
      <c r="U61" s="107">
        <v>-7.2554901242256165E-2</v>
      </c>
      <c r="V61" s="107">
        <v>-1.0631310753524303E-2</v>
      </c>
    </row>
    <row r="62" spans="1:22" ht="18" thickBot="1" x14ac:dyDescent="0.25">
      <c r="A62" s="5" t="s">
        <v>56</v>
      </c>
      <c r="B62" s="2">
        <v>29058.408203125</v>
      </c>
      <c r="C62" s="4" t="s">
        <v>218</v>
      </c>
      <c r="D62" s="4" t="s">
        <v>233</v>
      </c>
      <c r="E62" s="6">
        <v>4184334925824</v>
      </c>
      <c r="F62" s="6">
        <v>143997393</v>
      </c>
      <c r="G62" s="4" t="s">
        <v>290</v>
      </c>
      <c r="H62" s="7">
        <v>-39853043712</v>
      </c>
      <c r="I62" s="7">
        <v>-31825248256</v>
      </c>
      <c r="J62" s="7">
        <v>-8146932736</v>
      </c>
      <c r="K62" s="7">
        <v>1479842463744</v>
      </c>
      <c r="L62" s="7">
        <v>4224187891712</v>
      </c>
      <c r="M62" s="8">
        <v>4880210067456</v>
      </c>
      <c r="N62" s="8">
        <v>7197898047488</v>
      </c>
      <c r="O62" s="8">
        <v>2303163891712</v>
      </c>
      <c r="P62" s="8">
        <v>2714592870400</v>
      </c>
      <c r="Q62" s="108">
        <v>0.47193947434425354</v>
      </c>
      <c r="R62" s="108">
        <v>0.37713688611984253</v>
      </c>
      <c r="S62" s="108">
        <v>0.39963313937187195</v>
      </c>
      <c r="T62" s="108">
        <v>0.32157158851623535</v>
      </c>
      <c r="U62" s="107">
        <v>-9.6023194491863251E-3</v>
      </c>
      <c r="V62" s="107">
        <v>-8.187025785446167E-3</v>
      </c>
    </row>
    <row r="63" spans="1:22" ht="18" thickBot="1" x14ac:dyDescent="0.25">
      <c r="A63" s="5" t="s">
        <v>62</v>
      </c>
      <c r="B63" s="2">
        <v>28085.98046875</v>
      </c>
      <c r="C63" s="4" t="s">
        <v>218</v>
      </c>
      <c r="D63" s="4" t="s">
        <v>226</v>
      </c>
      <c r="E63" s="6">
        <v>531067961344</v>
      </c>
      <c r="F63" s="6">
        <v>18908650</v>
      </c>
      <c r="G63" s="4" t="s">
        <v>296</v>
      </c>
      <c r="H63" s="7">
        <v>-18589218816</v>
      </c>
      <c r="I63" s="7">
        <v>-25550561280</v>
      </c>
      <c r="J63" s="7">
        <v>4832371712</v>
      </c>
      <c r="K63" s="7">
        <v>16625902592</v>
      </c>
      <c r="L63" s="7">
        <v>549657149440</v>
      </c>
      <c r="M63" s="8">
        <v>618734551040</v>
      </c>
      <c r="N63" s="8">
        <v>912581263360</v>
      </c>
      <c r="O63" s="8">
        <v>376354013184</v>
      </c>
      <c r="P63" s="8">
        <v>443584544768</v>
      </c>
      <c r="Q63" s="108">
        <v>0.60826408863067627</v>
      </c>
      <c r="R63" s="108">
        <v>0.48607677221298218</v>
      </c>
      <c r="S63" s="108">
        <v>0.49360102415084839</v>
      </c>
      <c r="T63" s="108">
        <v>0.39718440175056458</v>
      </c>
      <c r="U63" s="107">
        <v>-3.5139955580234528E-2</v>
      </c>
      <c r="V63" s="107">
        <v>-3.8993037305772305E-3</v>
      </c>
    </row>
    <row r="64" spans="1:22" ht="18" thickBot="1" x14ac:dyDescent="0.25">
      <c r="A64" s="5" t="s">
        <v>58</v>
      </c>
      <c r="B64" s="2">
        <v>27978.76953125</v>
      </c>
      <c r="C64" s="4" t="s">
        <v>218</v>
      </c>
      <c r="D64" s="4" t="s">
        <v>226</v>
      </c>
      <c r="E64" s="6">
        <v>291310305280</v>
      </c>
      <c r="F64" s="6">
        <v>10411834</v>
      </c>
      <c r="G64" s="4" t="s">
        <v>292</v>
      </c>
      <c r="H64" s="7">
        <v>-5903134720</v>
      </c>
      <c r="I64" s="7">
        <v>-8136669696</v>
      </c>
      <c r="J64" s="7">
        <v>905778432</v>
      </c>
      <c r="K64" s="7">
        <v>-194608365568</v>
      </c>
      <c r="L64" s="7">
        <v>297213460480</v>
      </c>
      <c r="M64" s="8">
        <v>364858408960</v>
      </c>
      <c r="N64" s="8">
        <v>538135363584</v>
      </c>
      <c r="O64" s="8">
        <v>306361139200</v>
      </c>
      <c r="P64" s="8">
        <v>361088417792</v>
      </c>
      <c r="Q64" s="108">
        <v>0.83967131376266479</v>
      </c>
      <c r="R64" s="108">
        <v>0.67099922895431519</v>
      </c>
      <c r="S64" s="108">
        <v>0.79441314935684204</v>
      </c>
      <c r="T64" s="108">
        <v>0.63923799991607666</v>
      </c>
      <c r="U64" s="107">
        <v>-1.9698407500982285E-2</v>
      </c>
      <c r="V64" s="107">
        <v>2.7914892882108688E-2</v>
      </c>
    </row>
    <row r="65" spans="1:22" ht="18" thickBot="1" x14ac:dyDescent="0.25">
      <c r="A65" s="5" t="s">
        <v>59</v>
      </c>
      <c r="B65" s="2">
        <v>27345.302734375</v>
      </c>
      <c r="C65" s="4" t="s">
        <v>218</v>
      </c>
      <c r="D65" s="4" t="s">
        <v>226</v>
      </c>
      <c r="E65" s="6">
        <v>36758429696</v>
      </c>
      <c r="F65" s="6">
        <v>1344232</v>
      </c>
      <c r="G65" s="4" t="s">
        <v>293</v>
      </c>
      <c r="H65" s="7">
        <v>-585571328</v>
      </c>
      <c r="I65" s="7">
        <v>-985661696</v>
      </c>
      <c r="J65" s="7">
        <v>118715000</v>
      </c>
      <c r="K65" s="7">
        <v>-138822288</v>
      </c>
      <c r="L65" s="7">
        <v>37344002048</v>
      </c>
      <c r="M65" s="8">
        <v>45505286144</v>
      </c>
      <c r="N65" s="8">
        <v>67116457984</v>
      </c>
      <c r="O65" s="8">
        <v>41268097024</v>
      </c>
      <c r="P65" s="8">
        <v>48640086016</v>
      </c>
      <c r="Q65" s="108">
        <v>0.90688580274581909</v>
      </c>
      <c r="R65" s="108">
        <v>0.72471171617507935</v>
      </c>
      <c r="S65" s="108">
        <v>0.78504729270935059</v>
      </c>
      <c r="T65" s="108">
        <v>0.63170158863067627</v>
      </c>
      <c r="U65" s="107">
        <v>-1.5841344371438026E-2</v>
      </c>
      <c r="V65" s="107">
        <v>5.5814529769122601E-3</v>
      </c>
    </row>
    <row r="66" spans="1:22" ht="18" thickBot="1" x14ac:dyDescent="0.25">
      <c r="A66" s="5" t="s">
        <v>61</v>
      </c>
      <c r="B66" s="2">
        <v>26899.81640625</v>
      </c>
      <c r="C66" s="4" t="s">
        <v>218</v>
      </c>
      <c r="D66" s="4" t="s">
        <v>226</v>
      </c>
      <c r="E66" s="6">
        <v>267353079808</v>
      </c>
      <c r="F66" s="6">
        <v>9938844</v>
      </c>
      <c r="G66" s="4" t="s">
        <v>295</v>
      </c>
      <c r="H66" s="7">
        <v>-7091246592</v>
      </c>
      <c r="I66" s="7">
        <v>-7210236416</v>
      </c>
      <c r="J66" s="7">
        <v>-1775082752</v>
      </c>
      <c r="K66" s="7">
        <v>-366520598528</v>
      </c>
      <c r="L66" s="7">
        <v>274444320768</v>
      </c>
      <c r="M66" s="8">
        <v>317742678016</v>
      </c>
      <c r="N66" s="8">
        <v>468643676160</v>
      </c>
      <c r="O66" s="8">
        <v>249232375808</v>
      </c>
      <c r="P66" s="8">
        <v>293754372096</v>
      </c>
      <c r="Q66" s="108">
        <v>0.78438431024551392</v>
      </c>
      <c r="R66" s="108">
        <v>0.62681818008422852</v>
      </c>
      <c r="S66" s="108">
        <v>0.76551586389541626</v>
      </c>
      <c r="T66" s="108">
        <v>0.61598533391952515</v>
      </c>
      <c r="U66" s="107">
        <v>-2.6267483830451965E-2</v>
      </c>
      <c r="V66" s="107">
        <v>9.667394682765007E-3</v>
      </c>
    </row>
    <row r="67" spans="1:22" ht="18" thickBot="1" x14ac:dyDescent="0.25">
      <c r="A67" s="5" t="s">
        <v>63</v>
      </c>
      <c r="B67" s="2">
        <v>26238.3828125</v>
      </c>
      <c r="C67" s="4" t="s">
        <v>218</v>
      </c>
      <c r="D67" s="4" t="s">
        <v>226</v>
      </c>
      <c r="E67" s="6">
        <v>143652028416</v>
      </c>
      <c r="F67" s="6">
        <v>5474881</v>
      </c>
      <c r="G67" s="4" t="s">
        <v>297</v>
      </c>
      <c r="H67" s="7">
        <v>-3380213248</v>
      </c>
      <c r="I67" s="7">
        <v>-7035845120</v>
      </c>
      <c r="J67" s="7">
        <v>3301121024</v>
      </c>
      <c r="K67" s="7">
        <v>-77332045824</v>
      </c>
      <c r="L67" s="7">
        <v>147032244224</v>
      </c>
      <c r="M67" s="8">
        <v>175029682176</v>
      </c>
      <c r="N67" s="8">
        <v>258154037248</v>
      </c>
      <c r="O67" s="8">
        <v>137570156544</v>
      </c>
      <c r="P67" s="8">
        <v>162145206272</v>
      </c>
      <c r="Q67" s="108">
        <v>0.78598183393478394</v>
      </c>
      <c r="R67" s="108">
        <v>0.62809479236602783</v>
      </c>
      <c r="S67" s="108">
        <v>0.71728569269180298</v>
      </c>
      <c r="T67" s="108">
        <v>0.57717609405517578</v>
      </c>
      <c r="U67" s="107">
        <v>-2.3760922253131866E-2</v>
      </c>
      <c r="V67" s="107">
        <v>-9.7897453233599663E-3</v>
      </c>
    </row>
    <row r="68" spans="1:22" ht="18" thickBot="1" x14ac:dyDescent="0.25">
      <c r="A68" s="5" t="s">
        <v>65</v>
      </c>
      <c r="B68" s="2">
        <v>26116.787109375</v>
      </c>
      <c r="C68" s="4" t="s">
        <v>218</v>
      </c>
      <c r="D68" s="4" t="s">
        <v>229</v>
      </c>
      <c r="E68" s="6">
        <v>119384768512</v>
      </c>
      <c r="F68" s="6">
        <v>4571189</v>
      </c>
      <c r="G68" s="4" t="s">
        <v>299</v>
      </c>
      <c r="H68" s="7">
        <v>-6831431168</v>
      </c>
      <c r="I68" s="7">
        <v>-7216199680</v>
      </c>
      <c r="J68" s="7">
        <v>35481268</v>
      </c>
      <c r="K68" s="7">
        <v>-119097212928</v>
      </c>
      <c r="L68" s="7">
        <v>126216200192</v>
      </c>
      <c r="M68" s="8">
        <v>136229445632</v>
      </c>
      <c r="N68" s="8">
        <v>200926937088</v>
      </c>
      <c r="O68" s="8">
        <v>76518375424</v>
      </c>
      <c r="P68" s="8">
        <v>90187341824</v>
      </c>
      <c r="Q68" s="108">
        <v>0.56168746948242188</v>
      </c>
      <c r="R68" s="108">
        <v>0.4488564133644104</v>
      </c>
      <c r="S68" s="108">
        <v>0.62311971187591553</v>
      </c>
      <c r="T68" s="108">
        <v>0.50140386819839478</v>
      </c>
      <c r="U68" s="107">
        <v>-5.7677116245031357E-2</v>
      </c>
      <c r="V68" s="107">
        <v>-7.9541411250829697E-3</v>
      </c>
    </row>
    <row r="69" spans="1:22" ht="18" thickBot="1" x14ac:dyDescent="0.25">
      <c r="A69" s="5" t="s">
        <v>71</v>
      </c>
      <c r="B69" s="2">
        <v>25583.0625</v>
      </c>
      <c r="C69" s="4" t="s">
        <v>218</v>
      </c>
      <c r="D69" s="4" t="s">
        <v>229</v>
      </c>
      <c r="E69" s="6">
        <v>10310818816</v>
      </c>
      <c r="F69" s="6">
        <v>403033</v>
      </c>
      <c r="G69" s="4" t="s">
        <v>305</v>
      </c>
      <c r="H69" s="7">
        <v>-751168192</v>
      </c>
      <c r="I69" s="7">
        <v>-769890240</v>
      </c>
      <c r="J69" s="7">
        <v>4920570</v>
      </c>
      <c r="K69" s="7">
        <v>20681295872</v>
      </c>
      <c r="L69" s="7">
        <v>11061986304</v>
      </c>
      <c r="M69" s="8">
        <v>11866876928</v>
      </c>
      <c r="N69" s="8">
        <v>17502642176</v>
      </c>
      <c r="O69" s="8">
        <v>14005829632</v>
      </c>
      <c r="P69" s="8">
        <v>16507781120</v>
      </c>
      <c r="Q69" s="108">
        <v>1.1802456378936768</v>
      </c>
      <c r="R69" s="108">
        <v>0.94315934181213379</v>
      </c>
      <c r="S69" s="108">
        <v>1.2148736715316772</v>
      </c>
      <c r="T69" s="108">
        <v>0.97756868600845337</v>
      </c>
      <c r="U69" s="107">
        <v>-7.3028624057769775E-2</v>
      </c>
      <c r="V69" s="107">
        <v>-2.4185532238334417E-3</v>
      </c>
    </row>
    <row r="70" spans="1:22" ht="35" thickBot="1" x14ac:dyDescent="0.25">
      <c r="A70" s="5" t="s">
        <v>90</v>
      </c>
      <c r="B70" s="2">
        <v>25475.755859375</v>
      </c>
      <c r="C70" s="4" t="s">
        <v>219</v>
      </c>
      <c r="D70" s="4" t="s">
        <v>229</v>
      </c>
      <c r="E70" s="6">
        <v>1193666560</v>
      </c>
      <c r="F70" s="6">
        <v>46855</v>
      </c>
      <c r="G70" s="4" t="s">
        <v>324</v>
      </c>
      <c r="H70" s="7">
        <v>68238056</v>
      </c>
      <c r="I70" s="7">
        <v>62528844</v>
      </c>
      <c r="J70" s="7">
        <v>-1299807</v>
      </c>
      <c r="K70" s="7">
        <v>3017649152</v>
      </c>
      <c r="L70" s="7">
        <v>1125428480</v>
      </c>
      <c r="M70" s="8">
        <v>1311564160</v>
      </c>
      <c r="N70" s="8">
        <v>1934446464</v>
      </c>
      <c r="O70" s="8">
        <v>1587933568</v>
      </c>
      <c r="P70" s="8">
        <v>1871596416</v>
      </c>
      <c r="Q70" s="108">
        <v>1.2107175588607788</v>
      </c>
      <c r="R70" s="108">
        <v>0.96751004457473755</v>
      </c>
      <c r="S70" s="108">
        <v>1.3554763793945312</v>
      </c>
      <c r="T70" s="108">
        <v>1.0907070636749268</v>
      </c>
      <c r="U70" s="107">
        <v>6.2811695039272308E-2</v>
      </c>
      <c r="V70" s="107">
        <v>-9.8745040595531464E-2</v>
      </c>
    </row>
    <row r="71" spans="1:22" ht="18" thickBot="1" x14ac:dyDescent="0.25">
      <c r="A71" s="5" t="s">
        <v>64</v>
      </c>
      <c r="B71" s="2">
        <v>25406.65234375</v>
      </c>
      <c r="C71" s="4" t="s">
        <v>219</v>
      </c>
      <c r="D71" s="4" t="s">
        <v>226</v>
      </c>
      <c r="E71" s="6">
        <v>244724170752</v>
      </c>
      <c r="F71" s="6">
        <v>9632287</v>
      </c>
      <c r="G71" s="4" t="s">
        <v>298</v>
      </c>
      <c r="H71" s="7">
        <v>-6583967744</v>
      </c>
      <c r="I71" s="7">
        <v>-11669221376</v>
      </c>
      <c r="J71" s="7">
        <v>3882024448</v>
      </c>
      <c r="K71" s="7">
        <v>-52633227264</v>
      </c>
      <c r="L71" s="7">
        <v>251308146688</v>
      </c>
      <c r="M71" s="8">
        <v>310175203328</v>
      </c>
      <c r="N71" s="8">
        <v>457482272768</v>
      </c>
      <c r="O71" s="8">
        <v>216599773184</v>
      </c>
      <c r="P71" s="8">
        <v>255292391424</v>
      </c>
      <c r="Q71" s="108">
        <v>0.69831430912017822</v>
      </c>
      <c r="R71" s="108">
        <v>0.55803775787353516</v>
      </c>
      <c r="S71" s="108">
        <v>0.6081775426864624</v>
      </c>
      <c r="T71" s="108">
        <v>0.48938038945198059</v>
      </c>
      <c r="U71" s="107">
        <v>-2.6968108490109444E-2</v>
      </c>
      <c r="V71" s="107">
        <v>-2.396752592176199E-3</v>
      </c>
    </row>
    <row r="72" spans="1:22" ht="18" thickBot="1" x14ac:dyDescent="0.25">
      <c r="A72" s="5" t="s">
        <v>66</v>
      </c>
      <c r="B72" s="2">
        <v>24891.7734375</v>
      </c>
      <c r="C72" s="4" t="s">
        <v>219</v>
      </c>
      <c r="D72" s="4" t="s">
        <v>226</v>
      </c>
      <c r="E72" s="6">
        <v>34120499200</v>
      </c>
      <c r="F72" s="6">
        <v>1370754</v>
      </c>
      <c r="G72" s="4" t="s">
        <v>300</v>
      </c>
      <c r="H72" s="7">
        <v>-2661113856</v>
      </c>
      <c r="I72" s="7">
        <v>-2469983744</v>
      </c>
      <c r="J72" s="7">
        <v>-174544640</v>
      </c>
      <c r="K72" s="7">
        <v>20298250240</v>
      </c>
      <c r="L72" s="7">
        <v>36781613056</v>
      </c>
      <c r="M72" s="8">
        <v>42185052160</v>
      </c>
      <c r="N72" s="8">
        <v>62219395072</v>
      </c>
      <c r="O72" s="8">
        <v>36322193408</v>
      </c>
      <c r="P72" s="8">
        <v>42810662912</v>
      </c>
      <c r="Q72" s="108">
        <v>0.86102044582366943</v>
      </c>
      <c r="R72" s="108">
        <v>0.68805974721908569</v>
      </c>
      <c r="S72" s="108">
        <v>0.85935592651367188</v>
      </c>
      <c r="T72" s="108">
        <v>0.69149529933929443</v>
      </c>
      <c r="U72" s="107">
        <v>-8.024335652589798E-2</v>
      </c>
      <c r="V72" s="107">
        <v>-2.8871208429336548E-2</v>
      </c>
    </row>
    <row r="73" spans="1:22" ht="18" thickBot="1" x14ac:dyDescent="0.25">
      <c r="A73" s="5" t="s">
        <v>76</v>
      </c>
      <c r="B73" s="2">
        <v>24820.978515625</v>
      </c>
      <c r="C73" s="4" t="s">
        <v>219</v>
      </c>
      <c r="D73" s="4" t="s">
        <v>229</v>
      </c>
      <c r="E73" s="6">
        <v>7014979584</v>
      </c>
      <c r="F73" s="6">
        <v>282623</v>
      </c>
      <c r="G73" s="4" t="s">
        <v>310</v>
      </c>
      <c r="H73" s="7">
        <v>2396040704</v>
      </c>
      <c r="I73" s="7">
        <v>2367984640</v>
      </c>
      <c r="J73" s="7">
        <v>28953702</v>
      </c>
      <c r="K73" s="7">
        <v>-17278552064</v>
      </c>
      <c r="L73" s="7">
        <v>4618939392</v>
      </c>
      <c r="M73" s="8">
        <v>4965597184</v>
      </c>
      <c r="N73" s="8">
        <v>7323836928</v>
      </c>
      <c r="O73" s="8">
        <v>6801570816</v>
      </c>
      <c r="P73" s="8">
        <v>8016579072</v>
      </c>
      <c r="Q73" s="108">
        <v>1.3697386980056763</v>
      </c>
      <c r="R73" s="108">
        <v>1.0945873260498047</v>
      </c>
      <c r="S73" s="108">
        <v>1.4814845323562622</v>
      </c>
      <c r="T73" s="108">
        <v>1.1921017169952393</v>
      </c>
      <c r="U73" s="107">
        <v>0.34486335515975952</v>
      </c>
      <c r="V73" s="107">
        <v>-9.6696261316537857E-3</v>
      </c>
    </row>
    <row r="74" spans="1:22" ht="18" thickBot="1" x14ac:dyDescent="0.25">
      <c r="A74" s="5" t="s">
        <v>69</v>
      </c>
      <c r="B74" s="2">
        <v>24358.05078125</v>
      </c>
      <c r="C74" s="4" t="s">
        <v>219</v>
      </c>
      <c r="D74" s="4" t="s">
        <v>231</v>
      </c>
      <c r="E74" s="6">
        <v>2135846027264</v>
      </c>
      <c r="F74" s="6">
        <v>87685426</v>
      </c>
      <c r="G74" s="4" t="s">
        <v>303</v>
      </c>
      <c r="H74" s="7">
        <v>-29361303552</v>
      </c>
      <c r="I74" s="7">
        <v>-25689958400</v>
      </c>
      <c r="J74" s="7">
        <v>-1257405056</v>
      </c>
      <c r="K74" s="7">
        <v>-645570625536</v>
      </c>
      <c r="L74" s="7">
        <v>2165207334912</v>
      </c>
      <c r="M74" s="8">
        <v>2481966284800</v>
      </c>
      <c r="N74" s="8">
        <v>3660691013632</v>
      </c>
      <c r="O74" s="8">
        <v>1306977632256</v>
      </c>
      <c r="P74" s="8">
        <v>1540451598336</v>
      </c>
      <c r="Q74" s="108">
        <v>0.52658957242965698</v>
      </c>
      <c r="R74" s="108">
        <v>0.42080894112586975</v>
      </c>
      <c r="S74" s="108">
        <v>0.38637685775756836</v>
      </c>
      <c r="T74" s="108">
        <v>0.31090465188026428</v>
      </c>
      <c r="U74" s="107">
        <v>-1.3571803458034992E-2</v>
      </c>
      <c r="V74" s="107">
        <v>1.2738551013171673E-2</v>
      </c>
    </row>
    <row r="75" spans="1:22" ht="18" thickBot="1" x14ac:dyDescent="0.25">
      <c r="A75" s="5" t="s">
        <v>73</v>
      </c>
      <c r="B75" s="2">
        <v>24105.2421875</v>
      </c>
      <c r="C75" s="4" t="s">
        <v>219</v>
      </c>
      <c r="D75" s="4" t="s">
        <v>231</v>
      </c>
      <c r="E75" s="6">
        <v>132450861056</v>
      </c>
      <c r="F75" s="6">
        <v>5494691</v>
      </c>
      <c r="G75" s="4" t="s">
        <v>307</v>
      </c>
      <c r="H75" s="7">
        <v>-11379762176</v>
      </c>
      <c r="I75" s="7">
        <v>-7862169600</v>
      </c>
      <c r="J75" s="7">
        <v>-3196769792</v>
      </c>
      <c r="K75" s="7">
        <v>-26326904832</v>
      </c>
      <c r="L75" s="7">
        <v>143830614016</v>
      </c>
      <c r="M75" s="8">
        <v>157620666368</v>
      </c>
      <c r="N75" s="8">
        <v>232477196288</v>
      </c>
      <c r="O75" s="8">
        <v>90042793984</v>
      </c>
      <c r="P75" s="8">
        <v>106127720448</v>
      </c>
      <c r="Q75" s="108">
        <v>0.5712626576423645</v>
      </c>
      <c r="R75" s="108">
        <v>0.4565081000328064</v>
      </c>
      <c r="S75" s="108">
        <v>0.62277865409851074</v>
      </c>
      <c r="T75" s="108">
        <v>0.50112944841384888</v>
      </c>
      <c r="U75" s="107">
        <v>-0.10044386982917786</v>
      </c>
      <c r="V75" s="107">
        <v>-0.16908209025859833</v>
      </c>
    </row>
    <row r="76" spans="1:22" ht="18" thickBot="1" x14ac:dyDescent="0.25">
      <c r="A76" s="5" t="s">
        <v>68</v>
      </c>
      <c r="B76" s="2">
        <v>23779.041015625</v>
      </c>
      <c r="C76" s="4" t="s">
        <v>219</v>
      </c>
      <c r="D76" s="4" t="s">
        <v>233</v>
      </c>
      <c r="E76" s="6">
        <v>495644475392</v>
      </c>
      <c r="F76" s="6">
        <v>20843754</v>
      </c>
      <c r="G76" s="4" t="s">
        <v>302</v>
      </c>
      <c r="H76" s="7">
        <v>-46397014016</v>
      </c>
      <c r="I76" s="7">
        <v>-42538139648</v>
      </c>
      <c r="J76" s="7">
        <v>-3055979776</v>
      </c>
      <c r="K76" s="7">
        <v>-141087719424</v>
      </c>
      <c r="L76" s="7">
        <v>542041505792</v>
      </c>
      <c r="M76" s="8">
        <v>621449445376</v>
      </c>
      <c r="N76" s="8">
        <v>916585512960</v>
      </c>
      <c r="O76" s="8">
        <v>257260716032</v>
      </c>
      <c r="P76" s="8">
        <v>303216885760</v>
      </c>
      <c r="Q76" s="108">
        <v>0.41396886110305786</v>
      </c>
      <c r="R76" s="108">
        <v>0.33081132173538208</v>
      </c>
      <c r="S76" s="108">
        <v>0.37659132480621338</v>
      </c>
      <c r="T76" s="108">
        <v>0.3030305802822113</v>
      </c>
      <c r="U76" s="107">
        <v>-9.3738503754138947E-2</v>
      </c>
      <c r="V76" s="107">
        <v>-1.3785307528451085E-3</v>
      </c>
    </row>
    <row r="77" spans="1:22" ht="18" thickBot="1" x14ac:dyDescent="0.25">
      <c r="A77" s="5" t="s">
        <v>75</v>
      </c>
      <c r="B77" s="2">
        <v>23234.041015625</v>
      </c>
      <c r="C77" s="4" t="s">
        <v>219</v>
      </c>
      <c r="D77" s="4" t="s">
        <v>229</v>
      </c>
      <c r="E77" s="6">
        <v>78639980544</v>
      </c>
      <c r="F77" s="6">
        <v>3384688</v>
      </c>
      <c r="G77" s="4" t="s">
        <v>309</v>
      </c>
      <c r="H77" s="7">
        <v>-4631448576</v>
      </c>
      <c r="I77" s="7">
        <v>-2254217216</v>
      </c>
      <c r="J77" s="7">
        <v>-2410017792</v>
      </c>
      <c r="K77" s="7">
        <v>-12513408000</v>
      </c>
      <c r="L77" s="7">
        <v>83271426048</v>
      </c>
      <c r="M77" s="8">
        <v>87654129664</v>
      </c>
      <c r="N77" s="8">
        <v>129282449408</v>
      </c>
      <c r="O77" s="8">
        <v>73425379328</v>
      </c>
      <c r="P77" s="8">
        <v>86541828096</v>
      </c>
      <c r="Q77" s="108">
        <v>0.83767157793045044</v>
      </c>
      <c r="R77" s="108">
        <v>0.66940122842788696</v>
      </c>
      <c r="S77" s="108">
        <v>0.75505298376083374</v>
      </c>
      <c r="T77" s="108">
        <v>0.60756611824035645</v>
      </c>
      <c r="U77" s="107">
        <v>-5.886990949511528E-2</v>
      </c>
      <c r="V77" s="107">
        <v>4.1463537490926683E-4</v>
      </c>
    </row>
    <row r="78" spans="1:22" ht="18" thickBot="1" x14ac:dyDescent="0.25">
      <c r="A78" s="5" t="s">
        <v>72</v>
      </c>
      <c r="B78" s="2">
        <v>23185.935546875</v>
      </c>
      <c r="C78" s="4" t="s">
        <v>219</v>
      </c>
      <c r="D78" s="4" t="s">
        <v>228</v>
      </c>
      <c r="E78" s="6">
        <v>834179825664</v>
      </c>
      <c r="F78" s="6">
        <v>35977838</v>
      </c>
      <c r="G78" s="4" t="s">
        <v>306</v>
      </c>
      <c r="H78" s="7">
        <v>-35698020352</v>
      </c>
      <c r="I78" s="7">
        <v>-32431947776</v>
      </c>
      <c r="J78" s="7">
        <v>-6405062656</v>
      </c>
      <c r="K78" s="7">
        <v>44840484864</v>
      </c>
      <c r="L78" s="7">
        <v>869877809152</v>
      </c>
      <c r="M78" s="8">
        <v>1011300696064</v>
      </c>
      <c r="N78" s="8">
        <v>1491583238144</v>
      </c>
      <c r="O78" s="8">
        <v>407269703680</v>
      </c>
      <c r="P78" s="8">
        <v>480022888448</v>
      </c>
      <c r="Q78" s="108">
        <v>0.40271869301795959</v>
      </c>
      <c r="R78" s="108">
        <v>0.32182106375694275</v>
      </c>
      <c r="S78" s="108">
        <v>0.45434412360191345</v>
      </c>
      <c r="T78" s="108">
        <v>0.36559566855430603</v>
      </c>
      <c r="U78" s="107">
        <v>-4.1967567056417465E-2</v>
      </c>
      <c r="V78" s="107">
        <v>1.9315533339977264E-2</v>
      </c>
    </row>
    <row r="79" spans="1:22" ht="18" thickBot="1" x14ac:dyDescent="0.25">
      <c r="A79" s="5" t="s">
        <v>70</v>
      </c>
      <c r="B79" s="2">
        <v>22608.63671875</v>
      </c>
      <c r="C79" s="4" t="s">
        <v>219</v>
      </c>
      <c r="D79" s="4" t="s">
        <v>226</v>
      </c>
      <c r="E79" s="6">
        <v>41906442240</v>
      </c>
      <c r="F79" s="6">
        <v>1853559</v>
      </c>
      <c r="G79" s="4" t="s">
        <v>304</v>
      </c>
      <c r="H79" s="7">
        <v>-435855648</v>
      </c>
      <c r="I79" s="7">
        <v>-1194833536</v>
      </c>
      <c r="J79" s="7">
        <v>394685248</v>
      </c>
      <c r="K79" s="7">
        <v>-7930606592</v>
      </c>
      <c r="L79" s="7">
        <v>42342301696</v>
      </c>
      <c r="M79" s="8">
        <v>56898936832</v>
      </c>
      <c r="N79" s="8">
        <v>83921133568</v>
      </c>
      <c r="O79" s="8">
        <v>42716368896</v>
      </c>
      <c r="P79" s="8">
        <v>50347069440</v>
      </c>
      <c r="Q79" s="108">
        <v>0.75074106454849243</v>
      </c>
      <c r="R79" s="108">
        <v>0.59993314743041992</v>
      </c>
      <c r="S79" s="108">
        <v>0.6821753978729248</v>
      </c>
      <c r="T79" s="108">
        <v>0.54892396926879883</v>
      </c>
      <c r="U79" s="107">
        <v>-1.019427552819252E-2</v>
      </c>
      <c r="V79" s="107">
        <v>1.9845617935061455E-2</v>
      </c>
    </row>
    <row r="80" spans="1:22" ht="35" thickBot="1" x14ac:dyDescent="0.25">
      <c r="A80" s="5" t="s">
        <v>74</v>
      </c>
      <c r="B80" s="2">
        <v>22216.251953125</v>
      </c>
      <c r="C80" s="4" t="s">
        <v>219</v>
      </c>
      <c r="D80" s="4" t="s">
        <v>229</v>
      </c>
      <c r="E80" s="6">
        <v>1042430976</v>
      </c>
      <c r="F80" s="6">
        <v>46922</v>
      </c>
      <c r="G80" s="4" t="s">
        <v>308</v>
      </c>
      <c r="H80" s="7">
        <v>-14373329</v>
      </c>
      <c r="I80" s="7">
        <v>-29890152</v>
      </c>
      <c r="J80" s="7">
        <v>13952577</v>
      </c>
      <c r="K80" s="7">
        <v>-1049347904</v>
      </c>
      <c r="L80" s="7">
        <v>1056804352</v>
      </c>
      <c r="M80" s="8">
        <v>1156891904</v>
      </c>
      <c r="N80" s="8">
        <v>1706318080</v>
      </c>
      <c r="O80" s="8">
        <v>979894400</v>
      </c>
      <c r="P80" s="8">
        <v>1154939264</v>
      </c>
      <c r="Q80" s="108">
        <v>0.84700602293014526</v>
      </c>
      <c r="R80" s="108">
        <v>0.676860511302948</v>
      </c>
      <c r="S80" s="108">
        <v>0.84837120771408081</v>
      </c>
      <c r="T80" s="108">
        <v>0.68265628814697266</v>
      </c>
      <c r="U80" s="107">
        <v>-1.4291795901954174E-2</v>
      </c>
      <c r="V80" s="107">
        <v>-3.6517757922410965E-2</v>
      </c>
    </row>
    <row r="81" spans="1:22" ht="18" thickBot="1" x14ac:dyDescent="0.25">
      <c r="A81" s="5" t="s">
        <v>77</v>
      </c>
      <c r="B81" s="2">
        <v>21720.966796875</v>
      </c>
      <c r="C81" s="4" t="s">
        <v>219</v>
      </c>
      <c r="D81" s="4" t="s">
        <v>226</v>
      </c>
      <c r="E81" s="6">
        <v>145846730752</v>
      </c>
      <c r="F81" s="6">
        <v>6714560</v>
      </c>
      <c r="G81" s="4" t="s">
        <v>311</v>
      </c>
      <c r="H81" s="7">
        <v>-10728570880</v>
      </c>
      <c r="I81" s="7">
        <v>-12089031680</v>
      </c>
      <c r="J81" s="7">
        <v>729295104</v>
      </c>
      <c r="K81" s="7">
        <v>-4410288640</v>
      </c>
      <c r="L81" s="7">
        <v>156575301632</v>
      </c>
      <c r="M81" s="8">
        <v>180373716992</v>
      </c>
      <c r="N81" s="8">
        <v>266036035584</v>
      </c>
      <c r="O81" s="8">
        <v>115997786112</v>
      </c>
      <c r="P81" s="8">
        <v>136719220736</v>
      </c>
      <c r="Q81" s="108">
        <v>0.643096923828125</v>
      </c>
      <c r="R81" s="108">
        <v>0.51391243934631348</v>
      </c>
      <c r="S81" s="108">
        <v>0.52048265933990479</v>
      </c>
      <c r="T81" s="108">
        <v>0.41881516575813293</v>
      </c>
      <c r="U81" s="107">
        <v>-7.275613397359848E-2</v>
      </c>
      <c r="V81" s="107">
        <v>1.0935933329164982E-2</v>
      </c>
    </row>
    <row r="82" spans="1:22" ht="18" thickBot="1" x14ac:dyDescent="0.25">
      <c r="A82" s="5" t="s">
        <v>84</v>
      </c>
      <c r="B82" s="2">
        <v>20248.16015625</v>
      </c>
      <c r="C82" s="4" t="s">
        <v>219</v>
      </c>
      <c r="D82" s="4" t="s">
        <v>229</v>
      </c>
      <c r="E82" s="6">
        <v>928406044672</v>
      </c>
      <c r="F82" s="6">
        <v>45851378</v>
      </c>
      <c r="G82" s="4" t="s">
        <v>318</v>
      </c>
      <c r="H82" s="7">
        <v>-17566619648</v>
      </c>
      <c r="I82" s="7">
        <v>-17525354496</v>
      </c>
      <c r="J82" s="7">
        <v>-20840464</v>
      </c>
      <c r="K82" s="7">
        <v>96811630592</v>
      </c>
      <c r="L82" s="7">
        <v>945972707328</v>
      </c>
      <c r="M82" s="8">
        <v>1013389721600</v>
      </c>
      <c r="N82" s="8">
        <v>1494664347648</v>
      </c>
      <c r="O82" s="8">
        <v>597054062592</v>
      </c>
      <c r="P82" s="8">
        <v>703709642752</v>
      </c>
      <c r="Q82" s="108">
        <v>0.58916527032852173</v>
      </c>
      <c r="R82" s="108">
        <v>0.47081452608108521</v>
      </c>
      <c r="S82" s="108">
        <v>0.50739675760269165</v>
      </c>
      <c r="T82" s="108">
        <v>0.40828540921211243</v>
      </c>
      <c r="U82" s="107">
        <v>-1.8863597884774208E-2</v>
      </c>
      <c r="V82" s="107">
        <v>3.0479072593152523E-3</v>
      </c>
    </row>
    <row r="83" spans="1:22" ht="35" thickBot="1" x14ac:dyDescent="0.25">
      <c r="A83" s="5" t="s">
        <v>78</v>
      </c>
      <c r="B83" s="2">
        <v>20102.76171875</v>
      </c>
      <c r="C83" s="4" t="s">
        <v>219</v>
      </c>
      <c r="D83" s="4" t="s">
        <v>229</v>
      </c>
      <c r="E83" s="6">
        <v>30378387456</v>
      </c>
      <c r="F83" s="6">
        <v>1511155</v>
      </c>
      <c r="G83" s="4" t="s">
        <v>312</v>
      </c>
      <c r="H83" s="7">
        <v>-926104064</v>
      </c>
      <c r="I83" s="7">
        <v>-840453952</v>
      </c>
      <c r="J83" s="7">
        <v>-49962924</v>
      </c>
      <c r="K83" s="7">
        <v>6939335168</v>
      </c>
      <c r="L83" s="7">
        <v>31304491008</v>
      </c>
      <c r="M83" s="8">
        <v>34981068800</v>
      </c>
      <c r="N83" s="8">
        <v>51594121216</v>
      </c>
      <c r="O83" s="8">
        <v>21869058048</v>
      </c>
      <c r="P83" s="8">
        <v>25775667200</v>
      </c>
      <c r="Q83" s="108">
        <v>0.62516838312149048</v>
      </c>
      <c r="R83" s="108">
        <v>0.49958533048629761</v>
      </c>
      <c r="S83" s="108">
        <v>0.7221379280090332</v>
      </c>
      <c r="T83" s="108">
        <v>0.58108055591583252</v>
      </c>
      <c r="U83" s="107">
        <v>-3.040764108300209E-2</v>
      </c>
      <c r="V83" s="107">
        <v>2.557951956987381E-3</v>
      </c>
    </row>
    <row r="84" spans="1:22" ht="18" thickBot="1" x14ac:dyDescent="0.25">
      <c r="A84" s="5" t="s">
        <v>82</v>
      </c>
      <c r="B84" s="2">
        <v>19830.21875</v>
      </c>
      <c r="C84" s="4" t="s">
        <v>219</v>
      </c>
      <c r="D84" s="4" t="s">
        <v>226</v>
      </c>
      <c r="E84" s="6">
        <v>12547153920</v>
      </c>
      <c r="F84" s="6">
        <v>632729</v>
      </c>
      <c r="G84" s="4" t="s">
        <v>316</v>
      </c>
      <c r="H84" s="7">
        <v>22434956</v>
      </c>
      <c r="I84" s="7">
        <v>-302636096</v>
      </c>
      <c r="J84" s="7">
        <v>309516704</v>
      </c>
      <c r="K84" s="7">
        <v>-10824974336</v>
      </c>
      <c r="L84" s="7">
        <v>12524719104</v>
      </c>
      <c r="M84" s="8">
        <v>14284205056</v>
      </c>
      <c r="N84" s="8">
        <v>21067997184</v>
      </c>
      <c r="O84" s="8">
        <v>8170494976</v>
      </c>
      <c r="P84" s="8">
        <v>9630043136</v>
      </c>
      <c r="Q84" s="108">
        <v>0.5719950795173645</v>
      </c>
      <c r="R84" s="108">
        <v>0.45709341764450073</v>
      </c>
      <c r="S84" s="108">
        <v>0.48869797587394714</v>
      </c>
      <c r="T84" s="108">
        <v>0.39329379796981812</v>
      </c>
      <c r="U84" s="107">
        <v>1.7245111521333456E-3</v>
      </c>
      <c r="V84" s="107">
        <v>3.5536069422960281E-2</v>
      </c>
    </row>
    <row r="85" spans="1:22" ht="18" thickBot="1" x14ac:dyDescent="0.25">
      <c r="A85" s="5" t="s">
        <v>81</v>
      </c>
      <c r="B85" s="2">
        <v>19755.60546875</v>
      </c>
      <c r="C85" s="4" t="s">
        <v>219</v>
      </c>
      <c r="D85" s="4" t="s">
        <v>232</v>
      </c>
      <c r="E85" s="6">
        <v>2623129600</v>
      </c>
      <c r="F85" s="6">
        <v>132779</v>
      </c>
      <c r="G85" s="4" t="s">
        <v>315</v>
      </c>
      <c r="H85" s="7">
        <v>-91418752</v>
      </c>
      <c r="I85" s="7">
        <v>-79196400</v>
      </c>
      <c r="J85" s="7">
        <v>-4428315</v>
      </c>
      <c r="K85" s="7">
        <v>-4425525760</v>
      </c>
      <c r="L85" s="7">
        <v>2714548224</v>
      </c>
      <c r="M85" s="8">
        <v>2960465664</v>
      </c>
      <c r="N85" s="8">
        <v>4366437376</v>
      </c>
      <c r="O85" s="8">
        <v>1995452416</v>
      </c>
      <c r="P85" s="8">
        <v>2351913216</v>
      </c>
      <c r="Q85" s="108">
        <v>0.67403328418731689</v>
      </c>
      <c r="R85" s="108">
        <v>0.53863435983657837</v>
      </c>
      <c r="S85" s="108">
        <v>0.62108486890792847</v>
      </c>
      <c r="T85" s="108">
        <v>0.49976643919944763</v>
      </c>
      <c r="U85" s="107">
        <v>-3.5870000720024109E-2</v>
      </c>
      <c r="V85" s="107">
        <v>-2.9238009825348854E-2</v>
      </c>
    </row>
    <row r="86" spans="1:22" ht="35" thickBot="1" x14ac:dyDescent="0.25">
      <c r="A86" s="5" t="s">
        <v>79</v>
      </c>
      <c r="B86" s="2">
        <v>19613.046875</v>
      </c>
      <c r="C86" s="4" t="s">
        <v>219</v>
      </c>
      <c r="D86" s="4" t="s">
        <v>229</v>
      </c>
      <c r="E86" s="6">
        <v>1847725568</v>
      </c>
      <c r="F86" s="6">
        <v>94209</v>
      </c>
      <c r="G86" s="4" t="s">
        <v>313</v>
      </c>
      <c r="H86" s="7">
        <v>-83971360</v>
      </c>
      <c r="I86" s="7">
        <v>-87240256</v>
      </c>
      <c r="J86" s="7">
        <v>-723901.625</v>
      </c>
      <c r="K86" s="7">
        <v>-2494983168</v>
      </c>
      <c r="L86" s="7">
        <v>1931696896</v>
      </c>
      <c r="M86" s="8">
        <v>2246842368</v>
      </c>
      <c r="N86" s="8">
        <v>3313903104</v>
      </c>
      <c r="O86" s="8">
        <v>1926776576</v>
      </c>
      <c r="P86" s="8">
        <v>2270969088</v>
      </c>
      <c r="Q86" s="108">
        <v>0.85754859447479248</v>
      </c>
      <c r="R86" s="108">
        <v>0.68528532981872559</v>
      </c>
      <c r="S86" s="108">
        <v>0.83742713928222656</v>
      </c>
      <c r="T86" s="108">
        <v>0.67384994029998779</v>
      </c>
      <c r="U86" s="107">
        <v>-4.8496689647436142E-2</v>
      </c>
      <c r="V86" s="107">
        <v>-6.7132502794265747E-2</v>
      </c>
    </row>
    <row r="87" spans="1:22" ht="18" thickBot="1" x14ac:dyDescent="0.25">
      <c r="A87" s="5" t="s">
        <v>80</v>
      </c>
      <c r="B87" s="2">
        <v>19354.29296875</v>
      </c>
      <c r="C87" s="4" t="s">
        <v>219</v>
      </c>
      <c r="D87" s="4" t="s">
        <v>229</v>
      </c>
      <c r="E87" s="6">
        <v>384374734848</v>
      </c>
      <c r="F87" s="6">
        <v>19859921</v>
      </c>
      <c r="G87" s="4" t="s">
        <v>314</v>
      </c>
      <c r="H87" s="7">
        <v>-22043402240</v>
      </c>
      <c r="I87" s="7">
        <v>-20393129984</v>
      </c>
      <c r="J87" s="7">
        <v>-382334432</v>
      </c>
      <c r="K87" s="7">
        <v>-44389724160</v>
      </c>
      <c r="L87" s="7">
        <v>406418128896</v>
      </c>
      <c r="M87" s="8">
        <v>484333879296</v>
      </c>
      <c r="N87" s="8">
        <v>714351640576</v>
      </c>
      <c r="O87" s="8">
        <v>307835437056</v>
      </c>
      <c r="P87" s="8">
        <v>362826072064</v>
      </c>
      <c r="Q87" s="108">
        <v>0.63558512926101685</v>
      </c>
      <c r="R87" s="108">
        <v>0.50790965557098389</v>
      </c>
      <c r="S87" s="108">
        <v>0.69266331195831299</v>
      </c>
      <c r="T87" s="108">
        <v>0.55736321210861206</v>
      </c>
      <c r="U87" s="107">
        <v>-5.5785395205020905E-2</v>
      </c>
      <c r="V87" s="107">
        <v>2.7260107919573784E-2</v>
      </c>
    </row>
    <row r="88" spans="1:22" ht="18" thickBot="1" x14ac:dyDescent="0.25">
      <c r="A88" s="5" t="s">
        <v>83</v>
      </c>
      <c r="B88" s="2">
        <v>18934.3671875</v>
      </c>
      <c r="C88" s="4" t="s">
        <v>219</v>
      </c>
      <c r="D88" s="4" t="s">
        <v>229</v>
      </c>
      <c r="E88" s="6">
        <v>97567850496</v>
      </c>
      <c r="F88" s="6">
        <v>5152950</v>
      </c>
      <c r="G88" s="4" t="s">
        <v>317</v>
      </c>
      <c r="H88" s="7">
        <v>-10832210944</v>
      </c>
      <c r="I88" s="7">
        <v>-10690260992</v>
      </c>
      <c r="J88" s="7">
        <v>-12453560</v>
      </c>
      <c r="K88" s="7">
        <v>-48333672448</v>
      </c>
      <c r="L88" s="7">
        <v>108400066560</v>
      </c>
      <c r="M88" s="8">
        <v>114832220160</v>
      </c>
      <c r="N88" s="8">
        <v>169367846912</v>
      </c>
      <c r="O88" s="8">
        <v>85874884608</v>
      </c>
      <c r="P88" s="8">
        <v>101215272960</v>
      </c>
      <c r="Q88" s="108">
        <v>0.74782919883728027</v>
      </c>
      <c r="R88" s="108">
        <v>0.59760618209838867</v>
      </c>
      <c r="S88" s="108">
        <v>0.66887283325195312</v>
      </c>
      <c r="T88" s="108">
        <v>0.5382198691368103</v>
      </c>
      <c r="U88" s="107">
        <v>-0.11078736931085587</v>
      </c>
      <c r="V88" s="107">
        <v>2.1164210047572851E-3</v>
      </c>
    </row>
    <row r="89" spans="1:22" ht="18" thickBot="1" x14ac:dyDescent="0.25">
      <c r="A89" s="5" t="s">
        <v>197</v>
      </c>
      <c r="B89" s="2">
        <v>18766.17578125</v>
      </c>
      <c r="C89" s="4" t="s">
        <v>219</v>
      </c>
      <c r="D89" s="4" t="s">
        <v>230</v>
      </c>
      <c r="E89" s="6">
        <v>498636718080</v>
      </c>
      <c r="F89" s="6">
        <v>26571036</v>
      </c>
      <c r="G89" s="4" t="s">
        <v>431</v>
      </c>
      <c r="H89" s="7">
        <v>-26084624384</v>
      </c>
      <c r="I89" s="7">
        <v>-27498989568</v>
      </c>
      <c r="J89" s="7">
        <v>1395756032</v>
      </c>
      <c r="K89" s="7">
        <v>191396052992</v>
      </c>
      <c r="L89" s="7">
        <v>524721324032</v>
      </c>
      <c r="M89" s="8">
        <v>603187511296</v>
      </c>
      <c r="N89" s="8">
        <v>889650741248</v>
      </c>
      <c r="O89" s="8">
        <v>15260316672</v>
      </c>
      <c r="P89" s="8">
        <v>17986365440</v>
      </c>
      <c r="Q89" s="108">
        <v>2.5299457833170891E-2</v>
      </c>
      <c r="R89" s="108">
        <v>2.0217334851622581E-2</v>
      </c>
      <c r="S89" s="108">
        <v>3.0311277136206627E-2</v>
      </c>
      <c r="T89" s="108">
        <v>2.4390481412410736E-2</v>
      </c>
      <c r="U89" s="107">
        <v>-5.3271938115358353E-2</v>
      </c>
      <c r="V89" s="107">
        <v>-1.8352530896663666E-2</v>
      </c>
    </row>
    <row r="90" spans="1:22" ht="18" thickBot="1" x14ac:dyDescent="0.25">
      <c r="A90" s="5" t="s">
        <v>86</v>
      </c>
      <c r="B90" s="2">
        <v>18374.40234375</v>
      </c>
      <c r="C90" s="4" t="s">
        <v>219</v>
      </c>
      <c r="D90" s="4" t="s">
        <v>233</v>
      </c>
      <c r="E90" s="6">
        <v>165325570048</v>
      </c>
      <c r="F90" s="6">
        <v>8997603</v>
      </c>
      <c r="G90" s="4" t="s">
        <v>320</v>
      </c>
      <c r="H90" s="7">
        <v>-3234306304</v>
      </c>
      <c r="I90" s="7">
        <v>-6580770816</v>
      </c>
      <c r="J90" s="7">
        <v>2901395200</v>
      </c>
      <c r="K90" s="7">
        <v>-56689176576</v>
      </c>
      <c r="L90" s="7">
        <v>168559886336</v>
      </c>
      <c r="M90" s="8">
        <v>213070020608</v>
      </c>
      <c r="N90" s="8">
        <v>314260291584</v>
      </c>
      <c r="O90" s="8">
        <v>71495524352</v>
      </c>
      <c r="P90" s="8">
        <v>84267237376</v>
      </c>
      <c r="Q90" s="108">
        <v>0.33554944396018982</v>
      </c>
      <c r="R90" s="108">
        <v>0.26814469695091248</v>
      </c>
      <c r="S90" s="108">
        <v>0.33710438013076782</v>
      </c>
      <c r="T90" s="108">
        <v>0.27125674486160278</v>
      </c>
      <c r="U90" s="107">
        <v>-1.9181881099939346E-2</v>
      </c>
      <c r="V90" s="107">
        <v>1.9494414329528809E-2</v>
      </c>
    </row>
    <row r="91" spans="1:22" ht="18" thickBot="1" x14ac:dyDescent="0.25">
      <c r="A91" s="5" t="s">
        <v>67</v>
      </c>
      <c r="B91" s="2">
        <v>18356.138671875</v>
      </c>
      <c r="C91" s="4" t="s">
        <v>220</v>
      </c>
      <c r="D91" s="4" t="s">
        <v>227</v>
      </c>
      <c r="E91" s="6">
        <v>5421173248</v>
      </c>
      <c r="F91" s="6">
        <v>295333</v>
      </c>
      <c r="G91" s="4" t="s">
        <v>301</v>
      </c>
      <c r="H91" s="7">
        <v>447577056</v>
      </c>
      <c r="I91" s="7">
        <v>86304664</v>
      </c>
      <c r="J91" s="7">
        <v>347881824</v>
      </c>
      <c r="K91" s="7">
        <v>-13955501056</v>
      </c>
      <c r="L91" s="7">
        <v>4973596160</v>
      </c>
      <c r="M91" s="8">
        <v>5921840640</v>
      </c>
      <c r="N91" s="8">
        <v>8734215168</v>
      </c>
      <c r="O91" s="8">
        <v>6912717312</v>
      </c>
      <c r="P91" s="8">
        <v>8147580928</v>
      </c>
      <c r="Q91" s="108">
        <v>1.1673258543014526</v>
      </c>
      <c r="R91" s="108">
        <v>0.9328349232673645</v>
      </c>
      <c r="S91" s="108">
        <v>1.3360406160354614</v>
      </c>
      <c r="T91" s="108">
        <v>1.0750677585601807</v>
      </c>
      <c r="U91" s="107">
        <v>7.8943066298961639E-2</v>
      </c>
      <c r="V91" s="107">
        <v>4.3820418417453766E-2</v>
      </c>
    </row>
    <row r="92" spans="1:22" ht="18" thickBot="1" x14ac:dyDescent="0.25">
      <c r="A92" s="5" t="s">
        <v>85</v>
      </c>
      <c r="B92" s="2">
        <v>17553.548828125</v>
      </c>
      <c r="C92" s="4" t="s">
        <v>220</v>
      </c>
      <c r="D92" s="4" t="s">
        <v>227</v>
      </c>
      <c r="E92" s="6">
        <v>4958263296</v>
      </c>
      <c r="F92" s="6">
        <v>282465</v>
      </c>
      <c r="G92" s="4" t="s">
        <v>319</v>
      </c>
      <c r="H92" s="7">
        <v>1237733376</v>
      </c>
      <c r="I92" s="7">
        <v>-347229.59375</v>
      </c>
      <c r="J92" s="7">
        <v>354278720</v>
      </c>
      <c r="K92" s="7">
        <v>-629720896</v>
      </c>
      <c r="L92" s="7">
        <v>3720529920</v>
      </c>
      <c r="M92" s="8">
        <v>4788279808</v>
      </c>
      <c r="N92" s="8">
        <v>7062309376</v>
      </c>
      <c r="O92" s="8">
        <v>6019577856</v>
      </c>
      <c r="P92" s="8">
        <v>7094894080</v>
      </c>
      <c r="Q92" s="108">
        <v>1.257148265838623</v>
      </c>
      <c r="R92" s="108">
        <v>1.0046138763427734</v>
      </c>
      <c r="S92" s="108">
        <v>1.3360406160354614</v>
      </c>
      <c r="T92" s="108">
        <v>1.0750677585601807</v>
      </c>
      <c r="U92" s="107">
        <v>0.22653114795684814</v>
      </c>
      <c r="V92" s="107">
        <v>9.2533856630325317E-2</v>
      </c>
    </row>
    <row r="93" spans="1:22" ht="18" thickBot="1" x14ac:dyDescent="0.25">
      <c r="A93" s="5" t="s">
        <v>89</v>
      </c>
      <c r="B93" s="2">
        <v>17424.966796875</v>
      </c>
      <c r="C93" s="4" t="s">
        <v>220</v>
      </c>
      <c r="D93" s="4" t="s">
        <v>229</v>
      </c>
      <c r="E93" s="6">
        <v>3232104960</v>
      </c>
      <c r="F93" s="6">
        <v>185487</v>
      </c>
      <c r="G93" s="4" t="s">
        <v>323</v>
      </c>
      <c r="H93" s="7">
        <v>-3751011.75</v>
      </c>
      <c r="I93" s="7">
        <v>-76336544</v>
      </c>
      <c r="J93" s="7">
        <v>71857696</v>
      </c>
      <c r="K93" s="7">
        <v>-73678856192</v>
      </c>
      <c r="L93" s="7">
        <v>3235855872</v>
      </c>
      <c r="M93" s="8">
        <v>3739421184</v>
      </c>
      <c r="N93" s="8">
        <v>5515331072</v>
      </c>
      <c r="O93" s="8">
        <v>3279034368</v>
      </c>
      <c r="P93" s="8">
        <v>3864789760</v>
      </c>
      <c r="Q93" s="108">
        <v>0.87688285112380981</v>
      </c>
      <c r="R93" s="108">
        <v>0.70073580741882324</v>
      </c>
      <c r="S93" s="108">
        <v>0.8879656195640564</v>
      </c>
      <c r="T93" s="108">
        <v>0.71451652050018311</v>
      </c>
      <c r="U93" s="107">
        <v>-1.2033772654831409E-3</v>
      </c>
      <c r="V93" s="107">
        <v>-3.6904741078615189E-2</v>
      </c>
    </row>
    <row r="94" spans="1:22" ht="18" thickBot="1" x14ac:dyDescent="0.25">
      <c r="A94" s="5" t="s">
        <v>92</v>
      </c>
      <c r="B94" s="2">
        <v>17268.76171875</v>
      </c>
      <c r="C94" s="4" t="s">
        <v>220</v>
      </c>
      <c r="D94" s="4" t="s">
        <v>233</v>
      </c>
      <c r="E94" s="6">
        <v>65736491008</v>
      </c>
      <c r="F94" s="6">
        <v>3806671</v>
      </c>
      <c r="G94" s="4" t="s">
        <v>326</v>
      </c>
      <c r="H94" s="7">
        <v>-4726284288</v>
      </c>
      <c r="I94" s="7">
        <v>-5797869568</v>
      </c>
      <c r="J94" s="7">
        <v>1355056000</v>
      </c>
      <c r="K94" s="7">
        <v>-62594273280</v>
      </c>
      <c r="L94" s="7">
        <v>70462775296</v>
      </c>
      <c r="M94" s="8">
        <v>78519386112</v>
      </c>
      <c r="N94" s="8">
        <v>115809468416</v>
      </c>
      <c r="O94" s="8">
        <v>32695519232</v>
      </c>
      <c r="P94" s="8">
        <v>38536130560</v>
      </c>
      <c r="Q94" s="108">
        <v>0.41640061140060425</v>
      </c>
      <c r="R94" s="108">
        <v>0.33275458216667175</v>
      </c>
      <c r="S94" s="108">
        <v>0.33392250537872314</v>
      </c>
      <c r="T94" s="108">
        <v>0.26869639754295349</v>
      </c>
      <c r="U94" s="107">
        <v>-6.6354066133499146E-2</v>
      </c>
      <c r="V94" s="107">
        <v>7.7100880444049835E-2</v>
      </c>
    </row>
    <row r="95" spans="1:22" ht="35" thickBot="1" x14ac:dyDescent="0.25">
      <c r="A95" s="5" t="s">
        <v>87</v>
      </c>
      <c r="B95" s="2">
        <v>17016.1875</v>
      </c>
      <c r="C95" s="4" t="s">
        <v>220</v>
      </c>
      <c r="D95" s="4" t="s">
        <v>229</v>
      </c>
      <c r="E95" s="6">
        <v>196034772992</v>
      </c>
      <c r="F95" s="6">
        <v>11520487</v>
      </c>
      <c r="G95" s="4" t="s">
        <v>321</v>
      </c>
      <c r="H95" s="7">
        <v>-14108150784</v>
      </c>
      <c r="I95" s="7">
        <v>-14520534016</v>
      </c>
      <c r="J95" s="7">
        <v>635308608</v>
      </c>
      <c r="K95" s="7">
        <v>-166038847488</v>
      </c>
      <c r="L95" s="7">
        <v>210142920704</v>
      </c>
      <c r="M95" s="8">
        <v>224411385856</v>
      </c>
      <c r="N95" s="8">
        <v>330987864064</v>
      </c>
      <c r="O95" s="8">
        <v>112729128960</v>
      </c>
      <c r="P95" s="8">
        <v>132866662400</v>
      </c>
      <c r="Q95" s="108">
        <v>0.50233250856399536</v>
      </c>
      <c r="R95" s="108">
        <v>0.40142455697059631</v>
      </c>
      <c r="S95" s="108">
        <v>0.48051536083221436</v>
      </c>
      <c r="T95" s="108">
        <v>0.38665482401847839</v>
      </c>
      <c r="U95" s="107">
        <v>-6.7417465150356293E-2</v>
      </c>
      <c r="V95" s="107">
        <v>6.3224717974662781E-2</v>
      </c>
    </row>
    <row r="96" spans="1:22" ht="18" thickBot="1" x14ac:dyDescent="0.25">
      <c r="A96" s="5" t="s">
        <v>91</v>
      </c>
      <c r="B96" s="2">
        <v>16754.029296875</v>
      </c>
      <c r="C96" s="4" t="s">
        <v>220</v>
      </c>
      <c r="D96" s="4" t="s">
        <v>226</v>
      </c>
      <c r="E96" s="6">
        <v>112068354048</v>
      </c>
      <c r="F96" s="6">
        <v>6689039</v>
      </c>
      <c r="G96" s="4" t="s">
        <v>325</v>
      </c>
      <c r="H96" s="7">
        <v>-8651920384</v>
      </c>
      <c r="I96" s="7">
        <v>-8525060096</v>
      </c>
      <c r="J96" s="7">
        <v>-122924280</v>
      </c>
      <c r="K96" s="7">
        <v>-79476342784</v>
      </c>
      <c r="L96" s="7">
        <v>120720277504</v>
      </c>
      <c r="M96" s="8">
        <v>143420325888</v>
      </c>
      <c r="N96" s="8">
        <v>211532906496</v>
      </c>
      <c r="O96" s="8">
        <v>87699767296</v>
      </c>
      <c r="P96" s="8">
        <v>103366139904</v>
      </c>
      <c r="Q96" s="108">
        <v>0.61148768663406372</v>
      </c>
      <c r="R96" s="108">
        <v>0.48865276575088501</v>
      </c>
      <c r="S96" s="108">
        <v>0.51398235559463501</v>
      </c>
      <c r="T96" s="108">
        <v>0.41358458995819092</v>
      </c>
      <c r="U96" s="107">
        <v>-7.3232769966125488E-2</v>
      </c>
      <c r="V96" s="107">
        <v>5.1415592432022095E-2</v>
      </c>
    </row>
    <row r="97" spans="1:22" ht="18" thickBot="1" x14ac:dyDescent="0.25">
      <c r="A97" s="5" t="s">
        <v>88</v>
      </c>
      <c r="B97" s="2">
        <v>16243.30859375</v>
      </c>
      <c r="C97" s="4" t="s">
        <v>220</v>
      </c>
      <c r="D97" s="4" t="s">
        <v>229</v>
      </c>
      <c r="E97" s="6">
        <v>177656365056</v>
      </c>
      <c r="F97" s="6">
        <v>10937203</v>
      </c>
      <c r="G97" s="4" t="s">
        <v>322</v>
      </c>
      <c r="H97" s="7">
        <v>-2581737472</v>
      </c>
      <c r="I97" s="7">
        <v>-2960244992</v>
      </c>
      <c r="J97" s="7">
        <v>407960928</v>
      </c>
      <c r="K97" s="7">
        <v>-41585926144</v>
      </c>
      <c r="L97" s="7">
        <v>180238106624</v>
      </c>
      <c r="M97" s="8">
        <v>210588024832</v>
      </c>
      <c r="N97" s="8">
        <v>310599581696</v>
      </c>
      <c r="O97" s="8">
        <v>279761256448</v>
      </c>
      <c r="P97" s="8">
        <v>329736814592</v>
      </c>
      <c r="Q97" s="108">
        <v>1.3284765481948853</v>
      </c>
      <c r="R97" s="108">
        <v>1.0616137981414795</v>
      </c>
      <c r="S97" s="108">
        <v>0.57978707551956177</v>
      </c>
      <c r="T97" s="108">
        <v>0.46653547883033752</v>
      </c>
      <c r="U97" s="107">
        <v>-1.4073381200432777E-2</v>
      </c>
      <c r="V97" s="107">
        <v>3.1572367995977402E-2</v>
      </c>
    </row>
    <row r="98" spans="1:22" ht="18" thickBot="1" x14ac:dyDescent="0.25">
      <c r="A98" s="5" t="s">
        <v>94</v>
      </c>
      <c r="B98" s="2">
        <v>15891.3349609375</v>
      </c>
      <c r="C98" s="4" t="s">
        <v>220</v>
      </c>
      <c r="D98" s="4" t="s">
        <v>230</v>
      </c>
      <c r="E98" s="6">
        <v>22503657308160</v>
      </c>
      <c r="F98" s="6">
        <v>1416096094</v>
      </c>
      <c r="G98" s="4" t="s">
        <v>328</v>
      </c>
      <c r="H98" s="7">
        <v>-386281046016</v>
      </c>
      <c r="I98" s="7">
        <v>-340396081152</v>
      </c>
      <c r="J98" s="7">
        <v>-46363521024</v>
      </c>
      <c r="K98" s="7">
        <v>5489616224256</v>
      </c>
      <c r="L98" s="7">
        <v>22889938026496</v>
      </c>
      <c r="M98" s="8">
        <v>27988651409408</v>
      </c>
      <c r="N98" s="8">
        <v>41280902004736</v>
      </c>
      <c r="O98" s="8">
        <v>16600751144960</v>
      </c>
      <c r="P98" s="8">
        <v>19566249902080</v>
      </c>
      <c r="Q98" s="108">
        <v>0.5931243896484375</v>
      </c>
      <c r="R98" s="108">
        <v>0.47397828102111816</v>
      </c>
      <c r="S98" s="108">
        <v>0.76839393377304077</v>
      </c>
      <c r="T98" s="108">
        <v>0.6183011531829834</v>
      </c>
      <c r="U98" s="107">
        <v>-1.7170669510960579E-2</v>
      </c>
      <c r="V98" s="107">
        <v>-3.1532521825283766E-4</v>
      </c>
    </row>
    <row r="99" spans="1:22" ht="18" thickBot="1" x14ac:dyDescent="0.25">
      <c r="A99" s="5" t="s">
        <v>93</v>
      </c>
      <c r="B99" s="2">
        <v>15763.78125</v>
      </c>
      <c r="C99" s="4" t="s">
        <v>220</v>
      </c>
      <c r="D99" s="4" t="s">
        <v>233</v>
      </c>
      <c r="E99" s="6">
        <v>163907272704</v>
      </c>
      <c r="F99" s="6">
        <v>10397713</v>
      </c>
      <c r="G99" s="4" t="s">
        <v>327</v>
      </c>
      <c r="H99" s="7">
        <v>-4716526592</v>
      </c>
      <c r="I99" s="7">
        <v>-4855563776</v>
      </c>
      <c r="J99" s="7">
        <v>234402848</v>
      </c>
      <c r="K99" s="7">
        <v>49067560960</v>
      </c>
      <c r="L99" s="7">
        <v>168623800320</v>
      </c>
      <c r="M99" s="8">
        <v>181248344064</v>
      </c>
      <c r="N99" s="8">
        <v>267326029824</v>
      </c>
      <c r="O99" s="8">
        <v>64333238272</v>
      </c>
      <c r="P99" s="8">
        <v>75825504256</v>
      </c>
      <c r="Q99" s="108">
        <v>0.35494524240493774</v>
      </c>
      <c r="R99" s="108">
        <v>0.28364428877830505</v>
      </c>
      <c r="S99" s="108">
        <v>0.3341815173625946</v>
      </c>
      <c r="T99" s="108">
        <v>0.26890480518341064</v>
      </c>
      <c r="U99" s="107">
        <v>-2.8699757531285286E-2</v>
      </c>
      <c r="V99" s="107">
        <v>2.6349292602390051E-3</v>
      </c>
    </row>
    <row r="100" spans="1:22" ht="35" thickBot="1" x14ac:dyDescent="0.25">
      <c r="A100" s="5" t="s">
        <v>98</v>
      </c>
      <c r="B100" s="2">
        <v>15733.400390625</v>
      </c>
      <c r="C100" s="4" t="s">
        <v>220</v>
      </c>
      <c r="D100" s="4" t="s">
        <v>226</v>
      </c>
      <c r="E100" s="6">
        <v>49404370944</v>
      </c>
      <c r="F100" s="6">
        <v>3140095</v>
      </c>
      <c r="G100" s="4" t="s">
        <v>332</v>
      </c>
      <c r="H100" s="7">
        <v>-127496792</v>
      </c>
      <c r="I100" s="7">
        <v>-1461236864</v>
      </c>
      <c r="J100" s="7">
        <v>1337884928</v>
      </c>
      <c r="K100" s="7">
        <v>-9548730368</v>
      </c>
      <c r="L100" s="7">
        <v>49531867136</v>
      </c>
      <c r="M100" s="8">
        <v>56880873472</v>
      </c>
      <c r="N100" s="8">
        <v>83894484992</v>
      </c>
      <c r="O100" s="8">
        <v>29757011968</v>
      </c>
      <c r="P100" s="8">
        <v>35072700416</v>
      </c>
      <c r="Q100" s="108">
        <v>0.52314621210098267</v>
      </c>
      <c r="R100" s="108">
        <v>0.41805726289749146</v>
      </c>
      <c r="S100" s="108">
        <v>0.4957849383354187</v>
      </c>
      <c r="T100" s="108">
        <v>0.3989417552947998</v>
      </c>
      <c r="U100" s="107">
        <v>-2.3777610622346401E-3</v>
      </c>
      <c r="V100" s="107">
        <v>7.8629486262798309E-2</v>
      </c>
    </row>
    <row r="101" spans="1:22" ht="18" thickBot="1" x14ac:dyDescent="0.25">
      <c r="A101" s="5" t="s">
        <v>95</v>
      </c>
      <c r="B101" s="2">
        <v>15553.8984375</v>
      </c>
      <c r="C101" s="4" t="s">
        <v>220</v>
      </c>
      <c r="D101" s="4" t="s">
        <v>229</v>
      </c>
      <c r="E101" s="6">
        <v>2802019328</v>
      </c>
      <c r="F101" s="6">
        <v>180149</v>
      </c>
      <c r="G101" s="4" t="s">
        <v>329</v>
      </c>
      <c r="H101" s="7">
        <v>-319657728</v>
      </c>
      <c r="I101" s="7">
        <v>-323368928</v>
      </c>
      <c r="J101" s="7">
        <v>317557.90625</v>
      </c>
      <c r="K101" s="7">
        <v>-1663192960</v>
      </c>
      <c r="L101" s="7">
        <v>3121677056</v>
      </c>
      <c r="M101" s="8">
        <v>3590061824</v>
      </c>
      <c r="N101" s="8">
        <v>5295038464</v>
      </c>
      <c r="O101" s="8">
        <v>2247209984</v>
      </c>
      <c r="P101" s="8">
        <v>2648643584</v>
      </c>
      <c r="Q101" s="108">
        <v>0.62595301866531372</v>
      </c>
      <c r="R101" s="108">
        <v>0.50021237134933472</v>
      </c>
      <c r="S101" s="108">
        <v>0.68048667907714844</v>
      </c>
      <c r="T101" s="108">
        <v>0.54756510257720947</v>
      </c>
      <c r="U101" s="107">
        <v>-0.11397473514080048</v>
      </c>
      <c r="V101" s="107">
        <v>9.3320809537544847E-4</v>
      </c>
    </row>
    <row r="102" spans="1:22" ht="18" thickBot="1" x14ac:dyDescent="0.25">
      <c r="A102" s="5" t="s">
        <v>96</v>
      </c>
      <c r="B102" s="2">
        <v>15267.72265625</v>
      </c>
      <c r="C102" s="4" t="s">
        <v>220</v>
      </c>
      <c r="D102" s="4" t="s">
        <v>226</v>
      </c>
      <c r="E102" s="6">
        <v>27692457984</v>
      </c>
      <c r="F102" s="6">
        <v>1813791</v>
      </c>
      <c r="G102" s="4" t="s">
        <v>330</v>
      </c>
      <c r="H102" s="7">
        <v>-1674809472</v>
      </c>
      <c r="I102" s="7">
        <v>-1892985472</v>
      </c>
      <c r="J102" s="7">
        <v>136996432</v>
      </c>
      <c r="K102" s="7">
        <v>-17211127808</v>
      </c>
      <c r="L102" s="7">
        <v>29367267328</v>
      </c>
      <c r="M102" s="8">
        <v>36280373248</v>
      </c>
      <c r="N102" s="8">
        <v>53510492160</v>
      </c>
      <c r="O102" s="8">
        <v>16963130368</v>
      </c>
      <c r="P102" s="8">
        <v>19993364480</v>
      </c>
      <c r="Q102" s="108">
        <v>0.46755668520927429</v>
      </c>
      <c r="R102" s="108">
        <v>0.37363448739051819</v>
      </c>
      <c r="S102" s="108">
        <v>0.42768394947052002</v>
      </c>
      <c r="T102" s="108">
        <v>0.34414312243461609</v>
      </c>
      <c r="U102" s="107">
        <v>-5.0670787692070007E-2</v>
      </c>
      <c r="V102" s="107">
        <v>0.16217416524887085</v>
      </c>
    </row>
    <row r="103" spans="1:22" ht="18" thickBot="1" x14ac:dyDescent="0.25">
      <c r="A103" s="5" t="s">
        <v>97</v>
      </c>
      <c r="B103" s="2">
        <v>14517.28515625</v>
      </c>
      <c r="C103" s="4" t="s">
        <v>220</v>
      </c>
      <c r="D103" s="4" t="s">
        <v>228</v>
      </c>
      <c r="E103" s="6">
        <v>7689457664</v>
      </c>
      <c r="F103" s="6">
        <v>529676</v>
      </c>
      <c r="G103" s="4" t="s">
        <v>331</v>
      </c>
      <c r="H103" s="7">
        <v>-1126134784</v>
      </c>
      <c r="I103" s="7">
        <v>-1142811008</v>
      </c>
      <c r="J103" s="7">
        <v>13705644</v>
      </c>
      <c r="K103" s="7">
        <v>-16015491072</v>
      </c>
      <c r="L103" s="7">
        <v>8815592448</v>
      </c>
      <c r="M103" s="8">
        <v>10134717440</v>
      </c>
      <c r="N103" s="8">
        <v>14947853312</v>
      </c>
      <c r="O103" s="8">
        <v>6507652608</v>
      </c>
      <c r="P103" s="8">
        <v>7670156288</v>
      </c>
      <c r="Q103" s="108">
        <v>0.64211487770080566</v>
      </c>
      <c r="R103" s="108">
        <v>0.51312762498855591</v>
      </c>
      <c r="S103" s="108">
        <v>0.66376191377639771</v>
      </c>
      <c r="T103" s="108">
        <v>0.53410720825195312</v>
      </c>
      <c r="U103" s="107">
        <v>-0.17295530438423157</v>
      </c>
      <c r="V103" s="107">
        <v>-0.18097096681594849</v>
      </c>
    </row>
    <row r="104" spans="1:22" ht="18" thickBot="1" x14ac:dyDescent="0.25">
      <c r="A104" s="5" t="s">
        <v>110</v>
      </c>
      <c r="B104" s="2">
        <v>14492.66015625</v>
      </c>
      <c r="C104" s="4" t="s">
        <v>220</v>
      </c>
      <c r="D104" s="4" t="s">
        <v>226</v>
      </c>
      <c r="E104" s="6">
        <v>40166522880</v>
      </c>
      <c r="F104" s="6">
        <v>2771508</v>
      </c>
      <c r="G104" s="4" t="s">
        <v>344</v>
      </c>
      <c r="H104" s="7">
        <v>-59317956</v>
      </c>
      <c r="I104" s="7">
        <v>-1110634368</v>
      </c>
      <c r="J104" s="7">
        <v>1051505536</v>
      </c>
      <c r="K104" s="7">
        <v>-14464754688</v>
      </c>
      <c r="L104" s="7">
        <v>40225841152</v>
      </c>
      <c r="M104" s="8">
        <v>42342989824</v>
      </c>
      <c r="N104" s="8">
        <v>62452342784</v>
      </c>
      <c r="O104" s="8">
        <v>27023073280</v>
      </c>
      <c r="P104" s="8">
        <v>31850379264</v>
      </c>
      <c r="Q104" s="108">
        <v>0.63819468021392822</v>
      </c>
      <c r="R104" s="108">
        <v>0.50999492406845093</v>
      </c>
      <c r="S104" s="108">
        <v>0.49418693780899048</v>
      </c>
      <c r="T104" s="108">
        <v>0.3976559042930603</v>
      </c>
      <c r="U104" s="107">
        <v>-1.42928387504071E-3</v>
      </c>
      <c r="V104" s="107">
        <v>3.2175596803426743E-2</v>
      </c>
    </row>
    <row r="105" spans="1:22" ht="18" thickBot="1" x14ac:dyDescent="0.25">
      <c r="A105" s="5" t="s">
        <v>102</v>
      </c>
      <c r="B105" s="2">
        <v>14460.8076171875</v>
      </c>
      <c r="C105" s="4" t="s">
        <v>220</v>
      </c>
      <c r="D105" s="4" t="s">
        <v>233</v>
      </c>
      <c r="E105" s="6">
        <v>42693582848</v>
      </c>
      <c r="F105" s="6">
        <v>2952365</v>
      </c>
      <c r="G105" s="4" t="s">
        <v>336</v>
      </c>
      <c r="H105" s="7">
        <v>-1323093632</v>
      </c>
      <c r="I105" s="7">
        <v>-2177871872</v>
      </c>
      <c r="J105" s="7">
        <v>986186048</v>
      </c>
      <c r="K105" s="7">
        <v>-22166618112</v>
      </c>
      <c r="L105" s="7">
        <v>44016676864</v>
      </c>
      <c r="M105" s="8">
        <v>51796066304</v>
      </c>
      <c r="N105" s="8">
        <v>76394831872</v>
      </c>
      <c r="O105" s="8">
        <v>24988600320</v>
      </c>
      <c r="P105" s="8">
        <v>29452476416</v>
      </c>
      <c r="Q105" s="108">
        <v>0.48244202136993408</v>
      </c>
      <c r="R105" s="108">
        <v>0.38552969694137573</v>
      </c>
      <c r="S105" s="108">
        <v>0.36569651961326599</v>
      </c>
      <c r="T105" s="108">
        <v>0.29426389932632446</v>
      </c>
      <c r="U105" s="107">
        <v>-3.1107135117053986E-2</v>
      </c>
      <c r="V105" s="107">
        <v>-3.7649883888661861E-3</v>
      </c>
    </row>
    <row r="106" spans="1:22" ht="18" thickBot="1" x14ac:dyDescent="0.25">
      <c r="A106" s="5" t="s">
        <v>101</v>
      </c>
      <c r="B106" s="2">
        <v>14319.80078125</v>
      </c>
      <c r="C106" s="4" t="s">
        <v>220</v>
      </c>
      <c r="D106" s="4" t="s">
        <v>229</v>
      </c>
      <c r="E106" s="6">
        <v>943259584</v>
      </c>
      <c r="F106" s="6">
        <v>65871</v>
      </c>
      <c r="G106" s="4" t="s">
        <v>335</v>
      </c>
      <c r="H106" s="7">
        <v>-25110440</v>
      </c>
      <c r="I106" s="7">
        <v>-26716368</v>
      </c>
      <c r="J106" s="7">
        <v>2857066.25</v>
      </c>
      <c r="K106" s="7">
        <v>-517035776</v>
      </c>
      <c r="L106" s="7">
        <v>968370048</v>
      </c>
      <c r="M106" s="8">
        <v>1029604160</v>
      </c>
      <c r="N106" s="8">
        <v>1518579328</v>
      </c>
      <c r="O106" s="8">
        <v>631012736</v>
      </c>
      <c r="P106" s="8">
        <v>743734592</v>
      </c>
      <c r="Q106" s="108">
        <v>0.6128692626953125</v>
      </c>
      <c r="R106" s="108">
        <v>0.48975682258605957</v>
      </c>
      <c r="S106" s="108">
        <v>0.65847271680831909</v>
      </c>
      <c r="T106" s="108">
        <v>0.52985119819641113</v>
      </c>
      <c r="U106" s="107">
        <v>-2.6421865448355675E-2</v>
      </c>
      <c r="V106" s="107">
        <v>7.4774706736207008E-3</v>
      </c>
    </row>
    <row r="107" spans="1:22" ht="18" thickBot="1" x14ac:dyDescent="0.25">
      <c r="A107" s="5" t="s">
        <v>103</v>
      </c>
      <c r="B107" s="2">
        <v>14093.0517578125</v>
      </c>
      <c r="C107" s="4" t="s">
        <v>220</v>
      </c>
      <c r="D107" s="4" t="s">
        <v>228</v>
      </c>
      <c r="E107" s="6">
        <v>1009342414848</v>
      </c>
      <c r="F107" s="6">
        <v>71619863</v>
      </c>
      <c r="G107" s="4" t="s">
        <v>337</v>
      </c>
      <c r="H107" s="7">
        <v>-40707010560</v>
      </c>
      <c r="I107" s="7">
        <v>-37583605760</v>
      </c>
      <c r="J107" s="7">
        <v>-677926208</v>
      </c>
      <c r="K107" s="7">
        <v>114545647616</v>
      </c>
      <c r="L107" s="7">
        <v>1050049380352</v>
      </c>
      <c r="M107" s="8">
        <v>1266481889280</v>
      </c>
      <c r="N107" s="8">
        <v>1867953995776</v>
      </c>
      <c r="O107" s="8">
        <v>493797965824</v>
      </c>
      <c r="P107" s="8">
        <v>582008307712</v>
      </c>
      <c r="Q107" s="108">
        <v>0.38989737629890442</v>
      </c>
      <c r="R107" s="108">
        <v>0.31157529354095459</v>
      </c>
      <c r="S107" s="108">
        <v>0.43325823545455933</v>
      </c>
      <c r="T107" s="108">
        <v>0.34862855076789856</v>
      </c>
      <c r="U107" s="107">
        <v>-4.0060237050056458E-2</v>
      </c>
      <c r="V107" s="107">
        <v>6.69454550370574E-3</v>
      </c>
    </row>
    <row r="108" spans="1:22" ht="18" thickBot="1" x14ac:dyDescent="0.25">
      <c r="A108" s="5" t="s">
        <v>100</v>
      </c>
      <c r="B108" s="2">
        <v>13822.125</v>
      </c>
      <c r="C108" s="4" t="s">
        <v>220</v>
      </c>
      <c r="D108" s="4" t="s">
        <v>229</v>
      </c>
      <c r="E108" s="6">
        <v>1823786532864</v>
      </c>
      <c r="F108" s="6">
        <v>131946900</v>
      </c>
      <c r="G108" s="4" t="s">
        <v>334</v>
      </c>
      <c r="H108" s="7">
        <v>-73218973696</v>
      </c>
      <c r="I108" s="7">
        <v>-74679214080</v>
      </c>
      <c r="J108" s="7">
        <v>1470327040</v>
      </c>
      <c r="K108" s="7">
        <v>-653967294464</v>
      </c>
      <c r="L108" s="7">
        <v>1897005580288</v>
      </c>
      <c r="M108" s="8">
        <v>2294729146368</v>
      </c>
      <c r="N108" s="8">
        <v>3384531746816</v>
      </c>
      <c r="O108" s="8">
        <v>1614392590336</v>
      </c>
      <c r="P108" s="8">
        <v>1902781923328</v>
      </c>
      <c r="Q108" s="108">
        <v>0.70352208614349365</v>
      </c>
      <c r="R108" s="108">
        <v>0.56219947338104248</v>
      </c>
      <c r="S108" s="108">
        <v>0.6167561411857605</v>
      </c>
      <c r="T108" s="108">
        <v>0.49628326296806335</v>
      </c>
      <c r="U108" s="107">
        <v>-3.8995303213596344E-2</v>
      </c>
      <c r="V108" s="107">
        <v>2.8679279610514641E-2</v>
      </c>
    </row>
    <row r="109" spans="1:22" ht="18" thickBot="1" x14ac:dyDescent="0.25">
      <c r="A109" s="5" t="s">
        <v>99</v>
      </c>
      <c r="B109" s="2">
        <v>13464.046875</v>
      </c>
      <c r="C109" s="4" t="s">
        <v>220</v>
      </c>
      <c r="D109" s="4" t="s">
        <v>233</v>
      </c>
      <c r="E109" s="6">
        <v>102580510720</v>
      </c>
      <c r="F109" s="6">
        <v>7618847</v>
      </c>
      <c r="G109" s="4" t="s">
        <v>333</v>
      </c>
      <c r="H109" s="7">
        <v>10295093248</v>
      </c>
      <c r="I109" s="7">
        <v>-1378567552</v>
      </c>
      <c r="J109" s="7">
        <v>11864162304</v>
      </c>
      <c r="K109" s="7">
        <v>22961870848</v>
      </c>
      <c r="L109" s="7">
        <v>92285411328</v>
      </c>
      <c r="M109" s="8">
        <v>105122848768</v>
      </c>
      <c r="N109" s="8">
        <v>155047346176</v>
      </c>
      <c r="O109" s="8">
        <v>65461063680</v>
      </c>
      <c r="P109" s="8">
        <v>77154795520</v>
      </c>
      <c r="Q109" s="108">
        <v>0.62271010875701904</v>
      </c>
      <c r="R109" s="108">
        <v>0.49762088060379028</v>
      </c>
      <c r="S109" s="108">
        <v>0.53169304132461548</v>
      </c>
      <c r="T109" s="108">
        <v>0.42783579230308533</v>
      </c>
      <c r="U109" s="107">
        <v>9.4347439706325531E-2</v>
      </c>
      <c r="V109" s="107">
        <v>5.9920329600572586E-2</v>
      </c>
    </row>
    <row r="110" spans="1:22" ht="35" thickBot="1" x14ac:dyDescent="0.25">
      <c r="A110" s="5" t="s">
        <v>104</v>
      </c>
      <c r="B110" s="2">
        <v>13137.7607421875</v>
      </c>
      <c r="C110" s="4" t="s">
        <v>220</v>
      </c>
      <c r="D110" s="4" t="s">
        <v>229</v>
      </c>
      <c r="E110" s="6">
        <v>1312777600</v>
      </c>
      <c r="F110" s="6">
        <v>99924</v>
      </c>
      <c r="G110" s="4" t="s">
        <v>338</v>
      </c>
      <c r="H110" s="7">
        <v>-46695312</v>
      </c>
      <c r="I110" s="7">
        <v>-48049332</v>
      </c>
      <c r="J110" s="7">
        <v>-1039704.5625</v>
      </c>
      <c r="K110" s="7">
        <v>-2524295168</v>
      </c>
      <c r="L110" s="7">
        <v>1359472896</v>
      </c>
      <c r="M110" s="8">
        <v>1550140544</v>
      </c>
      <c r="N110" s="8">
        <v>2286326784</v>
      </c>
      <c r="O110" s="8">
        <v>1005633792</v>
      </c>
      <c r="P110" s="8">
        <v>1185276672</v>
      </c>
      <c r="Q110" s="108">
        <v>0.64873713254928589</v>
      </c>
      <c r="R110" s="108">
        <v>0.51841962337493896</v>
      </c>
      <c r="S110" s="108">
        <v>0.6628614068031311</v>
      </c>
      <c r="T110" s="108">
        <v>0.53338265419006348</v>
      </c>
      <c r="U110" s="107">
        <v>-3.4432061016559601E-2</v>
      </c>
      <c r="V110" s="107">
        <v>3.1987685710191727E-2</v>
      </c>
    </row>
    <row r="111" spans="1:22" ht="18" thickBot="1" x14ac:dyDescent="0.25">
      <c r="A111" s="5" t="s">
        <v>105</v>
      </c>
      <c r="B111" s="2">
        <v>13136.6201171875</v>
      </c>
      <c r="C111" s="4" t="s">
        <v>220</v>
      </c>
      <c r="D111" s="4" t="s">
        <v>231</v>
      </c>
      <c r="E111" s="6">
        <v>1554929156096</v>
      </c>
      <c r="F111" s="6">
        <v>118365995</v>
      </c>
      <c r="G111" s="4" t="s">
        <v>339</v>
      </c>
      <c r="H111" s="7">
        <v>-64210518016</v>
      </c>
      <c r="I111" s="7">
        <v>-73074008064</v>
      </c>
      <c r="J111" s="7">
        <v>8808410112</v>
      </c>
      <c r="K111" s="7">
        <v>-1226242129920</v>
      </c>
      <c r="L111" s="7">
        <v>1619139624960</v>
      </c>
      <c r="M111" s="8">
        <v>1730485026816</v>
      </c>
      <c r="N111" s="8">
        <v>2552319442944</v>
      </c>
      <c r="O111" s="8">
        <v>367542173696</v>
      </c>
      <c r="P111" s="8">
        <v>433198596096</v>
      </c>
      <c r="Q111" s="108">
        <v>0.21239258348941803</v>
      </c>
      <c r="R111" s="108">
        <v>0.16972741484642029</v>
      </c>
      <c r="S111" s="108">
        <v>0.30619847774505615</v>
      </c>
      <c r="T111" s="108">
        <v>0.24638776481151581</v>
      </c>
      <c r="U111" s="107">
        <v>-3.8351036608219147E-2</v>
      </c>
      <c r="V111" s="107">
        <v>7.1287043392658234E-2</v>
      </c>
    </row>
    <row r="112" spans="1:22" ht="18" thickBot="1" x14ac:dyDescent="0.25">
      <c r="A112" s="5" t="s">
        <v>106</v>
      </c>
      <c r="B112" s="2">
        <v>13109.8466796875</v>
      </c>
      <c r="C112" s="4" t="s">
        <v>221</v>
      </c>
      <c r="D112" s="4" t="s">
        <v>229</v>
      </c>
      <c r="E112" s="6">
        <v>2789938036736</v>
      </c>
      <c r="F112" s="6">
        <v>212812405</v>
      </c>
      <c r="G112" s="4" t="s">
        <v>340</v>
      </c>
      <c r="H112" s="7">
        <v>-121092399104</v>
      </c>
      <c r="I112" s="7">
        <v>-121900720128</v>
      </c>
      <c r="J112" s="7">
        <v>998115264</v>
      </c>
      <c r="K112" s="7">
        <v>-1122693545984</v>
      </c>
      <c r="L112" s="7">
        <v>2911030476800</v>
      </c>
      <c r="M112" s="8">
        <v>3382244278272</v>
      </c>
      <c r="N112" s="8">
        <v>4988524822528</v>
      </c>
      <c r="O112" s="8">
        <v>1989741641728</v>
      </c>
      <c r="P112" s="8">
        <v>2345181904896</v>
      </c>
      <c r="Q112" s="108">
        <v>0.58829033374786377</v>
      </c>
      <c r="R112" s="108">
        <v>0.4701153039932251</v>
      </c>
      <c r="S112" s="108">
        <v>0.54813194274902344</v>
      </c>
      <c r="T112" s="108">
        <v>0.44106367230415344</v>
      </c>
      <c r="U112" s="107">
        <v>-4.3313294649124146E-2</v>
      </c>
      <c r="V112" s="107">
        <v>2.0727417431771755E-3</v>
      </c>
    </row>
    <row r="113" spans="1:22" ht="18" thickBot="1" x14ac:dyDescent="0.25">
      <c r="A113" s="5" t="s">
        <v>112</v>
      </c>
      <c r="B113" s="2">
        <v>12903.515625</v>
      </c>
      <c r="C113" s="4" t="s">
        <v>221</v>
      </c>
      <c r="D113" s="4" t="s">
        <v>229</v>
      </c>
      <c r="E113" s="6">
        <v>8256314368</v>
      </c>
      <c r="F113" s="6">
        <v>639850</v>
      </c>
      <c r="G113" s="4" t="s">
        <v>346</v>
      </c>
      <c r="H113" s="7">
        <v>-571527104</v>
      </c>
      <c r="I113" s="7">
        <v>-487579744</v>
      </c>
      <c r="J113" s="7">
        <v>-53111400</v>
      </c>
      <c r="K113" s="7">
        <v>-5525581312</v>
      </c>
      <c r="L113" s="7">
        <v>8827841536</v>
      </c>
      <c r="M113" s="8">
        <v>9935741952</v>
      </c>
      <c r="N113" s="8">
        <v>14654383104</v>
      </c>
      <c r="O113" s="8">
        <v>4462452224</v>
      </c>
      <c r="P113" s="8">
        <v>5259608576</v>
      </c>
      <c r="Q113" s="108">
        <v>0.44913122057914734</v>
      </c>
      <c r="R113" s="108">
        <v>0.35891029238700867</v>
      </c>
      <c r="S113" s="108">
        <v>0.36578148603439331</v>
      </c>
      <c r="T113" s="108">
        <v>0.29433226585388184</v>
      </c>
      <c r="U113" s="107">
        <v>-6.7920602858066559E-2</v>
      </c>
      <c r="V113" s="107">
        <v>1.8814878538250923E-2</v>
      </c>
    </row>
    <row r="114" spans="1:22" ht="18" thickBot="1" x14ac:dyDescent="0.25">
      <c r="A114" s="5" t="s">
        <v>109</v>
      </c>
      <c r="B114" s="2">
        <v>12767.48046875</v>
      </c>
      <c r="C114" s="4" t="s">
        <v>221</v>
      </c>
      <c r="D114" s="4" t="s">
        <v>227</v>
      </c>
      <c r="E114" s="6">
        <v>225512000</v>
      </c>
      <c r="F114" s="6">
        <v>17663</v>
      </c>
      <c r="G114" s="4" t="s">
        <v>343</v>
      </c>
      <c r="H114" s="7">
        <v>-16307796</v>
      </c>
      <c r="I114" s="7">
        <v>-18343932</v>
      </c>
      <c r="J114" s="7">
        <v>-1898037.375</v>
      </c>
      <c r="K114" s="7">
        <v>-187662880</v>
      </c>
      <c r="L114" s="7">
        <v>241819792</v>
      </c>
      <c r="M114" s="8">
        <v>273714176</v>
      </c>
      <c r="N114" s="8">
        <v>403705312</v>
      </c>
      <c r="O114" s="8">
        <v>292711360</v>
      </c>
      <c r="P114" s="8">
        <v>345000256</v>
      </c>
      <c r="Q114" s="108">
        <v>1.069405198097229</v>
      </c>
      <c r="R114" s="108">
        <v>0.85458439588546753</v>
      </c>
      <c r="S114" s="108">
        <v>1.024504542350769</v>
      </c>
      <c r="T114" s="108">
        <v>0.82438498735427856</v>
      </c>
      <c r="U114" s="107">
        <v>-6.6844113171100616E-2</v>
      </c>
      <c r="V114" s="107">
        <v>7.5647614896297455E-2</v>
      </c>
    </row>
    <row r="115" spans="1:22" ht="18" thickBot="1" x14ac:dyDescent="0.25">
      <c r="A115" s="5" t="s">
        <v>107</v>
      </c>
      <c r="B115" s="2">
        <v>12763.9267578125</v>
      </c>
      <c r="C115" s="4" t="s">
        <v>221</v>
      </c>
      <c r="D115" s="4" t="s">
        <v>229</v>
      </c>
      <c r="E115" s="6">
        <v>681920888832</v>
      </c>
      <c r="F115" s="6">
        <v>53425635</v>
      </c>
      <c r="G115" s="4" t="s">
        <v>341</v>
      </c>
      <c r="H115" s="7">
        <v>-16641341440</v>
      </c>
      <c r="I115" s="7">
        <v>-15944189952</v>
      </c>
      <c r="J115" s="7">
        <v>1103637504</v>
      </c>
      <c r="K115" s="7">
        <v>-309944877056</v>
      </c>
      <c r="L115" s="7">
        <v>698562248704</v>
      </c>
      <c r="M115" s="8">
        <v>797219356672</v>
      </c>
      <c r="N115" s="8">
        <v>1175831314432</v>
      </c>
      <c r="O115" s="8">
        <v>383707676672</v>
      </c>
      <c r="P115" s="8">
        <v>452251877376</v>
      </c>
      <c r="Q115" s="108">
        <v>0.48130753636360168</v>
      </c>
      <c r="R115" s="108">
        <v>0.38462308049201965</v>
      </c>
      <c r="S115" s="108">
        <v>0.44486710429191589</v>
      </c>
      <c r="T115" s="108">
        <v>0.35796982049942017</v>
      </c>
      <c r="U115" s="107">
        <v>-2.3584840819239616E-2</v>
      </c>
      <c r="V115" s="107">
        <v>3.3551696687936783E-2</v>
      </c>
    </row>
    <row r="116" spans="1:22" ht="18" thickBot="1" x14ac:dyDescent="0.25">
      <c r="A116" s="5" t="s">
        <v>116</v>
      </c>
      <c r="B116" s="2">
        <v>12041.81640625</v>
      </c>
      <c r="C116" s="4" t="s">
        <v>221</v>
      </c>
      <c r="D116" s="4" t="s">
        <v>229</v>
      </c>
      <c r="E116" s="6">
        <v>1412541184</v>
      </c>
      <c r="F116" s="6">
        <v>117303</v>
      </c>
      <c r="G116" s="4" t="s">
        <v>350</v>
      </c>
      <c r="H116" s="7">
        <v>-100766224</v>
      </c>
      <c r="I116" s="7">
        <v>-60791264</v>
      </c>
      <c r="J116" s="7">
        <v>-48142360</v>
      </c>
      <c r="K116" s="7">
        <v>-2352818176</v>
      </c>
      <c r="L116" s="7">
        <v>1513307392</v>
      </c>
      <c r="M116" s="8">
        <v>1725511168</v>
      </c>
      <c r="N116" s="8">
        <v>2544983552</v>
      </c>
      <c r="O116" s="8">
        <v>1221863680</v>
      </c>
      <c r="P116" s="8">
        <v>1440133120</v>
      </c>
      <c r="Q116" s="108">
        <v>0.70811694860458374</v>
      </c>
      <c r="R116" s="108">
        <v>0.56587129831314087</v>
      </c>
      <c r="S116" s="108">
        <v>0.78166717290878296</v>
      </c>
      <c r="T116" s="108">
        <v>0.62898176908493042</v>
      </c>
      <c r="U116" s="107">
        <v>-7.6319016516208649E-2</v>
      </c>
      <c r="V116" s="107">
        <v>-6.9840140640735626E-2</v>
      </c>
    </row>
    <row r="117" spans="1:22" ht="18" thickBot="1" x14ac:dyDescent="0.25">
      <c r="A117" s="5" t="s">
        <v>115</v>
      </c>
      <c r="B117" s="2">
        <v>11827.0859375</v>
      </c>
      <c r="C117" s="4" t="s">
        <v>221</v>
      </c>
      <c r="D117" s="4" t="s">
        <v>229</v>
      </c>
      <c r="E117" s="6">
        <v>82944278528</v>
      </c>
      <c r="F117" s="6">
        <v>7013078</v>
      </c>
      <c r="G117" s="4" t="s">
        <v>349</v>
      </c>
      <c r="H117" s="7">
        <v>-3476564736</v>
      </c>
      <c r="I117" s="7">
        <v>-4012496640</v>
      </c>
      <c r="J117" s="7">
        <v>923835520</v>
      </c>
      <c r="K117" s="7">
        <v>-35359592448</v>
      </c>
      <c r="L117" s="7">
        <v>86420840448</v>
      </c>
      <c r="M117" s="8">
        <v>95415033856</v>
      </c>
      <c r="N117" s="8">
        <v>140729139200</v>
      </c>
      <c r="O117" s="8">
        <v>39596851200</v>
      </c>
      <c r="P117" s="8">
        <v>46670290944</v>
      </c>
      <c r="Q117" s="108">
        <v>0.41499590873718262</v>
      </c>
      <c r="R117" s="108">
        <v>0.33163204789161682</v>
      </c>
      <c r="S117" s="108">
        <v>0.48213374614715576</v>
      </c>
      <c r="T117" s="108">
        <v>0.38795709609985352</v>
      </c>
      <c r="U117" s="107">
        <v>-4.0898773819208145E-2</v>
      </c>
      <c r="V117" s="107">
        <v>2.4232387542724609E-2</v>
      </c>
    </row>
    <row r="118" spans="1:22" ht="18" thickBot="1" x14ac:dyDescent="0.25">
      <c r="A118" s="5" t="s">
        <v>111</v>
      </c>
      <c r="B118" s="2">
        <v>11425.5712890625</v>
      </c>
      <c r="C118" s="4" t="s">
        <v>221</v>
      </c>
      <c r="D118" s="4" t="s">
        <v>230</v>
      </c>
      <c r="E118" s="6">
        <v>40184877056</v>
      </c>
      <c r="F118" s="6">
        <v>3517100</v>
      </c>
      <c r="G118" s="4" t="s">
        <v>345</v>
      </c>
      <c r="H118" s="7">
        <v>-5721496576</v>
      </c>
      <c r="I118" s="7">
        <v>-6339921920</v>
      </c>
      <c r="J118" s="7">
        <v>619387392</v>
      </c>
      <c r="K118" s="7">
        <v>-87404593152</v>
      </c>
      <c r="L118" s="7">
        <v>45906374656</v>
      </c>
      <c r="M118" s="8">
        <v>51125334016</v>
      </c>
      <c r="N118" s="8">
        <v>75405557760</v>
      </c>
      <c r="O118" s="8">
        <v>22660694016</v>
      </c>
      <c r="P118" s="8">
        <v>26708719616</v>
      </c>
      <c r="Q118" s="108">
        <v>0.44323804974555969</v>
      </c>
      <c r="R118" s="108">
        <v>0.35420095920562744</v>
      </c>
      <c r="S118" s="108">
        <v>0.37954115867614746</v>
      </c>
      <c r="T118" s="108">
        <v>0.30540421605110168</v>
      </c>
      <c r="U118" s="107">
        <v>-0.13986368477344513</v>
      </c>
      <c r="V118" s="107">
        <v>1.7668735235929489E-2</v>
      </c>
    </row>
    <row r="119" spans="1:22" ht="18" thickBot="1" x14ac:dyDescent="0.25">
      <c r="A119" s="5" t="s">
        <v>125</v>
      </c>
      <c r="B119" s="2">
        <v>11393.8486328125</v>
      </c>
      <c r="C119" s="4" t="s">
        <v>221</v>
      </c>
      <c r="D119" s="4" t="s">
        <v>231</v>
      </c>
      <c r="E119" s="6">
        <v>540470771712</v>
      </c>
      <c r="F119" s="6">
        <v>47435312</v>
      </c>
      <c r="G119" s="4" t="s">
        <v>359</v>
      </c>
      <c r="H119" s="7">
        <v>-6984440320</v>
      </c>
      <c r="I119" s="7">
        <v>-7167521280</v>
      </c>
      <c r="J119" s="7">
        <v>188551616</v>
      </c>
      <c r="K119" s="7">
        <v>77451288576</v>
      </c>
      <c r="L119" s="7">
        <v>547455205376</v>
      </c>
      <c r="M119" s="8">
        <v>597296218112</v>
      </c>
      <c r="N119" s="8">
        <v>880961519616</v>
      </c>
      <c r="O119" s="8">
        <v>243645841408</v>
      </c>
      <c r="P119" s="8">
        <v>287169904640</v>
      </c>
      <c r="Q119" s="108">
        <v>0.40791460871696472</v>
      </c>
      <c r="R119" s="108">
        <v>0.3259732723236084</v>
      </c>
      <c r="S119" s="108">
        <v>0.35666671395301819</v>
      </c>
      <c r="T119" s="108">
        <v>0.28699788451194763</v>
      </c>
      <c r="U119" s="107">
        <v>-1.2853016145527363E-2</v>
      </c>
      <c r="V119" s="107">
        <v>5.4064244031906128E-3</v>
      </c>
    </row>
    <row r="120" spans="1:22" ht="18" thickBot="1" x14ac:dyDescent="0.25">
      <c r="A120" s="5" t="s">
        <v>120</v>
      </c>
      <c r="B120" s="2">
        <v>11210.8212890625</v>
      </c>
      <c r="C120" s="4" t="s">
        <v>221</v>
      </c>
      <c r="D120" s="4" t="s">
        <v>232</v>
      </c>
      <c r="E120" s="6">
        <v>29071116288</v>
      </c>
      <c r="F120" s="6">
        <v>2593130</v>
      </c>
      <c r="G120" s="4" t="s">
        <v>354</v>
      </c>
      <c r="H120" s="7">
        <v>-4783813120</v>
      </c>
      <c r="I120" s="7">
        <v>-4457000448</v>
      </c>
      <c r="J120" s="7">
        <v>-12719982</v>
      </c>
      <c r="K120" s="7">
        <v>-33720457216</v>
      </c>
      <c r="L120" s="7">
        <v>33854928896</v>
      </c>
      <c r="M120" s="8">
        <v>39090827264</v>
      </c>
      <c r="N120" s="8">
        <v>57655676928</v>
      </c>
      <c r="O120" s="8">
        <v>19121596416</v>
      </c>
      <c r="P120" s="8">
        <v>22537410560</v>
      </c>
      <c r="Q120" s="108">
        <v>0.48915815353393555</v>
      </c>
      <c r="R120" s="108">
        <v>0.39089664816856384</v>
      </c>
      <c r="S120" s="108">
        <v>0.54889219999313354</v>
      </c>
      <c r="T120" s="108">
        <v>0.44167536497116089</v>
      </c>
      <c r="U120" s="107">
        <v>-0.16663289070129395</v>
      </c>
      <c r="V120" s="107">
        <v>-1.2624054215848446E-2</v>
      </c>
    </row>
    <row r="121" spans="1:22" ht="18" thickBot="1" x14ac:dyDescent="0.25">
      <c r="A121" s="5" t="s">
        <v>117</v>
      </c>
      <c r="B121" s="2">
        <v>11173.6630859375</v>
      </c>
      <c r="C121" s="4" t="s">
        <v>221</v>
      </c>
      <c r="D121" s="4" t="s">
        <v>226</v>
      </c>
      <c r="E121" s="6">
        <v>18706108416</v>
      </c>
      <c r="F121" s="6">
        <v>1674125</v>
      </c>
      <c r="G121" s="4" t="s">
        <v>351</v>
      </c>
      <c r="H121" s="7">
        <v>342766880</v>
      </c>
      <c r="I121" s="7">
        <v>-396408384</v>
      </c>
      <c r="J121" s="7">
        <v>735976320</v>
      </c>
      <c r="K121" s="7">
        <v>-2941940224</v>
      </c>
      <c r="L121" s="7">
        <v>18363342848</v>
      </c>
      <c r="M121" s="8">
        <v>20571926528</v>
      </c>
      <c r="N121" s="8">
        <v>30341857280</v>
      </c>
      <c r="O121" s="8">
        <v>10976478208</v>
      </c>
      <c r="P121" s="8">
        <v>12937277440</v>
      </c>
      <c r="Q121" s="108">
        <v>0.53356587886810303</v>
      </c>
      <c r="R121" s="108">
        <v>0.42638382315635681</v>
      </c>
      <c r="S121" s="108">
        <v>0.52981787919998169</v>
      </c>
      <c r="T121" s="108">
        <v>0.42632690072059631</v>
      </c>
      <c r="U121" s="107">
        <v>1.5697905793786049E-2</v>
      </c>
      <c r="V121" s="107">
        <v>0.14330486953258514</v>
      </c>
    </row>
    <row r="122" spans="1:22" ht="18" thickBot="1" x14ac:dyDescent="0.25">
      <c r="A122" s="5" t="s">
        <v>114</v>
      </c>
      <c r="B122" s="2">
        <v>11014.685546875</v>
      </c>
      <c r="C122" s="4" t="s">
        <v>221</v>
      </c>
      <c r="D122" s="4" t="s">
        <v>232</v>
      </c>
      <c r="E122" s="6">
        <v>28220966912</v>
      </c>
      <c r="F122" s="6">
        <v>2562122</v>
      </c>
      <c r="G122" s="4" t="s">
        <v>348</v>
      </c>
      <c r="H122" s="7">
        <v>-582739584</v>
      </c>
      <c r="I122" s="7">
        <v>-598644672</v>
      </c>
      <c r="J122" s="7">
        <v>-20906176</v>
      </c>
      <c r="K122" s="7">
        <v>7724496384</v>
      </c>
      <c r="L122" s="7">
        <v>28803704832</v>
      </c>
      <c r="M122" s="8">
        <v>35834527744</v>
      </c>
      <c r="N122" s="8">
        <v>52852903936</v>
      </c>
      <c r="O122" s="8">
        <v>16854337536</v>
      </c>
      <c r="P122" s="8">
        <v>19865137152</v>
      </c>
      <c r="Q122" s="108">
        <v>0.47033795714378357</v>
      </c>
      <c r="R122" s="108">
        <v>0.37585705518722534</v>
      </c>
      <c r="S122" s="108">
        <v>0.54025149345397949</v>
      </c>
      <c r="T122" s="108">
        <v>0.43472248315811157</v>
      </c>
      <c r="U122" s="107">
        <v>-1.8069475889205933E-2</v>
      </c>
      <c r="V122" s="107">
        <v>0.12492979317903519</v>
      </c>
    </row>
    <row r="123" spans="1:22" ht="18" thickBot="1" x14ac:dyDescent="0.25">
      <c r="A123" s="5" t="s">
        <v>130</v>
      </c>
      <c r="B123" s="2">
        <v>10990.9150390625</v>
      </c>
      <c r="C123" s="4" t="s">
        <v>221</v>
      </c>
      <c r="D123" s="4" t="s">
        <v>231</v>
      </c>
      <c r="E123" s="6">
        <v>81976344576</v>
      </c>
      <c r="F123" s="6">
        <v>7458555</v>
      </c>
      <c r="G123" s="4" t="s">
        <v>364</v>
      </c>
      <c r="H123" s="7">
        <v>4206458368</v>
      </c>
      <c r="I123" s="7">
        <v>4243317248</v>
      </c>
      <c r="J123" s="7">
        <v>-36743264</v>
      </c>
      <c r="K123" s="7">
        <v>350757224448</v>
      </c>
      <c r="L123" s="7">
        <v>77769883648</v>
      </c>
      <c r="M123" s="8">
        <v>81863032832</v>
      </c>
      <c r="N123" s="8">
        <v>120741076992</v>
      </c>
      <c r="O123" s="8">
        <v>36293459968</v>
      </c>
      <c r="P123" s="8">
        <v>42776797184</v>
      </c>
      <c r="Q123" s="108">
        <v>0.44334369897842407</v>
      </c>
      <c r="R123" s="108">
        <v>0.35428535938262939</v>
      </c>
      <c r="S123" s="108">
        <v>0.48522689938545227</v>
      </c>
      <c r="T123" s="108">
        <v>0.39044606685638428</v>
      </c>
      <c r="U123" s="107">
        <v>6.1348311603069305E-2</v>
      </c>
      <c r="V123" s="107">
        <v>-0.19556869566440582</v>
      </c>
    </row>
    <row r="124" spans="1:22" ht="18" thickBot="1" x14ac:dyDescent="0.25">
      <c r="A124" s="5" t="s">
        <v>119</v>
      </c>
      <c r="B124" s="2">
        <v>10894.3134765625</v>
      </c>
      <c r="C124" s="4" t="s">
        <v>221</v>
      </c>
      <c r="D124" s="4" t="s">
        <v>229</v>
      </c>
      <c r="E124" s="6">
        <v>376689033216</v>
      </c>
      <c r="F124" s="6">
        <v>34576665</v>
      </c>
      <c r="G124" s="4" t="s">
        <v>353</v>
      </c>
      <c r="H124" s="7">
        <v>-28139739136</v>
      </c>
      <c r="I124" s="7">
        <v>-27680516096</v>
      </c>
      <c r="J124" s="7">
        <v>521449920</v>
      </c>
      <c r="K124" s="7">
        <v>-121663135744</v>
      </c>
      <c r="L124" s="7">
        <v>404828749824</v>
      </c>
      <c r="M124" s="8">
        <v>439974854656</v>
      </c>
      <c r="N124" s="8">
        <v>648925806592</v>
      </c>
      <c r="O124" s="8">
        <v>283760328704</v>
      </c>
      <c r="P124" s="8">
        <v>334450294784</v>
      </c>
      <c r="Q124" s="108">
        <v>0.64494669437408447</v>
      </c>
      <c r="R124" s="108">
        <v>0.51539063453674316</v>
      </c>
      <c r="S124" s="108">
        <v>0.55516749620437622</v>
      </c>
      <c r="T124" s="108">
        <v>0.44672489166259766</v>
      </c>
      <c r="U124" s="107">
        <v>-7.3250062763690948E-2</v>
      </c>
      <c r="V124" s="107">
        <v>1.9447384402155876E-2</v>
      </c>
    </row>
    <row r="125" spans="1:22" ht="18" thickBot="1" x14ac:dyDescent="0.25">
      <c r="A125" s="5" t="s">
        <v>121</v>
      </c>
      <c r="B125" s="2">
        <v>10704.369140625</v>
      </c>
      <c r="C125" s="4" t="s">
        <v>221</v>
      </c>
      <c r="D125" s="4" t="s">
        <v>228</v>
      </c>
      <c r="E125" s="6">
        <v>8527977984</v>
      </c>
      <c r="F125" s="6">
        <v>796682</v>
      </c>
      <c r="G125" s="4" t="s">
        <v>355</v>
      </c>
      <c r="H125" s="7">
        <v>-512292160</v>
      </c>
      <c r="I125" s="7">
        <v>-511827104</v>
      </c>
      <c r="J125" s="7">
        <v>3253785.75</v>
      </c>
      <c r="K125" s="7">
        <v>-11038782464</v>
      </c>
      <c r="L125" s="7">
        <v>9040270336</v>
      </c>
      <c r="M125" s="8">
        <v>9917025280</v>
      </c>
      <c r="N125" s="8">
        <v>14626776064</v>
      </c>
      <c r="O125" s="8">
        <v>2900457216</v>
      </c>
      <c r="P125" s="8">
        <v>3418584576</v>
      </c>
      <c r="Q125" s="108">
        <v>0.29247251152992249</v>
      </c>
      <c r="R125" s="108">
        <v>0.23372100293636322</v>
      </c>
      <c r="S125" s="108">
        <v>0.32970067858695984</v>
      </c>
      <c r="T125" s="108">
        <v>0.2652992308139801</v>
      </c>
      <c r="U125" s="107">
        <v>-5.9721790254116058E-2</v>
      </c>
      <c r="V125" s="107">
        <v>5.8288229629397392E-3</v>
      </c>
    </row>
    <row r="126" spans="1:22" ht="18" thickBot="1" x14ac:dyDescent="0.25">
      <c r="A126" s="5" t="s">
        <v>118</v>
      </c>
      <c r="B126" s="2">
        <v>10619.326171875</v>
      </c>
      <c r="C126" s="4" t="s">
        <v>221</v>
      </c>
      <c r="D126" s="4" t="s">
        <v>229</v>
      </c>
      <c r="E126" s="6">
        <v>332788448</v>
      </c>
      <c r="F126" s="6">
        <v>31338</v>
      </c>
      <c r="G126" s="4" t="s">
        <v>352</v>
      </c>
      <c r="H126" s="7">
        <v>-165519632</v>
      </c>
      <c r="I126" s="7">
        <v>-168012512</v>
      </c>
      <c r="J126" s="7">
        <v>-664964.1875</v>
      </c>
      <c r="K126" s="7">
        <v>5070903296</v>
      </c>
      <c r="L126" s="7">
        <v>498308064</v>
      </c>
      <c r="M126" s="8">
        <v>579444416</v>
      </c>
      <c r="N126" s="8">
        <v>854631616</v>
      </c>
      <c r="O126" s="8">
        <v>1105347072</v>
      </c>
      <c r="P126" s="8">
        <v>1302802304</v>
      </c>
      <c r="Q126" s="108">
        <v>1.9075981378555298</v>
      </c>
      <c r="R126" s="108">
        <v>1.5244021415710449</v>
      </c>
      <c r="S126" s="108">
        <v>1.5894583463668823</v>
      </c>
      <c r="T126" s="108">
        <v>1.278984546661377</v>
      </c>
      <c r="U126" s="107">
        <v>-0.4746420681476593</v>
      </c>
      <c r="V126" s="107">
        <v>4.5699935406446457E-2</v>
      </c>
    </row>
    <row r="127" spans="1:22" ht="18" thickBot="1" x14ac:dyDescent="0.25">
      <c r="A127" s="5" t="s">
        <v>113</v>
      </c>
      <c r="B127" s="2">
        <v>10503.4873046875</v>
      </c>
      <c r="C127" s="4" t="s">
        <v>221</v>
      </c>
      <c r="D127" s="4" t="s">
        <v>233</v>
      </c>
      <c r="E127" s="6">
        <v>409429901312</v>
      </c>
      <c r="F127" s="6">
        <v>38980376</v>
      </c>
      <c r="G127" s="4" t="s">
        <v>347</v>
      </c>
      <c r="H127" s="7">
        <v>353807488</v>
      </c>
      <c r="I127" s="7">
        <v>-19732350976</v>
      </c>
      <c r="J127" s="7">
        <v>19716919296</v>
      </c>
      <c r="K127" s="7">
        <v>-23821983744</v>
      </c>
      <c r="L127" s="7">
        <v>409076105216</v>
      </c>
      <c r="M127" s="8">
        <v>466673369088</v>
      </c>
      <c r="N127" s="8">
        <v>688303898624</v>
      </c>
      <c r="O127" s="8">
        <v>180147126272</v>
      </c>
      <c r="P127" s="8">
        <v>212327989248</v>
      </c>
      <c r="Q127" s="108">
        <v>0.38602402806282043</v>
      </c>
      <c r="R127" s="108">
        <v>0.30847999453544617</v>
      </c>
      <c r="S127" s="108">
        <v>0.33257713913917542</v>
      </c>
      <c r="T127" s="108">
        <v>0.26761382818222046</v>
      </c>
      <c r="U127" s="107">
        <v>7.581501267850399E-4</v>
      </c>
      <c r="V127" s="107">
        <v>0.12266036868095398</v>
      </c>
    </row>
    <row r="128" spans="1:22" ht="18" thickBot="1" x14ac:dyDescent="0.25">
      <c r="A128" s="5" t="s">
        <v>124</v>
      </c>
      <c r="B128" s="2">
        <v>10207.1552734375</v>
      </c>
      <c r="C128" s="4" t="s">
        <v>221</v>
      </c>
      <c r="D128" s="4" t="s">
        <v>228</v>
      </c>
      <c r="E128" s="6">
        <v>1037031899136</v>
      </c>
      <c r="F128" s="6">
        <v>101598527</v>
      </c>
      <c r="G128" s="4" t="s">
        <v>358</v>
      </c>
      <c r="H128" s="7">
        <v>-64866861056</v>
      </c>
      <c r="I128" s="7">
        <v>-72766308352</v>
      </c>
      <c r="J128" s="7">
        <v>423020096</v>
      </c>
      <c r="K128" s="7">
        <v>-502650830848</v>
      </c>
      <c r="L128" s="7">
        <v>1101898711040</v>
      </c>
      <c r="M128" s="8">
        <v>1248072957952</v>
      </c>
      <c r="N128" s="8">
        <v>1840802299904</v>
      </c>
      <c r="O128" s="8">
        <v>417375977472</v>
      </c>
      <c r="P128" s="8">
        <v>491934547968</v>
      </c>
      <c r="Q128" s="108">
        <v>0.33441632986068726</v>
      </c>
      <c r="R128" s="108">
        <v>0.26723921298980713</v>
      </c>
      <c r="S128" s="108">
        <v>0.38205865025520325</v>
      </c>
      <c r="T128" s="108">
        <v>0.3074299693107605</v>
      </c>
      <c r="U128" s="107">
        <v>-6.1628803610801697E-2</v>
      </c>
      <c r="V128" s="107">
        <v>1.473523210734129E-2</v>
      </c>
    </row>
    <row r="129" spans="1:22" ht="18" thickBot="1" x14ac:dyDescent="0.25">
      <c r="A129" s="5" t="s">
        <v>123</v>
      </c>
      <c r="B129" s="2">
        <v>9966.83984375</v>
      </c>
      <c r="C129" s="4" t="s">
        <v>221</v>
      </c>
      <c r="D129" s="4" t="s">
        <v>228</v>
      </c>
      <c r="E129" s="6">
        <v>231524417536</v>
      </c>
      <c r="F129" s="6">
        <v>23229470</v>
      </c>
      <c r="G129" s="4" t="s">
        <v>357</v>
      </c>
      <c r="H129" s="7">
        <v>-6728852992</v>
      </c>
      <c r="I129" s="7">
        <v>-7011987968</v>
      </c>
      <c r="J129" s="7">
        <v>341743072</v>
      </c>
      <c r="K129" s="7">
        <v>-142268956672</v>
      </c>
      <c r="L129" s="7">
        <v>238253277184</v>
      </c>
      <c r="M129" s="8">
        <v>251205681152</v>
      </c>
      <c r="N129" s="8">
        <v>370507186176</v>
      </c>
      <c r="O129" s="8">
        <v>92253396992</v>
      </c>
      <c r="P129" s="8">
        <v>108733218816</v>
      </c>
      <c r="Q129" s="108">
        <v>0.3672424852848053</v>
      </c>
      <c r="R129" s="108">
        <v>0.29347127676010132</v>
      </c>
      <c r="S129" s="108">
        <v>0.34717312455177307</v>
      </c>
      <c r="T129" s="108">
        <v>0.27935874462127686</v>
      </c>
      <c r="U129" s="107">
        <v>-2.7697326615452766E-2</v>
      </c>
      <c r="V129" s="107">
        <v>4.6998433768749237E-2</v>
      </c>
    </row>
    <row r="130" spans="1:22" ht="18" thickBot="1" x14ac:dyDescent="0.25">
      <c r="A130" s="5" t="s">
        <v>133</v>
      </c>
      <c r="B130" s="2">
        <v>9755.3720703125</v>
      </c>
      <c r="C130" s="4" t="s">
        <v>221</v>
      </c>
      <c r="D130" s="4" t="s">
        <v>228</v>
      </c>
      <c r="E130" s="6">
        <v>2787316858880</v>
      </c>
      <c r="F130" s="6">
        <v>285721236</v>
      </c>
      <c r="G130" s="4" t="s">
        <v>367</v>
      </c>
      <c r="H130" s="7">
        <v>-87117881344</v>
      </c>
      <c r="I130" s="7">
        <v>-81350533120</v>
      </c>
      <c r="J130" s="7">
        <v>-1644006144</v>
      </c>
      <c r="K130" s="7">
        <v>-509876469760</v>
      </c>
      <c r="L130" s="7">
        <v>2874434912256</v>
      </c>
      <c r="M130" s="8">
        <v>3409271062528</v>
      </c>
      <c r="N130" s="8">
        <v>5028387487744</v>
      </c>
      <c r="O130" s="8">
        <v>1246808375296</v>
      </c>
      <c r="P130" s="8">
        <v>1469533782016</v>
      </c>
      <c r="Q130" s="108">
        <v>0.36571112275123596</v>
      </c>
      <c r="R130" s="108">
        <v>0.29224750399589539</v>
      </c>
      <c r="S130" s="108">
        <v>0.41764160990715027</v>
      </c>
      <c r="T130" s="108">
        <v>0.33606240153312683</v>
      </c>
      <c r="U130" s="107">
        <v>-3.1332504004240036E-2</v>
      </c>
      <c r="V130" s="107">
        <v>-2.4764612317085266E-3</v>
      </c>
    </row>
    <row r="131" spans="1:22" ht="18" thickBot="1" x14ac:dyDescent="0.25">
      <c r="A131" s="5" t="s">
        <v>126</v>
      </c>
      <c r="B131" s="2">
        <v>9576.3056640625</v>
      </c>
      <c r="C131" s="4" t="s">
        <v>221</v>
      </c>
      <c r="D131" s="4" t="s">
        <v>229</v>
      </c>
      <c r="E131" s="6">
        <v>175149629440</v>
      </c>
      <c r="F131" s="6">
        <v>18289896</v>
      </c>
      <c r="G131" s="4" t="s">
        <v>360</v>
      </c>
      <c r="H131" s="7">
        <v>-5000585216</v>
      </c>
      <c r="I131" s="7">
        <v>-4742601216</v>
      </c>
      <c r="J131" s="7">
        <v>947736.5625</v>
      </c>
      <c r="K131" s="7">
        <v>-29151051776</v>
      </c>
      <c r="L131" s="7">
        <v>180150206464</v>
      </c>
      <c r="M131" s="8">
        <v>208061317120</v>
      </c>
      <c r="N131" s="8">
        <v>306872909824</v>
      </c>
      <c r="O131" s="8">
        <v>111349923840</v>
      </c>
      <c r="P131" s="8">
        <v>131241074688</v>
      </c>
      <c r="Q131" s="108">
        <v>0.53517842292785645</v>
      </c>
      <c r="R131" s="108">
        <v>0.42767241597175598</v>
      </c>
      <c r="S131" s="108">
        <v>0.55767107009887695</v>
      </c>
      <c r="T131" s="108">
        <v>0.44873946905136108</v>
      </c>
      <c r="U131" s="107">
        <v>-2.7345165610313416E-2</v>
      </c>
      <c r="V131" s="107">
        <v>4.2213018983602524E-2</v>
      </c>
    </row>
    <row r="132" spans="1:22" ht="18" thickBot="1" x14ac:dyDescent="0.25">
      <c r="A132" s="5" t="s">
        <v>108</v>
      </c>
      <c r="B132" s="2">
        <v>9522.1259765625</v>
      </c>
      <c r="C132" s="4" t="s">
        <v>221</v>
      </c>
      <c r="D132" s="4" t="s">
        <v>227</v>
      </c>
      <c r="E132" s="6">
        <v>114503560</v>
      </c>
      <c r="F132" s="6">
        <v>12025</v>
      </c>
      <c r="G132" s="4" t="s">
        <v>342</v>
      </c>
      <c r="H132" s="7">
        <v>15176869</v>
      </c>
      <c r="I132" s="7">
        <v>-2173143.25</v>
      </c>
      <c r="J132" s="7">
        <v>-1456601.875</v>
      </c>
      <c r="K132" s="7">
        <v>241489456</v>
      </c>
      <c r="L132" s="7">
        <v>99326688</v>
      </c>
      <c r="M132" s="8">
        <v>112431424</v>
      </c>
      <c r="N132" s="8">
        <v>165826864</v>
      </c>
      <c r="O132" s="8">
        <v>151757712</v>
      </c>
      <c r="P132" s="8">
        <v>178867184</v>
      </c>
      <c r="Q132" s="108">
        <v>1.3497803211212158</v>
      </c>
      <c r="R132" s="108">
        <v>1.0786381959915161</v>
      </c>
      <c r="S132" s="108">
        <v>1.5468792915344238</v>
      </c>
      <c r="T132" s="108">
        <v>1.2447224855422974</v>
      </c>
      <c r="U132" s="107">
        <v>0.13226242363452911</v>
      </c>
      <c r="V132" s="107">
        <v>2.1315885242074728E-3</v>
      </c>
    </row>
    <row r="133" spans="1:22" ht="18" thickBot="1" x14ac:dyDescent="0.25">
      <c r="A133" s="5" t="s">
        <v>129</v>
      </c>
      <c r="B133" s="2">
        <v>9131.0029296875</v>
      </c>
      <c r="C133" s="4" t="s">
        <v>222</v>
      </c>
      <c r="D133" s="4" t="s">
        <v>232</v>
      </c>
      <c r="E133" s="6">
        <v>591207989248</v>
      </c>
      <c r="F133" s="6">
        <v>64747319</v>
      </c>
      <c r="G133" s="4" t="s">
        <v>363</v>
      </c>
      <c r="H133" s="7">
        <v>-9701962752</v>
      </c>
      <c r="I133" s="7">
        <v>-9824149504</v>
      </c>
      <c r="J133" s="7">
        <v>-170400208</v>
      </c>
      <c r="K133" s="7">
        <v>200133312512</v>
      </c>
      <c r="L133" s="7">
        <v>600909938688</v>
      </c>
      <c r="M133" s="8">
        <v>698486358016</v>
      </c>
      <c r="N133" s="8">
        <v>1030208487424</v>
      </c>
      <c r="O133" s="8">
        <v>365954072576</v>
      </c>
      <c r="P133" s="8">
        <v>431326855168</v>
      </c>
      <c r="Q133" s="108">
        <v>0.52392446994781494</v>
      </c>
      <c r="R133" s="108">
        <v>0.41867917776107788</v>
      </c>
      <c r="S133" s="108">
        <v>0.62026506662368774</v>
      </c>
      <c r="T133" s="108">
        <v>0.499106764793396</v>
      </c>
      <c r="U133" s="107">
        <v>-1.6491571441292763E-2</v>
      </c>
      <c r="V133" s="107">
        <v>-4.9459878355264664E-3</v>
      </c>
    </row>
    <row r="134" spans="1:22" ht="18" thickBot="1" x14ac:dyDescent="0.25">
      <c r="A134" s="5" t="s">
        <v>131</v>
      </c>
      <c r="B134" s="2">
        <v>9042.796875</v>
      </c>
      <c r="C134" s="4" t="s">
        <v>222</v>
      </c>
      <c r="D134" s="4" t="s">
        <v>231</v>
      </c>
      <c r="E134" s="6">
        <v>835714351104</v>
      </c>
      <c r="F134" s="6">
        <v>92417681</v>
      </c>
      <c r="G134" s="4" t="s">
        <v>365</v>
      </c>
      <c r="H134" s="7">
        <v>-13894005760</v>
      </c>
      <c r="I134" s="7">
        <v>-12485642240</v>
      </c>
      <c r="J134" s="7">
        <v>-1149631744</v>
      </c>
      <c r="K134" s="7">
        <v>403209486336</v>
      </c>
      <c r="L134" s="7">
        <v>849608376320</v>
      </c>
      <c r="M134" s="8">
        <v>1078650273792</v>
      </c>
      <c r="N134" s="8">
        <v>1590918250496</v>
      </c>
      <c r="O134" s="8">
        <v>528868868096</v>
      </c>
      <c r="P134" s="8">
        <v>623344156672</v>
      </c>
      <c r="Q134" s="108">
        <v>0.49030616879463196</v>
      </c>
      <c r="R134" s="108">
        <v>0.39181408286094666</v>
      </c>
      <c r="S134" s="108">
        <v>0.32408693432807922</v>
      </c>
      <c r="T134" s="108">
        <v>0.26078203320503235</v>
      </c>
      <c r="U134" s="107">
        <v>-1.5989068895578384E-2</v>
      </c>
      <c r="V134" s="107">
        <v>3.8269154727458954E-2</v>
      </c>
    </row>
    <row r="135" spans="1:22" ht="18" thickBot="1" x14ac:dyDescent="0.25">
      <c r="A135" s="5" t="s">
        <v>132</v>
      </c>
      <c r="B135" s="2">
        <v>9015.8447265625</v>
      </c>
      <c r="C135" s="4" t="s">
        <v>222</v>
      </c>
      <c r="D135" s="4" t="s">
        <v>229</v>
      </c>
      <c r="E135" s="6">
        <v>168487026688</v>
      </c>
      <c r="F135" s="6">
        <v>18687881</v>
      </c>
      <c r="G135" s="4" t="s">
        <v>366</v>
      </c>
      <c r="H135" s="7">
        <v>-2446893824</v>
      </c>
      <c r="I135" s="7">
        <v>-2541650944</v>
      </c>
      <c r="J135" s="7">
        <v>364251552</v>
      </c>
      <c r="K135" s="7">
        <v>655075584</v>
      </c>
      <c r="L135" s="7">
        <v>170933927936</v>
      </c>
      <c r="M135" s="8">
        <v>192275038208</v>
      </c>
      <c r="N135" s="8">
        <v>283589476352</v>
      </c>
      <c r="O135" s="8">
        <v>102615769088</v>
      </c>
      <c r="P135" s="8">
        <v>120946696192</v>
      </c>
      <c r="Q135" s="108">
        <v>0.53369265794754028</v>
      </c>
      <c r="R135" s="108">
        <v>0.42648515105247498</v>
      </c>
      <c r="S135" s="108">
        <v>0.51628667116165161</v>
      </c>
      <c r="T135" s="108">
        <v>0.41543880105018616</v>
      </c>
      <c r="U135" s="107">
        <v>-1.2400676496326923E-2</v>
      </c>
      <c r="V135" s="107">
        <v>0.14612017571926117</v>
      </c>
    </row>
    <row r="136" spans="1:22" ht="18" thickBot="1" x14ac:dyDescent="0.25">
      <c r="A136" s="5" t="s">
        <v>122</v>
      </c>
      <c r="B136" s="2">
        <v>8992.421875</v>
      </c>
      <c r="C136" s="4" t="s">
        <v>222</v>
      </c>
      <c r="D136" s="4" t="s">
        <v>232</v>
      </c>
      <c r="E136" s="6">
        <v>17431189504</v>
      </c>
      <c r="F136" s="6">
        <v>1938431</v>
      </c>
      <c r="G136" s="4" t="s">
        <v>356</v>
      </c>
      <c r="H136" s="7">
        <v>-200633744</v>
      </c>
      <c r="I136" s="7">
        <v>-172813680</v>
      </c>
      <c r="J136" s="7">
        <v>-8849920</v>
      </c>
      <c r="K136" s="7">
        <v>-25041260544</v>
      </c>
      <c r="L136" s="7">
        <v>17631823872</v>
      </c>
      <c r="M136" s="8">
        <v>21111367680</v>
      </c>
      <c r="N136" s="8">
        <v>31137486848</v>
      </c>
      <c r="O136" s="8">
        <v>10640456704</v>
      </c>
      <c r="P136" s="8">
        <v>12541230080</v>
      </c>
      <c r="Q136" s="108">
        <v>0.50401550531387329</v>
      </c>
      <c r="R136" s="108">
        <v>0.40276950597763062</v>
      </c>
      <c r="S136" s="108">
        <v>0.51313555240631104</v>
      </c>
      <c r="T136" s="108">
        <v>0.41290321946144104</v>
      </c>
      <c r="U136" s="107">
        <v>-1.1628523468971252E-2</v>
      </c>
      <c r="V136" s="107">
        <v>-1.0293611325323582E-2</v>
      </c>
    </row>
    <row r="137" spans="1:22" ht="18" thickBot="1" x14ac:dyDescent="0.25">
      <c r="A137" s="5" t="s">
        <v>127</v>
      </c>
      <c r="B137" s="2">
        <v>8987.3173828125</v>
      </c>
      <c r="C137" s="4" t="s">
        <v>222</v>
      </c>
      <c r="D137" s="4" t="s">
        <v>226</v>
      </c>
      <c r="E137" s="6">
        <v>26926956544</v>
      </c>
      <c r="F137" s="6">
        <v>2996106</v>
      </c>
      <c r="G137" s="4" t="s">
        <v>361</v>
      </c>
      <c r="H137" s="7">
        <v>105650512</v>
      </c>
      <c r="I137" s="7">
        <v>-1201077760</v>
      </c>
      <c r="J137" s="7">
        <v>1277611008</v>
      </c>
      <c r="K137" s="7">
        <v>-9083447296</v>
      </c>
      <c r="L137" s="7">
        <v>26821306368</v>
      </c>
      <c r="M137" s="8">
        <v>31959900160</v>
      </c>
      <c r="N137" s="8">
        <v>47138156544</v>
      </c>
      <c r="O137" s="8">
        <v>17922500608</v>
      </c>
      <c r="P137" s="8">
        <v>21124112384</v>
      </c>
      <c r="Q137" s="108">
        <v>0.56078088283538818</v>
      </c>
      <c r="R137" s="108">
        <v>0.44813191890716553</v>
      </c>
      <c r="S137" s="108">
        <v>0.41799437999725342</v>
      </c>
      <c r="T137" s="108">
        <v>0.33634626865386963</v>
      </c>
      <c r="U137" s="107">
        <v>3.6200894974172115E-3</v>
      </c>
      <c r="V137" s="107">
        <v>7.7354244887828827E-2</v>
      </c>
    </row>
    <row r="138" spans="1:22" ht="18" thickBot="1" x14ac:dyDescent="0.25">
      <c r="A138" s="5" t="s">
        <v>128</v>
      </c>
      <c r="B138" s="2">
        <v>8821.080078125</v>
      </c>
      <c r="C138" s="4" t="s">
        <v>222</v>
      </c>
      <c r="D138" s="4" t="s">
        <v>227</v>
      </c>
      <c r="E138" s="6">
        <v>8231426048</v>
      </c>
      <c r="F138" s="6">
        <v>933154</v>
      </c>
      <c r="G138" s="4" t="s">
        <v>362</v>
      </c>
      <c r="H138" s="7">
        <v>-635334656</v>
      </c>
      <c r="I138" s="7">
        <v>-690240768</v>
      </c>
      <c r="J138" s="7">
        <v>40109224</v>
      </c>
      <c r="K138" s="7">
        <v>-11012212736</v>
      </c>
      <c r="L138" s="7">
        <v>8866760704</v>
      </c>
      <c r="M138" s="8">
        <v>10339263488</v>
      </c>
      <c r="N138" s="8">
        <v>15249541120</v>
      </c>
      <c r="O138" s="8">
        <v>5231660032</v>
      </c>
      <c r="P138" s="8">
        <v>6166224896</v>
      </c>
      <c r="Q138" s="108">
        <v>0.50599932670593262</v>
      </c>
      <c r="R138" s="108">
        <v>0.40435478091239929</v>
      </c>
      <c r="S138" s="108">
        <v>0.5461917519569397</v>
      </c>
      <c r="T138" s="108">
        <v>0.43950244784355164</v>
      </c>
      <c r="U138" s="107">
        <v>-7.0744834840297699E-2</v>
      </c>
      <c r="V138" s="107">
        <v>8.3426527678966522E-2</v>
      </c>
    </row>
    <row r="139" spans="1:22" ht="18" thickBot="1" x14ac:dyDescent="0.25">
      <c r="A139" s="5" t="s">
        <v>135</v>
      </c>
      <c r="B139" s="2">
        <v>8777.0185546875</v>
      </c>
      <c r="C139" s="4" t="s">
        <v>222</v>
      </c>
      <c r="D139" s="4" t="s">
        <v>231</v>
      </c>
      <c r="E139" s="6">
        <v>108383649792</v>
      </c>
      <c r="F139" s="6">
        <v>12348573</v>
      </c>
      <c r="G139" s="4" t="s">
        <v>369</v>
      </c>
      <c r="H139" s="7">
        <v>-3296380672</v>
      </c>
      <c r="I139" s="7">
        <v>-4131666432</v>
      </c>
      <c r="J139" s="7">
        <v>830388800</v>
      </c>
      <c r="K139" s="7">
        <v>-148442578944</v>
      </c>
      <c r="L139" s="7">
        <v>111680028672</v>
      </c>
      <c r="M139" s="8">
        <v>127588589568</v>
      </c>
      <c r="N139" s="8">
        <v>188182413312</v>
      </c>
      <c r="O139" s="8">
        <v>52648636416</v>
      </c>
      <c r="P139" s="8">
        <v>62053601280</v>
      </c>
      <c r="Q139" s="108">
        <v>0.41264376044273376</v>
      </c>
      <c r="R139" s="108">
        <v>0.32975238561630249</v>
      </c>
      <c r="S139" s="108">
        <v>0.390165776014328</v>
      </c>
      <c r="T139" s="108">
        <v>0.31395348906517029</v>
      </c>
      <c r="U139" s="107">
        <v>-2.8926996514201164E-2</v>
      </c>
      <c r="V139" s="107">
        <v>4.8892095685005188E-2</v>
      </c>
    </row>
    <row r="140" spans="1:22" ht="18" thickBot="1" x14ac:dyDescent="0.25">
      <c r="A140" s="5" t="s">
        <v>134</v>
      </c>
      <c r="B140" s="2">
        <v>8768.630859375</v>
      </c>
      <c r="C140" s="4" t="s">
        <v>222</v>
      </c>
      <c r="D140" s="4" t="s">
        <v>231</v>
      </c>
      <c r="E140" s="6">
        <v>412307816448</v>
      </c>
      <c r="F140" s="6">
        <v>47020774</v>
      </c>
      <c r="G140" s="4" t="s">
        <v>368</v>
      </c>
      <c r="H140" s="7">
        <v>2027153536</v>
      </c>
      <c r="I140" s="7">
        <v>2105150208</v>
      </c>
      <c r="J140" s="7">
        <v>-30820430</v>
      </c>
      <c r="K140" s="7">
        <v>67551621120</v>
      </c>
      <c r="L140" s="7">
        <v>410280656896</v>
      </c>
      <c r="M140" s="8">
        <v>463087206400</v>
      </c>
      <c r="N140" s="8">
        <v>683014619136</v>
      </c>
      <c r="O140" s="8">
        <v>217077219328</v>
      </c>
      <c r="P140" s="8">
        <v>255855132672</v>
      </c>
      <c r="Q140" s="108">
        <v>0.46876099705696106</v>
      </c>
      <c r="R140" s="108">
        <v>0.37459686398506165</v>
      </c>
      <c r="S140" s="108">
        <v>0.47521516680717468</v>
      </c>
      <c r="T140" s="108">
        <v>0.38238993287086487</v>
      </c>
      <c r="U140" s="107">
        <v>4.9197734333574772E-3</v>
      </c>
      <c r="V140" s="107">
        <v>-6.4497790299355984E-4</v>
      </c>
    </row>
    <row r="141" spans="1:22" ht="18" thickBot="1" x14ac:dyDescent="0.25">
      <c r="A141" s="5" t="s">
        <v>137</v>
      </c>
      <c r="B141" s="2">
        <v>8390.4326171875</v>
      </c>
      <c r="C141" s="4" t="s">
        <v>222</v>
      </c>
      <c r="D141" s="4" t="s">
        <v>229</v>
      </c>
      <c r="E141" s="6">
        <v>53409325056</v>
      </c>
      <c r="F141" s="6">
        <v>6365503</v>
      </c>
      <c r="G141" s="4" t="s">
        <v>371</v>
      </c>
      <c r="H141" s="7">
        <v>-3850996224</v>
      </c>
      <c r="I141" s="7">
        <v>-3840827136</v>
      </c>
      <c r="J141" s="7">
        <v>59044420</v>
      </c>
      <c r="K141" s="7">
        <v>-33420128256</v>
      </c>
      <c r="L141" s="7">
        <v>57260318720</v>
      </c>
      <c r="M141" s="8">
        <v>60874207232</v>
      </c>
      <c r="N141" s="8">
        <v>89784328192</v>
      </c>
      <c r="O141" s="8">
        <v>31619565568</v>
      </c>
      <c r="P141" s="8">
        <v>37267972096</v>
      </c>
      <c r="Q141" s="108">
        <v>0.5194246768951416</v>
      </c>
      <c r="R141" s="108">
        <v>0.41508325934410095</v>
      </c>
      <c r="S141" s="108">
        <v>0.53374224901199341</v>
      </c>
      <c r="T141" s="108">
        <v>0.4294847846031189</v>
      </c>
      <c r="U141" s="107">
        <v>-5.8913137763738632E-2</v>
      </c>
      <c r="V141" s="107">
        <v>0.18293589353561401</v>
      </c>
    </row>
    <row r="142" spans="1:22" ht="18" thickBot="1" x14ac:dyDescent="0.25">
      <c r="A142" s="5" t="s">
        <v>140</v>
      </c>
      <c r="B142" s="2">
        <v>8049.4775390625</v>
      </c>
      <c r="C142" s="4" t="s">
        <v>222</v>
      </c>
      <c r="D142" s="4" t="s">
        <v>229</v>
      </c>
      <c r="E142" s="6">
        <v>22836987904</v>
      </c>
      <c r="F142" s="6">
        <v>2837077</v>
      </c>
      <c r="G142" s="4" t="s">
        <v>374</v>
      </c>
      <c r="H142" s="7">
        <v>-703181760</v>
      </c>
      <c r="I142" s="7">
        <v>-838013376</v>
      </c>
      <c r="J142" s="7">
        <v>166328528</v>
      </c>
      <c r="K142" s="7">
        <v>-26018693120</v>
      </c>
      <c r="L142" s="7">
        <v>23540168704</v>
      </c>
      <c r="M142" s="8">
        <v>25880731648</v>
      </c>
      <c r="N142" s="8">
        <v>38171897856</v>
      </c>
      <c r="O142" s="8">
        <v>18860363776</v>
      </c>
      <c r="P142" s="8">
        <v>22229514240</v>
      </c>
      <c r="Q142" s="108">
        <v>0.72874152660369873</v>
      </c>
      <c r="R142" s="108">
        <v>0.58235287666320801</v>
      </c>
      <c r="S142" s="108">
        <v>0.67026364803314209</v>
      </c>
      <c r="T142" s="108">
        <v>0.53933900594711304</v>
      </c>
      <c r="U142" s="107">
        <v>-2.7351928874850273E-2</v>
      </c>
      <c r="V142" s="107">
        <v>0.11170093715190887</v>
      </c>
    </row>
    <row r="143" spans="1:22" ht="18" thickBot="1" x14ac:dyDescent="0.25">
      <c r="A143" s="5" t="s">
        <v>136</v>
      </c>
      <c r="B143" s="2">
        <v>7826.72412109375</v>
      </c>
      <c r="C143" s="4" t="s">
        <v>222</v>
      </c>
      <c r="D143" s="4" t="s">
        <v>229</v>
      </c>
      <c r="E143" s="6">
        <v>3310109440</v>
      </c>
      <c r="F143" s="6">
        <v>422924</v>
      </c>
      <c r="G143" s="4" t="s">
        <v>370</v>
      </c>
      <c r="H143" s="7">
        <v>-203200400</v>
      </c>
      <c r="I143" s="7">
        <v>-197739504</v>
      </c>
      <c r="J143" s="7">
        <v>-1620691.125</v>
      </c>
      <c r="K143" s="7">
        <v>-4463491072</v>
      </c>
      <c r="L143" s="7">
        <v>3513309952</v>
      </c>
      <c r="M143" s="8">
        <v>4292673280</v>
      </c>
      <c r="N143" s="8">
        <v>6331331584</v>
      </c>
      <c r="O143" s="8">
        <v>2810182912</v>
      </c>
      <c r="P143" s="8">
        <v>3312184064</v>
      </c>
      <c r="Q143" s="108">
        <v>0.65464633703231812</v>
      </c>
      <c r="R143" s="108">
        <v>0.52314180135726929</v>
      </c>
      <c r="S143" s="108">
        <v>0.65158659219741821</v>
      </c>
      <c r="T143" s="108">
        <v>0.52431017160415649</v>
      </c>
      <c r="U143" s="107">
        <v>-5.8965869247913361E-2</v>
      </c>
      <c r="V143" s="107">
        <v>3.9453223347663879E-2</v>
      </c>
    </row>
    <row r="144" spans="1:22" ht="18" thickBot="1" x14ac:dyDescent="0.25">
      <c r="A144" s="5" t="s">
        <v>139</v>
      </c>
      <c r="B144" s="2">
        <v>7649.1787109375</v>
      </c>
      <c r="C144" s="4" t="s">
        <v>222</v>
      </c>
      <c r="D144" s="4" t="s">
        <v>231</v>
      </c>
      <c r="E144" s="6">
        <v>44743266304</v>
      </c>
      <c r="F144" s="6">
        <v>5849421</v>
      </c>
      <c r="G144" s="4" t="s">
        <v>373</v>
      </c>
      <c r="H144" s="7">
        <v>118312472</v>
      </c>
      <c r="I144" s="7">
        <v>-110970944</v>
      </c>
      <c r="J144" s="7">
        <v>44553844</v>
      </c>
      <c r="K144" s="7">
        <v>-139981963264</v>
      </c>
      <c r="L144" s="7">
        <v>44624953344</v>
      </c>
      <c r="M144" s="8">
        <v>48542773248</v>
      </c>
      <c r="N144" s="8">
        <v>71596498944</v>
      </c>
      <c r="O144" s="8">
        <v>37836021760</v>
      </c>
      <c r="P144" s="8">
        <v>44594913280</v>
      </c>
      <c r="Q144" s="108">
        <v>0.77943676710128784</v>
      </c>
      <c r="R144" s="108">
        <v>0.6228644847869873</v>
      </c>
      <c r="S144" s="108">
        <v>0.70525318384170532</v>
      </c>
      <c r="T144" s="108">
        <v>0.56749391555786133</v>
      </c>
      <c r="U144" s="107">
        <v>2.4175872094929218E-3</v>
      </c>
      <c r="V144" s="107">
        <v>8.5719846189022064E-2</v>
      </c>
    </row>
    <row r="145" spans="1:22" ht="18" thickBot="1" x14ac:dyDescent="0.25">
      <c r="A145" s="5" t="s">
        <v>138</v>
      </c>
      <c r="B145" s="2">
        <v>7613.037109375</v>
      </c>
      <c r="C145" s="4" t="s">
        <v>222</v>
      </c>
      <c r="D145" s="4" t="s">
        <v>228</v>
      </c>
      <c r="E145" s="6">
        <v>889103450112</v>
      </c>
      <c r="F145" s="6">
        <v>116786962</v>
      </c>
      <c r="G145" s="4" t="s">
        <v>372</v>
      </c>
      <c r="H145" s="7">
        <v>405464128</v>
      </c>
      <c r="I145" s="7">
        <v>-18527580160</v>
      </c>
      <c r="J145" s="7">
        <v>13836601344</v>
      </c>
      <c r="K145" s="7">
        <v>-100727791616</v>
      </c>
      <c r="L145" s="7">
        <v>888698044416</v>
      </c>
      <c r="M145" s="8">
        <v>996012785664</v>
      </c>
      <c r="N145" s="8">
        <v>1469034921984</v>
      </c>
      <c r="O145" s="8">
        <v>421799100416</v>
      </c>
      <c r="P145" s="8">
        <v>497147805696</v>
      </c>
      <c r="Q145" s="108">
        <v>0.42348763346672058</v>
      </c>
      <c r="R145" s="108">
        <v>0.33841797709465027</v>
      </c>
      <c r="S145" s="108">
        <v>0.48886024951934814</v>
      </c>
      <c r="T145" s="108">
        <v>0.39336967468261719</v>
      </c>
      <c r="U145" s="107">
        <v>4.3212863965891302E-4</v>
      </c>
      <c r="V145" s="107">
        <v>5.2426442503929138E-2</v>
      </c>
    </row>
    <row r="146" spans="1:22" ht="18" thickBot="1" x14ac:dyDescent="0.25">
      <c r="A146" s="5" t="s">
        <v>145</v>
      </c>
      <c r="B146" s="2">
        <v>7222.33203125</v>
      </c>
      <c r="C146" s="4" t="s">
        <v>222</v>
      </c>
      <c r="D146" s="4" t="s">
        <v>232</v>
      </c>
      <c r="E146" s="6">
        <v>3808523520</v>
      </c>
      <c r="F146" s="6">
        <v>527326</v>
      </c>
      <c r="G146" s="4" t="s">
        <v>379</v>
      </c>
      <c r="H146" s="7">
        <v>-70033176</v>
      </c>
      <c r="I146" s="7">
        <v>-88414744</v>
      </c>
      <c r="J146" s="7">
        <v>18460254</v>
      </c>
      <c r="K146" s="7">
        <v>-4327737856</v>
      </c>
      <c r="L146" s="7">
        <v>3878556672</v>
      </c>
      <c r="M146" s="8">
        <v>4354955776</v>
      </c>
      <c r="N146" s="8">
        <v>6423192064</v>
      </c>
      <c r="O146" s="8">
        <v>2754379264</v>
      </c>
      <c r="P146" s="8">
        <v>3246411776</v>
      </c>
      <c r="Q146" s="108">
        <v>0.63247007131576538</v>
      </c>
      <c r="R146" s="108">
        <v>0.50542032718658447</v>
      </c>
      <c r="S146" s="108">
        <v>0.64219176769256592</v>
      </c>
      <c r="T146" s="108">
        <v>0.51675045490264893</v>
      </c>
      <c r="U146" s="107">
        <v>-1.602545939385891E-2</v>
      </c>
      <c r="V146" s="107">
        <v>0.12850823998451233</v>
      </c>
    </row>
    <row r="147" spans="1:22" ht="18" thickBot="1" x14ac:dyDescent="0.25">
      <c r="A147" s="5" t="s">
        <v>141</v>
      </c>
      <c r="B147" s="2">
        <v>7199.37548828125</v>
      </c>
      <c r="C147" s="4" t="s">
        <v>222</v>
      </c>
      <c r="D147" s="4" t="s">
        <v>232</v>
      </c>
      <c r="E147" s="6">
        <v>22266343424</v>
      </c>
      <c r="F147" s="6">
        <v>3092816</v>
      </c>
      <c r="G147" s="4" t="s">
        <v>375</v>
      </c>
      <c r="H147" s="7">
        <v>225443696</v>
      </c>
      <c r="I147" s="7">
        <v>175466688</v>
      </c>
      <c r="J147" s="7">
        <v>35139288</v>
      </c>
      <c r="K147" s="7">
        <v>931782848</v>
      </c>
      <c r="L147" s="7">
        <v>22040899584</v>
      </c>
      <c r="M147" s="8">
        <v>25330014208</v>
      </c>
      <c r="N147" s="8">
        <v>37359632384</v>
      </c>
      <c r="O147" s="8">
        <v>12698113024</v>
      </c>
      <c r="P147" s="8">
        <v>14966459392</v>
      </c>
      <c r="Q147" s="108">
        <v>0.50130701065063477</v>
      </c>
      <c r="R147" s="108">
        <v>0.40060511231422424</v>
      </c>
      <c r="S147" s="108">
        <v>0.56483632326126099</v>
      </c>
      <c r="T147" s="108">
        <v>0.45450511574745178</v>
      </c>
      <c r="U147" s="107">
        <v>8.8044041767716408E-3</v>
      </c>
      <c r="V147" s="107">
        <v>0.13041754066944122</v>
      </c>
    </row>
    <row r="148" spans="1:22" ht="18" thickBot="1" x14ac:dyDescent="0.25">
      <c r="A148" s="5" t="s">
        <v>142</v>
      </c>
      <c r="B148" s="2">
        <v>7146.05126953125</v>
      </c>
      <c r="C148" s="4" t="s">
        <v>222</v>
      </c>
      <c r="D148" s="4" t="s">
        <v>231</v>
      </c>
      <c r="E148" s="6">
        <v>274628247552</v>
      </c>
      <c r="F148" s="6">
        <v>38430770</v>
      </c>
      <c r="G148" s="4" t="s">
        <v>376</v>
      </c>
      <c r="H148" s="7">
        <v>-5636996608</v>
      </c>
      <c r="I148" s="7">
        <v>-5775427072</v>
      </c>
      <c r="J148" s="7">
        <v>148038112</v>
      </c>
      <c r="K148" s="7">
        <v>-111685025792</v>
      </c>
      <c r="L148" s="7">
        <v>280265261056</v>
      </c>
      <c r="M148" s="8">
        <v>295016038400</v>
      </c>
      <c r="N148" s="8">
        <v>435123781632</v>
      </c>
      <c r="O148" s="8">
        <v>160738213888</v>
      </c>
      <c r="P148" s="8">
        <v>189451927552</v>
      </c>
      <c r="Q148" s="108">
        <v>0.54484570026397705</v>
      </c>
      <c r="R148" s="108">
        <v>0.43539777398109436</v>
      </c>
      <c r="S148" s="108">
        <v>0.54561382532119751</v>
      </c>
      <c r="T148" s="108">
        <v>0.43903738260269165</v>
      </c>
      <c r="U148" s="107">
        <v>-1.9300753250718117E-2</v>
      </c>
      <c r="V148" s="107">
        <v>5.9688545763492584E-2</v>
      </c>
    </row>
    <row r="149" spans="1:22" ht="18" thickBot="1" x14ac:dyDescent="0.25">
      <c r="A149" s="5" t="s">
        <v>146</v>
      </c>
      <c r="B149" s="2">
        <v>7033.98876953125</v>
      </c>
      <c r="C149" s="4" t="s">
        <v>222</v>
      </c>
      <c r="D149" s="4" t="s">
        <v>231</v>
      </c>
      <c r="E149" s="6">
        <v>81036361728</v>
      </c>
      <c r="F149" s="6">
        <v>11520684</v>
      </c>
      <c r="G149" s="4" t="s">
        <v>380</v>
      </c>
      <c r="H149" s="7">
        <v>-2008862720</v>
      </c>
      <c r="I149" s="7">
        <v>-2057629184</v>
      </c>
      <c r="J149" s="7">
        <v>660356672</v>
      </c>
      <c r="K149" s="7">
        <v>-88929026048</v>
      </c>
      <c r="L149" s="7">
        <v>83045228544</v>
      </c>
      <c r="M149" s="8">
        <v>89637511168</v>
      </c>
      <c r="N149" s="8">
        <v>132207771648</v>
      </c>
      <c r="O149" s="8">
        <v>47640055808</v>
      </c>
      <c r="P149" s="8">
        <v>56150306816</v>
      </c>
      <c r="Q149" s="108">
        <v>0.5314745306968689</v>
      </c>
      <c r="R149" s="108">
        <v>0.42471259832382202</v>
      </c>
      <c r="S149" s="108">
        <v>0.56619089841842651</v>
      </c>
      <c r="T149" s="108">
        <v>0.45559507608413696</v>
      </c>
      <c r="U149" s="107">
        <v>-2.2626081481575966E-2</v>
      </c>
      <c r="V149" s="107">
        <v>8.7276943027973175E-2</v>
      </c>
    </row>
    <row r="150" spans="1:22" ht="18" thickBot="1" x14ac:dyDescent="0.25">
      <c r="A150" s="5" t="s">
        <v>148</v>
      </c>
      <c r="B150" s="2">
        <v>6995.49169921875</v>
      </c>
      <c r="C150" s="4" t="s">
        <v>222</v>
      </c>
      <c r="D150" s="4" t="s">
        <v>228</v>
      </c>
      <c r="E150" s="6">
        <v>10240459276288</v>
      </c>
      <c r="F150" s="6">
        <v>1463865525</v>
      </c>
      <c r="G150" s="4" t="s">
        <v>382</v>
      </c>
      <c r="H150" s="7">
        <v>-314556907520</v>
      </c>
      <c r="I150" s="7">
        <v>-327940014080</v>
      </c>
      <c r="J150" s="7">
        <v>7243276800</v>
      </c>
      <c r="K150" s="7">
        <v>-3857304256512</v>
      </c>
      <c r="L150" s="7">
        <v>10555015299072</v>
      </c>
      <c r="M150" s="8">
        <v>11755397840896</v>
      </c>
      <c r="N150" s="8">
        <v>17338220937216</v>
      </c>
      <c r="O150" s="8">
        <v>3486900551680</v>
      </c>
      <c r="P150" s="8">
        <v>4109787987968</v>
      </c>
      <c r="Q150" s="108">
        <v>0.29662123322486877</v>
      </c>
      <c r="R150" s="108">
        <v>0.2370363175868988</v>
      </c>
      <c r="S150" s="108">
        <v>0.34848877787590027</v>
      </c>
      <c r="T150" s="108">
        <v>0.28041738271713257</v>
      </c>
      <c r="U150" s="107">
        <v>-2.9939938336610794E-2</v>
      </c>
      <c r="V150" s="107">
        <v>2.5299692526459694E-2</v>
      </c>
    </row>
    <row r="151" spans="1:22" ht="18" thickBot="1" x14ac:dyDescent="0.25">
      <c r="A151" s="5" t="s">
        <v>153</v>
      </c>
      <c r="B151" s="2">
        <v>6682.42431640625</v>
      </c>
      <c r="C151" s="4" t="s">
        <v>222</v>
      </c>
      <c r="D151" s="4" t="s">
        <v>233</v>
      </c>
      <c r="E151" s="6">
        <v>247606722560</v>
      </c>
      <c r="F151" s="6">
        <v>37053428</v>
      </c>
      <c r="G151" s="4" t="s">
        <v>387</v>
      </c>
      <c r="H151" s="7">
        <v>-70894472</v>
      </c>
      <c r="I151" s="7">
        <v>-12074316800</v>
      </c>
      <c r="J151" s="7">
        <v>12071925760</v>
      </c>
      <c r="K151" s="7">
        <v>-42722758656</v>
      </c>
      <c r="L151" s="7">
        <v>247677616128</v>
      </c>
      <c r="M151" s="8">
        <v>325013307392</v>
      </c>
      <c r="N151" s="8">
        <v>479367233536</v>
      </c>
      <c r="O151" s="8">
        <v>117502189568</v>
      </c>
      <c r="P151" s="8">
        <v>138492362752</v>
      </c>
      <c r="Q151" s="108">
        <v>0.3615303635597229</v>
      </c>
      <c r="R151" s="108">
        <v>0.28890660405158997</v>
      </c>
      <c r="S151" s="108">
        <v>0.30351251363754272</v>
      </c>
      <c r="T151" s="108">
        <v>0.24422650039196014</v>
      </c>
      <c r="U151" s="107">
        <v>-2.6272697141394019E-4</v>
      </c>
      <c r="V151" s="107">
        <v>8.2397229969501495E-2</v>
      </c>
    </row>
    <row r="152" spans="1:22" ht="18" thickBot="1" x14ac:dyDescent="0.25">
      <c r="A152" s="5" t="s">
        <v>143</v>
      </c>
      <c r="B152" s="2">
        <v>6655.40966796875</v>
      </c>
      <c r="C152" s="4" t="s">
        <v>222</v>
      </c>
      <c r="D152" s="4" t="s">
        <v>229</v>
      </c>
      <c r="E152" s="6">
        <v>83737321472</v>
      </c>
      <c r="F152" s="6">
        <v>12581843</v>
      </c>
      <c r="G152" s="4" t="s">
        <v>377</v>
      </c>
      <c r="H152" s="7">
        <v>-2993120000</v>
      </c>
      <c r="I152" s="7">
        <v>-3007412736</v>
      </c>
      <c r="J152" s="7">
        <v>9345683</v>
      </c>
      <c r="K152" s="7">
        <v>-22545494016</v>
      </c>
      <c r="L152" s="7">
        <v>86730440704</v>
      </c>
      <c r="M152" s="8">
        <v>95205130240</v>
      </c>
      <c r="N152" s="8">
        <v>140419530752</v>
      </c>
      <c r="O152" s="8">
        <v>45879103488</v>
      </c>
      <c r="P152" s="8">
        <v>54074781696</v>
      </c>
      <c r="Q152" s="108">
        <v>0.48189738392829895</v>
      </c>
      <c r="R152" s="108">
        <v>0.38509446382522583</v>
      </c>
      <c r="S152" s="108">
        <v>0.44493639469146729</v>
      </c>
      <c r="T152" s="108">
        <v>0.35802561044692993</v>
      </c>
      <c r="U152" s="107">
        <v>-3.5161241888999939E-2</v>
      </c>
      <c r="V152" s="107">
        <v>1.6307985410094261E-2</v>
      </c>
    </row>
    <row r="153" spans="1:22" ht="18" thickBot="1" x14ac:dyDescent="0.25">
      <c r="A153" s="5" t="s">
        <v>147</v>
      </c>
      <c r="B153" s="2">
        <v>6573.11376953125</v>
      </c>
      <c r="C153" s="4" t="s">
        <v>222</v>
      </c>
      <c r="D153" s="4" t="s">
        <v>232</v>
      </c>
      <c r="E153" s="6">
        <v>8256974336</v>
      </c>
      <c r="F153" s="6">
        <v>1256174</v>
      </c>
      <c r="G153" s="4" t="s">
        <v>381</v>
      </c>
      <c r="H153" s="7">
        <v>-1296384640</v>
      </c>
      <c r="I153" s="7">
        <v>-1302425344</v>
      </c>
      <c r="J153" s="7">
        <v>28268858</v>
      </c>
      <c r="K153" s="7">
        <v>835094784</v>
      </c>
      <c r="L153" s="7">
        <v>9553358848</v>
      </c>
      <c r="M153" s="8">
        <v>10434962432</v>
      </c>
      <c r="N153" s="8">
        <v>15390690304</v>
      </c>
      <c r="O153" s="8">
        <v>4506641920</v>
      </c>
      <c r="P153" s="8">
        <v>5311692288</v>
      </c>
      <c r="Q153" s="108">
        <v>0.43187904357910156</v>
      </c>
      <c r="R153" s="108">
        <v>0.34512370824813843</v>
      </c>
      <c r="S153" s="108">
        <v>0.49558597803115845</v>
      </c>
      <c r="T153" s="108">
        <v>0.39878165721893311</v>
      </c>
      <c r="U153" s="107">
        <v>-0.13080184161663055</v>
      </c>
      <c r="V153" s="107">
        <v>0.16689276695251465</v>
      </c>
    </row>
    <row r="154" spans="1:22" ht="18" thickBot="1" x14ac:dyDescent="0.25">
      <c r="A154" s="5" t="s">
        <v>149</v>
      </c>
      <c r="B154" s="2">
        <v>6363.2265625</v>
      </c>
      <c r="C154" s="4" t="s">
        <v>223</v>
      </c>
      <c r="D154" s="4" t="s">
        <v>228</v>
      </c>
      <c r="E154" s="6">
        <v>1117935501312</v>
      </c>
      <c r="F154" s="6">
        <v>175686899</v>
      </c>
      <c r="G154" s="4" t="s">
        <v>383</v>
      </c>
      <c r="H154" s="7">
        <v>-11753678848</v>
      </c>
      <c r="I154" s="7">
        <v>-12551271424</v>
      </c>
      <c r="J154" s="7">
        <v>790381312</v>
      </c>
      <c r="K154" s="7">
        <v>-271618801664</v>
      </c>
      <c r="L154" s="7">
        <v>1129689120768</v>
      </c>
      <c r="M154" s="8">
        <v>1267510280192</v>
      </c>
      <c r="N154" s="8">
        <v>1869470760960</v>
      </c>
      <c r="O154" s="8">
        <v>402958712832</v>
      </c>
      <c r="P154" s="8">
        <v>474941816832</v>
      </c>
      <c r="Q154" s="108">
        <v>0.31791356205940247</v>
      </c>
      <c r="R154" s="108">
        <v>0.25405147671699524</v>
      </c>
      <c r="S154" s="108">
        <v>0.41330695152282715</v>
      </c>
      <c r="T154" s="108">
        <v>0.33257445693016052</v>
      </c>
      <c r="U154" s="107">
        <v>-9.9219884723424911E-3</v>
      </c>
      <c r="V154" s="107">
        <v>5.6283310055732727E-2</v>
      </c>
    </row>
    <row r="155" spans="1:22" ht="18" thickBot="1" x14ac:dyDescent="0.25">
      <c r="A155" s="5" t="s">
        <v>161</v>
      </c>
      <c r="B155" s="2">
        <v>6055.46435546875</v>
      </c>
      <c r="C155" s="4" t="s">
        <v>223</v>
      </c>
      <c r="D155" s="4" t="s">
        <v>232</v>
      </c>
      <c r="E155" s="6">
        <v>236405571584</v>
      </c>
      <c r="F155" s="6">
        <v>39040039</v>
      </c>
      <c r="G155" s="4" t="s">
        <v>395</v>
      </c>
      <c r="H155" s="7">
        <v>-10420461568</v>
      </c>
      <c r="I155" s="7">
        <v>-9942699008</v>
      </c>
      <c r="J155" s="7">
        <v>-320100800</v>
      </c>
      <c r="K155" s="7">
        <v>-30164383744</v>
      </c>
      <c r="L155" s="7">
        <v>246826024960</v>
      </c>
      <c r="M155" s="8">
        <v>276055293952</v>
      </c>
      <c r="N155" s="8">
        <v>407158292480</v>
      </c>
      <c r="O155" s="8">
        <v>117391679488</v>
      </c>
      <c r="P155" s="8">
        <v>138362126336</v>
      </c>
      <c r="Q155" s="108">
        <v>0.42524698376655579</v>
      </c>
      <c r="R155" s="108">
        <v>0.33982390165328979</v>
      </c>
      <c r="S155" s="108">
        <v>0.34263008832931519</v>
      </c>
      <c r="T155" s="108">
        <v>0.27570310235023499</v>
      </c>
      <c r="U155" s="107">
        <v>-4.4196885079145432E-2</v>
      </c>
      <c r="V155" s="107">
        <v>-2.6800928171724081E-3</v>
      </c>
    </row>
    <row r="156" spans="1:22" ht="18" thickBot="1" x14ac:dyDescent="0.25">
      <c r="A156" s="5" t="s">
        <v>152</v>
      </c>
      <c r="B156" s="2">
        <v>6024.94873046875</v>
      </c>
      <c r="C156" s="4" t="s">
        <v>223</v>
      </c>
      <c r="D156" s="4" t="s">
        <v>228</v>
      </c>
      <c r="E156" s="6">
        <v>47434698752</v>
      </c>
      <c r="F156" s="6">
        <v>7873046</v>
      </c>
      <c r="G156" s="4" t="s">
        <v>386</v>
      </c>
      <c r="H156" s="7">
        <v>-4023883520</v>
      </c>
      <c r="I156" s="7">
        <v>-4026101760</v>
      </c>
      <c r="J156" s="7">
        <v>-246834096</v>
      </c>
      <c r="K156" s="7">
        <v>-106918707200</v>
      </c>
      <c r="L156" s="7">
        <v>51458580480</v>
      </c>
      <c r="M156" s="8">
        <v>57611390976</v>
      </c>
      <c r="N156" s="8">
        <v>84971945984</v>
      </c>
      <c r="O156" s="8">
        <v>14484761600</v>
      </c>
      <c r="P156" s="8">
        <v>17072268288</v>
      </c>
      <c r="Q156" s="108">
        <v>0.25142183899879456</v>
      </c>
      <c r="R156" s="108">
        <v>0.20091651380062103</v>
      </c>
      <c r="S156" s="108">
        <v>0.38850012421607971</v>
      </c>
      <c r="T156" s="108">
        <v>0.31261321902275085</v>
      </c>
      <c r="U156" s="107">
        <v>-8.263976126909256E-2</v>
      </c>
      <c r="V156" s="107">
        <v>2.581864595413208E-2</v>
      </c>
    </row>
    <row r="157" spans="1:22" ht="18" thickBot="1" x14ac:dyDescent="0.25">
      <c r="A157" s="5" t="s">
        <v>144</v>
      </c>
      <c r="B157" s="2">
        <v>5949.49609375</v>
      </c>
      <c r="C157" s="4" t="s">
        <v>223</v>
      </c>
      <c r="D157" s="4" t="s">
        <v>227</v>
      </c>
      <c r="E157" s="6">
        <v>56472616</v>
      </c>
      <c r="F157" s="6">
        <v>9492</v>
      </c>
      <c r="G157" s="4" t="s">
        <v>378</v>
      </c>
      <c r="H157" s="7">
        <v>18125580</v>
      </c>
      <c r="I157" s="7">
        <v>9592813</v>
      </c>
      <c r="J157" s="7">
        <v>622039.25</v>
      </c>
      <c r="K157" s="7">
        <v>274041920</v>
      </c>
      <c r="L157" s="7">
        <v>38347036</v>
      </c>
      <c r="M157" s="8">
        <v>42378576</v>
      </c>
      <c r="N157" s="8">
        <v>62504832</v>
      </c>
      <c r="O157" s="8">
        <v>49379248</v>
      </c>
      <c r="P157" s="8">
        <v>58200180</v>
      </c>
      <c r="Q157" s="108">
        <v>1.1651935577392578</v>
      </c>
      <c r="R157" s="108">
        <v>0.93113094568252563</v>
      </c>
      <c r="S157" s="108">
        <v>1.3709267377853394</v>
      </c>
      <c r="T157" s="108">
        <v>1.1031392812728882</v>
      </c>
      <c r="U157" s="107">
        <v>0.21688318252563477</v>
      </c>
      <c r="V157" s="107">
        <v>0.32427209615707397</v>
      </c>
    </row>
    <row r="158" spans="1:22" ht="18" thickBot="1" x14ac:dyDescent="0.25">
      <c r="A158" s="5" t="s">
        <v>151</v>
      </c>
      <c r="B158" s="2">
        <v>5799.1064453125</v>
      </c>
      <c r="C158" s="4" t="s">
        <v>223</v>
      </c>
      <c r="D158" s="4" t="s">
        <v>227</v>
      </c>
      <c r="E158" s="6">
        <v>601610880</v>
      </c>
      <c r="F158" s="6">
        <v>103742</v>
      </c>
      <c r="G158" s="4" t="s">
        <v>385</v>
      </c>
      <c r="H158" s="7">
        <v>37591028</v>
      </c>
      <c r="I158" s="7">
        <v>-12796953</v>
      </c>
      <c r="J158" s="7">
        <v>54731972</v>
      </c>
      <c r="K158" s="7">
        <v>-35609468</v>
      </c>
      <c r="L158" s="7">
        <v>564019904</v>
      </c>
      <c r="M158" s="8">
        <v>613085952</v>
      </c>
      <c r="N158" s="8">
        <v>904250112</v>
      </c>
      <c r="O158" s="8">
        <v>573316160</v>
      </c>
      <c r="P158" s="8">
        <v>675731328</v>
      </c>
      <c r="Q158" s="108">
        <v>0.9351317286491394</v>
      </c>
      <c r="R158" s="108">
        <v>0.74728363752365112</v>
      </c>
      <c r="S158" s="108">
        <v>0.88795632123947144</v>
      </c>
      <c r="T158" s="108">
        <v>0.71450912952423096</v>
      </c>
      <c r="U158" s="107">
        <v>5.0996523350477219E-2</v>
      </c>
      <c r="V158" s="107">
        <v>0.18384608626365662</v>
      </c>
    </row>
    <row r="159" spans="1:22" ht="18" thickBot="1" x14ac:dyDescent="0.25">
      <c r="A159" s="5" t="s">
        <v>166</v>
      </c>
      <c r="B159" s="2">
        <v>5774.8232421875</v>
      </c>
      <c r="C159" s="4" t="s">
        <v>223</v>
      </c>
      <c r="D159" s="4" t="s">
        <v>232</v>
      </c>
      <c r="E159" s="6">
        <v>1371680931840</v>
      </c>
      <c r="F159" s="6">
        <v>237527782</v>
      </c>
      <c r="G159" s="4" t="s">
        <v>400</v>
      </c>
      <c r="H159" s="7">
        <v>-50916925440</v>
      </c>
      <c r="I159" s="7">
        <v>-53175111680</v>
      </c>
      <c r="J159" s="7">
        <v>1085421312</v>
      </c>
      <c r="K159" s="7">
        <v>-356813963264</v>
      </c>
      <c r="L159" s="7">
        <v>1422597816320</v>
      </c>
      <c r="M159" s="8">
        <v>1535584763904</v>
      </c>
      <c r="N159" s="8">
        <v>2264858099712</v>
      </c>
      <c r="O159" s="8">
        <v>243596689408</v>
      </c>
      <c r="P159" s="8">
        <v>287111938048</v>
      </c>
      <c r="Q159" s="108">
        <v>0.1586344838142395</v>
      </c>
      <c r="R159" s="108">
        <v>0.12676817178726196</v>
      </c>
      <c r="S159" s="108">
        <v>0.45452448725700378</v>
      </c>
      <c r="T159" s="108">
        <v>0.36574083566665649</v>
      </c>
      <c r="U159" s="107">
        <v>-3.4733887761831284E-2</v>
      </c>
      <c r="V159" s="107">
        <v>6.4283460378646851E-2</v>
      </c>
    </row>
    <row r="160" spans="1:22" ht="18" thickBot="1" x14ac:dyDescent="0.25">
      <c r="A160" s="5" t="s">
        <v>150</v>
      </c>
      <c r="B160" s="2">
        <v>5643.8251953125</v>
      </c>
      <c r="C160" s="4" t="s">
        <v>223</v>
      </c>
      <c r="D160" s="4" t="s">
        <v>227</v>
      </c>
      <c r="E160" s="6">
        <v>204769264</v>
      </c>
      <c r="F160" s="6">
        <v>36282</v>
      </c>
      <c r="G160" s="4" t="s">
        <v>384</v>
      </c>
      <c r="H160" s="7">
        <v>6459819.5</v>
      </c>
      <c r="I160" s="7">
        <v>-29324548</v>
      </c>
      <c r="J160" s="7">
        <v>23596166</v>
      </c>
      <c r="K160" s="7">
        <v>-12689583104</v>
      </c>
      <c r="L160" s="7">
        <v>198309440</v>
      </c>
      <c r="M160" s="8">
        <v>221078608</v>
      </c>
      <c r="N160" s="8">
        <v>326072288</v>
      </c>
      <c r="O160" s="8">
        <v>261318944</v>
      </c>
      <c r="P160" s="8">
        <v>308000032</v>
      </c>
      <c r="Q160" s="108">
        <v>1.1820182800292969</v>
      </c>
      <c r="R160" s="108">
        <v>0.94457590579986572</v>
      </c>
      <c r="S160" s="108">
        <v>1.1596342325210571</v>
      </c>
      <c r="T160" s="108">
        <v>0.93311935663223267</v>
      </c>
      <c r="U160" s="107">
        <v>2.211691252887249E-2</v>
      </c>
      <c r="V160" s="107">
        <v>0.29891791939735413</v>
      </c>
    </row>
    <row r="161" spans="1:22" ht="18" thickBot="1" x14ac:dyDescent="0.25">
      <c r="A161" s="5" t="s">
        <v>154</v>
      </c>
      <c r="B161" s="2">
        <v>5639.33154296875</v>
      </c>
      <c r="C161" s="4" t="s">
        <v>223</v>
      </c>
      <c r="D161" s="4" t="s">
        <v>229</v>
      </c>
      <c r="E161" s="6">
        <v>39517626368</v>
      </c>
      <c r="F161" s="6">
        <v>7007502</v>
      </c>
      <c r="G161" s="4" t="s">
        <v>388</v>
      </c>
      <c r="H161" s="7">
        <v>-2100397184</v>
      </c>
      <c r="I161" s="7">
        <v>-2071617152</v>
      </c>
      <c r="J161" s="7">
        <v>5714628.5</v>
      </c>
      <c r="K161" s="7">
        <v>-35644899328</v>
      </c>
      <c r="L161" s="7">
        <v>41618022400</v>
      </c>
      <c r="M161" s="8">
        <v>44127178752</v>
      </c>
      <c r="N161" s="8">
        <v>65083867136</v>
      </c>
      <c r="O161" s="8">
        <v>18787325952</v>
      </c>
      <c r="P161" s="8">
        <v>22143426560</v>
      </c>
      <c r="Q161" s="108">
        <v>0.42575407028198242</v>
      </c>
      <c r="R161" s="108">
        <v>0.34022912383079529</v>
      </c>
      <c r="S161" s="108">
        <v>0.37328505516052246</v>
      </c>
      <c r="T161" s="108">
        <v>0.30037015676498413</v>
      </c>
      <c r="U161" s="107">
        <v>-4.2209036648273468E-2</v>
      </c>
      <c r="V161" s="107">
        <v>0.20586405694484711</v>
      </c>
    </row>
    <row r="162" spans="1:22" ht="18" thickBot="1" x14ac:dyDescent="0.25">
      <c r="A162" s="5" t="s">
        <v>156</v>
      </c>
      <c r="B162" s="2">
        <v>5458.37548828125</v>
      </c>
      <c r="C162" s="4" t="s">
        <v>223</v>
      </c>
      <c r="D162" s="4" t="s">
        <v>227</v>
      </c>
      <c r="E162" s="6">
        <v>1197054464</v>
      </c>
      <c r="F162" s="6">
        <v>219306</v>
      </c>
      <c r="G162" s="4" t="s">
        <v>390</v>
      </c>
      <c r="H162" s="7">
        <v>4602027.5</v>
      </c>
      <c r="I162" s="7">
        <v>-132815.78125</v>
      </c>
      <c r="J162" s="7">
        <v>4954109.5</v>
      </c>
      <c r="K162" s="7">
        <v>25153458</v>
      </c>
      <c r="L162" s="7">
        <v>1192452352</v>
      </c>
      <c r="M162" s="8">
        <v>1329203968</v>
      </c>
      <c r="N162" s="8">
        <v>1960463872</v>
      </c>
      <c r="O162" s="8">
        <v>1086304256</v>
      </c>
      <c r="P162" s="8">
        <v>1280357760</v>
      </c>
      <c r="Q162" s="108">
        <v>0.81725919246673584</v>
      </c>
      <c r="R162" s="108">
        <v>0.65308922529220581</v>
      </c>
      <c r="S162" s="108">
        <v>0.79153013229370117</v>
      </c>
      <c r="T162" s="108">
        <v>0.63691812753677368</v>
      </c>
      <c r="U162" s="107">
        <v>3.3025646116584539E-3</v>
      </c>
      <c r="V162" s="107">
        <v>0.14095482230186462</v>
      </c>
    </row>
    <row r="163" spans="1:22" ht="18" thickBot="1" x14ac:dyDescent="0.25">
      <c r="A163" s="5" t="s">
        <v>155</v>
      </c>
      <c r="B163" s="2">
        <v>5362.779296875</v>
      </c>
      <c r="C163" s="4" t="s">
        <v>223</v>
      </c>
      <c r="D163" s="4" t="s">
        <v>233</v>
      </c>
      <c r="E163" s="6">
        <v>39121657856</v>
      </c>
      <c r="F163" s="6">
        <v>7295034</v>
      </c>
      <c r="G163" s="4" t="s">
        <v>389</v>
      </c>
      <c r="H163" s="7">
        <v>-537019840</v>
      </c>
      <c r="I163" s="7">
        <v>-774954240</v>
      </c>
      <c r="J163" s="7">
        <v>312088032</v>
      </c>
      <c r="K163" s="7">
        <v>-21752952832</v>
      </c>
      <c r="L163" s="7">
        <v>39658676224</v>
      </c>
      <c r="M163" s="8">
        <v>44887638016</v>
      </c>
      <c r="N163" s="8">
        <v>66205474816</v>
      </c>
      <c r="O163" s="8">
        <v>18002333696</v>
      </c>
      <c r="P163" s="8">
        <v>21218207744</v>
      </c>
      <c r="Q163" s="108">
        <v>0.40105327963829041</v>
      </c>
      <c r="R163" s="108">
        <v>0.32049021124839783</v>
      </c>
      <c r="S163" s="108">
        <v>0.2924632728099823</v>
      </c>
      <c r="T163" s="108">
        <v>0.23533552885055542</v>
      </c>
      <c r="U163" s="107">
        <v>-1.2359819374978542E-2</v>
      </c>
      <c r="V163" s="107">
        <v>9.9592588841915131E-2</v>
      </c>
    </row>
    <row r="164" spans="1:22" ht="18" thickBot="1" x14ac:dyDescent="0.25">
      <c r="A164" s="5" t="s">
        <v>215</v>
      </c>
      <c r="B164" s="2">
        <v>5213.23095703125</v>
      </c>
      <c r="C164" s="4" t="s">
        <v>223</v>
      </c>
      <c r="D164" s="4" t="s">
        <v>232</v>
      </c>
      <c r="E164" s="6">
        <v>88368406528</v>
      </c>
      <c r="F164" s="6">
        <v>16950795</v>
      </c>
      <c r="G164" s="4" t="s">
        <v>449</v>
      </c>
      <c r="H164" s="7">
        <v>-1229926016</v>
      </c>
      <c r="I164" s="7">
        <v>-1262108416</v>
      </c>
      <c r="J164" s="7">
        <v>-503107.25</v>
      </c>
      <c r="K164" s="7">
        <v>-42293067776</v>
      </c>
      <c r="L164" s="7">
        <v>89598328832</v>
      </c>
      <c r="M164" s="8">
        <v>100976795648</v>
      </c>
      <c r="N164" s="8">
        <v>148932263936</v>
      </c>
      <c r="O164" s="8">
        <v>39873179648</v>
      </c>
      <c r="P164" s="8">
        <v>46995984384</v>
      </c>
      <c r="Q164" s="108">
        <v>0.3948746919631958</v>
      </c>
      <c r="R164" s="108">
        <v>0.31555274128913879</v>
      </c>
      <c r="S164" s="108">
        <v>0.39959901571273804</v>
      </c>
      <c r="T164" s="108">
        <v>0.32154414057731628</v>
      </c>
      <c r="U164" s="107">
        <v>-1.2744113802909851E-2</v>
      </c>
      <c r="V164" s="107">
        <v>8.4353804588317871E-2</v>
      </c>
    </row>
    <row r="165" spans="1:22" ht="18" thickBot="1" x14ac:dyDescent="0.25">
      <c r="A165" s="5" t="s">
        <v>157</v>
      </c>
      <c r="B165" s="2">
        <v>5172.5703125</v>
      </c>
      <c r="C165" s="4" t="s">
        <v>223</v>
      </c>
      <c r="D165" s="4" t="s">
        <v>232</v>
      </c>
      <c r="E165" s="6">
        <v>181372420096</v>
      </c>
      <c r="F165" s="6">
        <v>35064272</v>
      </c>
      <c r="G165" s="4" t="s">
        <v>391</v>
      </c>
      <c r="H165" s="7">
        <v>-7508339200</v>
      </c>
      <c r="I165" s="7">
        <v>-7486780416</v>
      </c>
      <c r="J165" s="7">
        <v>13154170</v>
      </c>
      <c r="K165" s="7">
        <v>-58224365568</v>
      </c>
      <c r="L165" s="7">
        <v>188880764928</v>
      </c>
      <c r="M165" s="8">
        <v>204455591936</v>
      </c>
      <c r="N165" s="8">
        <v>301554761728</v>
      </c>
      <c r="O165" s="8">
        <v>116894867456</v>
      </c>
      <c r="P165" s="8">
        <v>137776545792</v>
      </c>
      <c r="Q165" s="108">
        <v>0.57173717021942139</v>
      </c>
      <c r="R165" s="108">
        <v>0.45688733458518982</v>
      </c>
      <c r="S165" s="108">
        <v>0.4599539041519165</v>
      </c>
      <c r="T165" s="108">
        <v>0.3701096773147583</v>
      </c>
      <c r="U165" s="107">
        <v>-3.9767570793628693E-2</v>
      </c>
      <c r="V165" s="107">
        <v>3.9369396865367889E-2</v>
      </c>
    </row>
    <row r="166" spans="1:22" ht="18" thickBot="1" x14ac:dyDescent="0.25">
      <c r="A166" s="5" t="s">
        <v>158</v>
      </c>
      <c r="B166" s="2">
        <v>5055.31982421875</v>
      </c>
      <c r="C166" s="4" t="s">
        <v>223</v>
      </c>
      <c r="D166" s="4" t="s">
        <v>232</v>
      </c>
      <c r="E166" s="6">
        <v>5985883136</v>
      </c>
      <c r="F166" s="6">
        <v>1184076</v>
      </c>
      <c r="G166" s="4" t="s">
        <v>392</v>
      </c>
      <c r="H166" s="7">
        <v>-82972224</v>
      </c>
      <c r="I166" s="7">
        <v>-230025008</v>
      </c>
      <c r="J166" s="7">
        <v>60288048</v>
      </c>
      <c r="K166" s="7">
        <v>-6540104704</v>
      </c>
      <c r="L166" s="7">
        <v>6068855296</v>
      </c>
      <c r="M166" s="8">
        <v>6756062720</v>
      </c>
      <c r="N166" s="8">
        <v>9964622848</v>
      </c>
      <c r="O166" s="8">
        <v>3711597312</v>
      </c>
      <c r="P166" s="8">
        <v>4374624256</v>
      </c>
      <c r="Q166" s="108">
        <v>0.54937285184860229</v>
      </c>
      <c r="R166" s="108">
        <v>0.43901553750038147</v>
      </c>
      <c r="S166" s="108">
        <v>0.63093686103820801</v>
      </c>
      <c r="T166" s="108">
        <v>0.5076940655708313</v>
      </c>
      <c r="U166" s="107">
        <v>-1.3214226812124252E-2</v>
      </c>
      <c r="V166" s="107">
        <v>4.6683166176080704E-2</v>
      </c>
    </row>
    <row r="167" spans="1:22" ht="18" thickBot="1" x14ac:dyDescent="0.25">
      <c r="A167" s="5" t="s">
        <v>160</v>
      </c>
      <c r="B167" s="2">
        <v>4968.02490234375</v>
      </c>
      <c r="C167" s="4" t="s">
        <v>223</v>
      </c>
      <c r="D167" s="4" t="s">
        <v>228</v>
      </c>
      <c r="E167" s="6">
        <v>88669216768</v>
      </c>
      <c r="F167" s="6">
        <v>17847982</v>
      </c>
      <c r="G167" s="4" t="s">
        <v>394</v>
      </c>
      <c r="H167" s="7">
        <v>-2408286976</v>
      </c>
      <c r="I167" s="7">
        <v>-2446630400</v>
      </c>
      <c r="J167" s="7">
        <v>-258462352</v>
      </c>
      <c r="K167" s="7">
        <v>-80628482048</v>
      </c>
      <c r="L167" s="7">
        <v>91077509120</v>
      </c>
      <c r="M167" s="8">
        <v>101299830784</v>
      </c>
      <c r="N167" s="8">
        <v>149408710656</v>
      </c>
      <c r="O167" s="8">
        <v>42340691968</v>
      </c>
      <c r="P167" s="8">
        <v>49904283648</v>
      </c>
      <c r="Q167" s="108">
        <v>0.41797396540641785</v>
      </c>
      <c r="R167" s="108">
        <v>0.33401185274124146</v>
      </c>
      <c r="S167" s="108">
        <v>0.432660311460495</v>
      </c>
      <c r="T167" s="108">
        <v>0.34814745187759399</v>
      </c>
      <c r="U167" s="107">
        <v>-2.6052283123135567E-2</v>
      </c>
      <c r="V167" s="107">
        <v>4.0797252207994461E-2</v>
      </c>
    </row>
    <row r="168" spans="1:22" ht="18" thickBot="1" x14ac:dyDescent="0.25">
      <c r="A168" s="5" t="s">
        <v>159</v>
      </c>
      <c r="B168" s="2">
        <v>4940.71875</v>
      </c>
      <c r="C168" s="4" t="s">
        <v>223</v>
      </c>
      <c r="D168" s="4" t="s">
        <v>232</v>
      </c>
      <c r="E168" s="6">
        <v>161618558976</v>
      </c>
      <c r="F168" s="6">
        <v>32711547</v>
      </c>
      <c r="G168" s="4" t="s">
        <v>393</v>
      </c>
      <c r="H168" s="7">
        <v>-8324030464</v>
      </c>
      <c r="I168" s="7">
        <v>-8252551680</v>
      </c>
      <c r="J168" s="7">
        <v>-72067984</v>
      </c>
      <c r="K168" s="7">
        <v>-87610048512</v>
      </c>
      <c r="L168" s="7">
        <v>169942597632</v>
      </c>
      <c r="M168" s="8">
        <v>181750956032</v>
      </c>
      <c r="N168" s="8">
        <v>268067323904</v>
      </c>
      <c r="O168" s="8">
        <v>86334595072</v>
      </c>
      <c r="P168" s="8">
        <v>101757091840</v>
      </c>
      <c r="Q168" s="108">
        <v>0.47501590847969055</v>
      </c>
      <c r="R168" s="108">
        <v>0.3795953094959259</v>
      </c>
      <c r="S168" s="108">
        <v>0.50489127635955811</v>
      </c>
      <c r="T168" s="108">
        <v>0.40626931190490723</v>
      </c>
      <c r="U168" s="107">
        <v>-5.2575878798961639E-2</v>
      </c>
      <c r="V168" s="107">
        <v>-2.080814354121685E-2</v>
      </c>
    </row>
    <row r="169" spans="1:22" ht="18" thickBot="1" x14ac:dyDescent="0.25">
      <c r="A169" s="5" t="s">
        <v>162</v>
      </c>
      <c r="B169" s="2">
        <v>4663.830078125</v>
      </c>
      <c r="C169" s="4" t="s">
        <v>223</v>
      </c>
      <c r="D169" s="4" t="s">
        <v>229</v>
      </c>
      <c r="E169" s="6">
        <v>51329413120</v>
      </c>
      <c r="F169" s="6">
        <v>11005850</v>
      </c>
      <c r="G169" s="4" t="s">
        <v>396</v>
      </c>
      <c r="H169" s="7">
        <v>-4309325824</v>
      </c>
      <c r="I169" s="7">
        <v>-3823766784</v>
      </c>
      <c r="J169" s="7">
        <v>-301620032</v>
      </c>
      <c r="K169" s="7">
        <v>-28527306752</v>
      </c>
      <c r="L169" s="7">
        <v>55638736896</v>
      </c>
      <c r="M169" s="8">
        <v>58680983552</v>
      </c>
      <c r="N169" s="8">
        <v>86549504000</v>
      </c>
      <c r="O169" s="8">
        <v>33362507776</v>
      </c>
      <c r="P169" s="8">
        <v>39322267648</v>
      </c>
      <c r="Q169" s="108">
        <v>0.56854033470153809</v>
      </c>
      <c r="R169" s="108">
        <v>0.45433264970779419</v>
      </c>
      <c r="S169" s="108">
        <v>0.54797935485839844</v>
      </c>
      <c r="T169" s="108">
        <v>0.44094088673591614</v>
      </c>
      <c r="U169" s="107">
        <v>-6.552848219871521E-2</v>
      </c>
      <c r="V169" s="107">
        <v>0.21947452425956726</v>
      </c>
    </row>
    <row r="170" spans="1:22" ht="18" thickBot="1" x14ac:dyDescent="0.25">
      <c r="A170" s="5" t="s">
        <v>163</v>
      </c>
      <c r="B170" s="2">
        <v>4623.07177734375</v>
      </c>
      <c r="C170" s="4" t="s">
        <v>223</v>
      </c>
      <c r="D170" s="4" t="s">
        <v>232</v>
      </c>
      <c r="E170" s="6">
        <v>24571926528</v>
      </c>
      <c r="F170" s="6">
        <v>5315065</v>
      </c>
      <c r="G170" s="4" t="s">
        <v>397</v>
      </c>
      <c r="H170" s="7">
        <v>-365048544</v>
      </c>
      <c r="I170" s="7">
        <v>-300484096</v>
      </c>
      <c r="J170" s="7">
        <v>-190342224</v>
      </c>
      <c r="K170" s="7">
        <v>-33528735744</v>
      </c>
      <c r="L170" s="7">
        <v>24936974336</v>
      </c>
      <c r="M170" s="8">
        <v>27718725632</v>
      </c>
      <c r="N170" s="8">
        <v>40882786304</v>
      </c>
      <c r="O170" s="8">
        <v>10251580416</v>
      </c>
      <c r="P170" s="8">
        <v>12082887680</v>
      </c>
      <c r="Q170" s="108">
        <v>0.36984315514564514</v>
      </c>
      <c r="R170" s="108">
        <v>0.29554951190948486</v>
      </c>
      <c r="S170" s="108">
        <v>0.41473284363746643</v>
      </c>
      <c r="T170" s="108">
        <v>0.3337218165397644</v>
      </c>
      <c r="U170" s="107">
        <v>-1.4356345869600773E-2</v>
      </c>
      <c r="V170" s="107">
        <v>3.3654343336820602E-2</v>
      </c>
    </row>
    <row r="171" spans="1:22" ht="18" thickBot="1" x14ac:dyDescent="0.25">
      <c r="A171" s="5" t="s">
        <v>164</v>
      </c>
      <c r="B171" s="2">
        <v>4493.16748046875</v>
      </c>
      <c r="C171" s="4" t="s">
        <v>223</v>
      </c>
      <c r="D171" s="4" t="s">
        <v>233</v>
      </c>
      <c r="E171" s="6">
        <v>48466599936</v>
      </c>
      <c r="F171" s="6">
        <v>10786734</v>
      </c>
      <c r="G171" s="4" t="s">
        <v>398</v>
      </c>
      <c r="H171" s="7">
        <v>10464317440</v>
      </c>
      <c r="I171" s="7">
        <v>-541186560</v>
      </c>
      <c r="J171" s="7">
        <v>11027916800</v>
      </c>
      <c r="K171" s="7">
        <v>-8123657216</v>
      </c>
      <c r="L171" s="7">
        <v>38002282496</v>
      </c>
      <c r="M171" s="8">
        <v>43330977792</v>
      </c>
      <c r="N171" s="8">
        <v>63909543936</v>
      </c>
      <c r="O171" s="8">
        <v>14553907200</v>
      </c>
      <c r="P171" s="8">
        <v>17153766400</v>
      </c>
      <c r="Q171" s="108">
        <v>0.33587765693664551</v>
      </c>
      <c r="R171" s="108">
        <v>0.26840695738792419</v>
      </c>
      <c r="S171" s="108">
        <v>0.27959313988685608</v>
      </c>
      <c r="T171" s="108">
        <v>0.22497937083244324</v>
      </c>
      <c r="U171" s="107">
        <v>0.20064571499824524</v>
      </c>
      <c r="V171" s="107">
        <v>7.0688046514987946E-2</v>
      </c>
    </row>
    <row r="172" spans="1:22" ht="35" thickBot="1" x14ac:dyDescent="0.25">
      <c r="A172" s="5" t="s">
        <v>167</v>
      </c>
      <c r="B172" s="2">
        <v>4378.69921875</v>
      </c>
      <c r="C172" s="4" t="s">
        <v>223</v>
      </c>
      <c r="D172" s="4" t="s">
        <v>232</v>
      </c>
      <c r="E172" s="6">
        <v>1052000000</v>
      </c>
      <c r="F172" s="6">
        <v>240254</v>
      </c>
      <c r="G172" s="4" t="s">
        <v>401</v>
      </c>
      <c r="H172" s="7">
        <v>56228232</v>
      </c>
      <c r="I172" s="7">
        <v>48073660</v>
      </c>
      <c r="J172" s="7">
        <v>4601810.5</v>
      </c>
      <c r="K172" s="7">
        <v>-557554368</v>
      </c>
      <c r="L172" s="7">
        <v>995771776</v>
      </c>
      <c r="M172" s="8">
        <v>1048180800</v>
      </c>
      <c r="N172" s="8">
        <v>1545978368</v>
      </c>
      <c r="O172" s="8">
        <v>852101888</v>
      </c>
      <c r="P172" s="8">
        <v>1004318400</v>
      </c>
      <c r="Q172" s="108">
        <v>0.81293404102325439</v>
      </c>
      <c r="R172" s="108">
        <v>0.64963287115097046</v>
      </c>
      <c r="S172" s="108">
        <v>0.51600998640060425</v>
      </c>
      <c r="T172" s="108">
        <v>0.41521617770195007</v>
      </c>
      <c r="U172" s="107">
        <v>4.7959599643945694E-2</v>
      </c>
      <c r="V172" s="107">
        <v>0.10270163416862488</v>
      </c>
    </row>
    <row r="173" spans="1:22" ht="18" thickBot="1" x14ac:dyDescent="0.25">
      <c r="A173" s="5" t="s">
        <v>165</v>
      </c>
      <c r="B173" s="2">
        <v>4349.15087890625</v>
      </c>
      <c r="C173" s="4" t="s">
        <v>223</v>
      </c>
      <c r="D173" s="4" t="s">
        <v>228</v>
      </c>
      <c r="E173" s="6">
        <v>1109988343808</v>
      </c>
      <c r="F173" s="6">
        <v>255219554</v>
      </c>
      <c r="G173" s="4" t="s">
        <v>399</v>
      </c>
      <c r="H173" s="7">
        <v>-22276966400</v>
      </c>
      <c r="I173" s="7">
        <v>-23058923520</v>
      </c>
      <c r="J173" s="7">
        <v>1004720576</v>
      </c>
      <c r="K173" s="7">
        <v>-394789126144</v>
      </c>
      <c r="L173" s="7">
        <v>1132265209856</v>
      </c>
      <c r="M173" s="8">
        <v>1235793870848</v>
      </c>
      <c r="N173" s="8">
        <v>1822691819520</v>
      </c>
      <c r="O173" s="8">
        <v>385317076992</v>
      </c>
      <c r="P173" s="8">
        <v>454148784128</v>
      </c>
      <c r="Q173" s="108">
        <v>0.31179720163345337</v>
      </c>
      <c r="R173" s="108">
        <v>0.24916376173496246</v>
      </c>
      <c r="S173" s="108">
        <v>0.33139285445213318</v>
      </c>
      <c r="T173" s="108">
        <v>0.26666086912155151</v>
      </c>
      <c r="U173" s="107">
        <v>-1.8611392006278038E-2</v>
      </c>
      <c r="V173" s="107">
        <v>7.2655230760574341E-2</v>
      </c>
    </row>
    <row r="174" spans="1:22" ht="18" thickBot="1" x14ac:dyDescent="0.25">
      <c r="A174" s="5" t="s">
        <v>168</v>
      </c>
      <c r="B174" s="2">
        <v>4177.35546875</v>
      </c>
      <c r="C174" s="4" t="s">
        <v>223</v>
      </c>
      <c r="D174" s="4" t="s">
        <v>232</v>
      </c>
      <c r="E174" s="6">
        <v>240333668352</v>
      </c>
      <c r="F174" s="6">
        <v>57532493</v>
      </c>
      <c r="G174" s="4" t="s">
        <v>402</v>
      </c>
      <c r="H174" s="7">
        <v>-5041090560</v>
      </c>
      <c r="I174" s="7">
        <v>-5417191424</v>
      </c>
      <c r="J174" s="7">
        <v>-25553942</v>
      </c>
      <c r="K174" s="7">
        <v>-126709825536</v>
      </c>
      <c r="L174" s="7">
        <v>245374763008</v>
      </c>
      <c r="M174" s="8">
        <v>274583568384</v>
      </c>
      <c r="N174" s="8">
        <v>404987609088</v>
      </c>
      <c r="O174" s="8">
        <v>115693699072</v>
      </c>
      <c r="P174" s="8">
        <v>136360804352</v>
      </c>
      <c r="Q174" s="108">
        <v>0.4213424026966095</v>
      </c>
      <c r="R174" s="108">
        <v>0.33670365810394287</v>
      </c>
      <c r="S174" s="108">
        <v>0.47983172535896301</v>
      </c>
      <c r="T174" s="108">
        <v>0.38610473275184631</v>
      </c>
      <c r="U174" s="107">
        <v>-1.9744539633393288E-2</v>
      </c>
      <c r="V174" s="107">
        <v>5.8680359274148941E-2</v>
      </c>
    </row>
    <row r="175" spans="1:22" ht="18" thickBot="1" x14ac:dyDescent="0.25">
      <c r="A175" s="5" t="s">
        <v>169</v>
      </c>
      <c r="B175" s="2">
        <v>4144.49560546875</v>
      </c>
      <c r="C175" s="4" t="s">
        <v>223</v>
      </c>
      <c r="D175" s="4" t="s">
        <v>228</v>
      </c>
      <c r="E175" s="6">
        <v>122752163840</v>
      </c>
      <c r="F175" s="6">
        <v>29618118</v>
      </c>
      <c r="G175" s="4" t="s">
        <v>403</v>
      </c>
      <c r="H175" s="7">
        <v>1879395200</v>
      </c>
      <c r="I175" s="7">
        <v>1455153536</v>
      </c>
      <c r="J175" s="7">
        <v>491690304</v>
      </c>
      <c r="K175" s="7">
        <v>8365930496</v>
      </c>
      <c r="L175" s="7">
        <v>120872771584</v>
      </c>
      <c r="M175" s="8">
        <v>127484936192</v>
      </c>
      <c r="N175" s="8">
        <v>188029534208</v>
      </c>
      <c r="O175" s="8">
        <v>37737668608</v>
      </c>
      <c r="P175" s="8">
        <v>44478988288</v>
      </c>
      <c r="Q175" s="108">
        <v>0.29601666331291199</v>
      </c>
      <c r="R175" s="108">
        <v>0.23655320703983307</v>
      </c>
      <c r="S175" s="108">
        <v>0.34170165657997131</v>
      </c>
      <c r="T175" s="108">
        <v>0.27495604753494263</v>
      </c>
      <c r="U175" s="107">
        <v>1.2517855502665043E-2</v>
      </c>
      <c r="V175" s="107">
        <v>0.18239976465702057</v>
      </c>
    </row>
    <row r="176" spans="1:22" ht="18" thickBot="1" x14ac:dyDescent="0.25">
      <c r="A176" s="5" t="s">
        <v>188</v>
      </c>
      <c r="B176" s="2">
        <v>3979.113037109375</v>
      </c>
      <c r="C176" s="4" t="s">
        <v>224</v>
      </c>
      <c r="D176" s="4" t="s">
        <v>232</v>
      </c>
      <c r="E176" s="6">
        <v>60083519488</v>
      </c>
      <c r="F176" s="6">
        <v>15099727</v>
      </c>
      <c r="G176" s="4" t="s">
        <v>422</v>
      </c>
      <c r="H176" s="7">
        <v>-5608083456</v>
      </c>
      <c r="I176" s="7">
        <v>-5326720512</v>
      </c>
      <c r="J176" s="7">
        <v>-170192352</v>
      </c>
      <c r="K176" s="7">
        <v>-24066840576</v>
      </c>
      <c r="L176" s="7">
        <v>65691602944</v>
      </c>
      <c r="M176" s="8">
        <v>87989059584</v>
      </c>
      <c r="N176" s="8">
        <v>129776443392</v>
      </c>
      <c r="O176" s="8">
        <v>34121705472</v>
      </c>
      <c r="P176" s="8">
        <v>40217088000</v>
      </c>
      <c r="Q176" s="108">
        <v>0.38779488205909729</v>
      </c>
      <c r="R176" s="108">
        <v>0.30989512801170349</v>
      </c>
      <c r="S176" s="108">
        <v>0.39434570074081421</v>
      </c>
      <c r="T176" s="108">
        <v>0.31731697916984558</v>
      </c>
      <c r="U176" s="107">
        <v>-9.2322617769241333E-2</v>
      </c>
      <c r="V176" s="107">
        <v>1.0880003683269024E-2</v>
      </c>
    </row>
    <row r="177" spans="1:22" ht="18" thickBot="1" x14ac:dyDescent="0.25">
      <c r="A177" s="5" t="s">
        <v>170</v>
      </c>
      <c r="B177" s="2">
        <v>3684.12353515625</v>
      </c>
      <c r="C177" s="4" t="s">
        <v>224</v>
      </c>
      <c r="D177" s="4" t="s">
        <v>228</v>
      </c>
      <c r="E177" s="6">
        <v>202076569600</v>
      </c>
      <c r="F177" s="6">
        <v>54850648</v>
      </c>
      <c r="G177" s="4" t="s">
        <v>404</v>
      </c>
      <c r="H177" s="7">
        <v>-9198916608</v>
      </c>
      <c r="I177" s="7">
        <v>-11853761536</v>
      </c>
      <c r="J177" s="7">
        <v>2011005568</v>
      </c>
      <c r="K177" s="7">
        <v>-133379874816</v>
      </c>
      <c r="L177" s="7">
        <v>211275481088</v>
      </c>
      <c r="M177" s="8">
        <v>228111794176</v>
      </c>
      <c r="N177" s="8">
        <v>336445669376</v>
      </c>
      <c r="O177" s="8">
        <v>63282176000</v>
      </c>
      <c r="P177" s="8">
        <v>74586677248</v>
      </c>
      <c r="Q177" s="108">
        <v>0.27741736173629761</v>
      </c>
      <c r="R177" s="108">
        <v>0.22169011831283569</v>
      </c>
      <c r="S177" s="108">
        <v>0.32222869992256165</v>
      </c>
      <c r="T177" s="108">
        <v>0.2592867910861969</v>
      </c>
      <c r="U177" s="107">
        <v>-4.4055461883544922E-2</v>
      </c>
      <c r="V177" s="107">
        <v>3.221467137336731E-2</v>
      </c>
    </row>
    <row r="178" spans="1:22" ht="18" thickBot="1" x14ac:dyDescent="0.25">
      <c r="A178" s="5" t="s">
        <v>173</v>
      </c>
      <c r="B178" s="2">
        <v>3625.362060546875</v>
      </c>
      <c r="C178" s="4" t="s">
        <v>224</v>
      </c>
      <c r="D178" s="4" t="s">
        <v>232</v>
      </c>
      <c r="E178" s="6">
        <v>108323414016</v>
      </c>
      <c r="F178" s="6">
        <v>29879337</v>
      </c>
      <c r="G178" s="4" t="s">
        <v>407</v>
      </c>
      <c r="H178" s="7">
        <v>-2534292224</v>
      </c>
      <c r="I178" s="7">
        <v>-2502281216</v>
      </c>
      <c r="J178" s="7">
        <v>-19677522</v>
      </c>
      <c r="K178" s="7">
        <v>-33616683008</v>
      </c>
      <c r="L178" s="7">
        <v>110857707520</v>
      </c>
      <c r="M178" s="8">
        <v>117148221440</v>
      </c>
      <c r="N178" s="8">
        <v>172783763456</v>
      </c>
      <c r="O178" s="8">
        <v>52492177408</v>
      </c>
      <c r="P178" s="8">
        <v>61869191168</v>
      </c>
      <c r="Q178" s="108">
        <v>0.44808343052864075</v>
      </c>
      <c r="R178" s="108">
        <v>0.35807296633720398</v>
      </c>
      <c r="S178" s="108">
        <v>0.43355786800384521</v>
      </c>
      <c r="T178" s="108">
        <v>0.3488696813583374</v>
      </c>
      <c r="U178" s="107">
        <v>-2.2990535944700241E-2</v>
      </c>
      <c r="V178" s="107">
        <v>1.731397956609726E-2</v>
      </c>
    </row>
    <row r="179" spans="1:22" ht="18" thickBot="1" x14ac:dyDescent="0.25">
      <c r="A179" s="5" t="s">
        <v>178</v>
      </c>
      <c r="B179" s="2">
        <v>3614.791748046875</v>
      </c>
      <c r="C179" s="4" t="s">
        <v>224</v>
      </c>
      <c r="D179" s="4" t="s">
        <v>232</v>
      </c>
      <c r="E179" s="6">
        <v>68435116032</v>
      </c>
      <c r="F179" s="6">
        <v>18931966</v>
      </c>
      <c r="G179" s="4" t="s">
        <v>412</v>
      </c>
      <c r="H179" s="7">
        <v>-2732171264</v>
      </c>
      <c r="I179" s="7">
        <v>-3138717952</v>
      </c>
      <c r="J179" s="7">
        <v>375374240</v>
      </c>
      <c r="K179" s="7">
        <v>-72461189120</v>
      </c>
      <c r="L179" s="7">
        <v>71167287296</v>
      </c>
      <c r="M179" s="8">
        <v>81107492864</v>
      </c>
      <c r="N179" s="8">
        <v>119626711040</v>
      </c>
      <c r="O179" s="8">
        <v>36763127808</v>
      </c>
      <c r="P179" s="8">
        <v>43330363392</v>
      </c>
      <c r="Q179" s="108">
        <v>0.4532642662525177</v>
      </c>
      <c r="R179" s="108">
        <v>0.36221310496330261</v>
      </c>
      <c r="S179" s="108">
        <v>0.47585073113441467</v>
      </c>
      <c r="T179" s="108">
        <v>0.38290134072303772</v>
      </c>
      <c r="U179" s="107">
        <v>-3.7282630801200867E-2</v>
      </c>
      <c r="V179" s="107">
        <v>6.6148974001407623E-2</v>
      </c>
    </row>
    <row r="180" spans="1:22" ht="18" thickBot="1" x14ac:dyDescent="0.25">
      <c r="A180" s="5" t="s">
        <v>174</v>
      </c>
      <c r="B180" s="2">
        <v>3439.9580078125</v>
      </c>
      <c r="C180" s="4" t="s">
        <v>224</v>
      </c>
      <c r="D180" s="4" t="s">
        <v>232</v>
      </c>
      <c r="E180" s="6">
        <v>22306191360</v>
      </c>
      <c r="F180" s="6">
        <v>6484437</v>
      </c>
      <c r="G180" s="4" t="s">
        <v>408</v>
      </c>
      <c r="H180" s="7">
        <v>-3922869248</v>
      </c>
      <c r="I180" s="7">
        <v>-3893006080</v>
      </c>
      <c r="J180" s="7">
        <v>-34600732</v>
      </c>
      <c r="K180" s="7">
        <v>-29504172032</v>
      </c>
      <c r="L180" s="7">
        <v>26229059584</v>
      </c>
      <c r="M180" s="8">
        <v>29068027904</v>
      </c>
      <c r="N180" s="8">
        <v>42872889344</v>
      </c>
      <c r="O180" s="8">
        <v>15340213248</v>
      </c>
      <c r="P180" s="8">
        <v>18080534528</v>
      </c>
      <c r="Q180" s="108">
        <v>0.52773493528366089</v>
      </c>
      <c r="R180" s="108">
        <v>0.42172417044639587</v>
      </c>
      <c r="S180" s="108">
        <v>0.49925848841667175</v>
      </c>
      <c r="T180" s="108">
        <v>0.40173676609992981</v>
      </c>
      <c r="U180" s="107">
        <v>-0.17430731654167175</v>
      </c>
      <c r="V180" s="107">
        <v>8.8550001382827759E-3</v>
      </c>
    </row>
    <row r="181" spans="1:22" ht="18" thickBot="1" x14ac:dyDescent="0.25">
      <c r="A181" s="5" t="s">
        <v>175</v>
      </c>
      <c r="B181" s="2">
        <v>3338.10009765625</v>
      </c>
      <c r="C181" s="4" t="s">
        <v>224</v>
      </c>
      <c r="D181" s="4" t="s">
        <v>228</v>
      </c>
      <c r="E181" s="6">
        <v>4735151616</v>
      </c>
      <c r="F181" s="6">
        <v>1418517</v>
      </c>
      <c r="G181" s="4" t="s">
        <v>409</v>
      </c>
      <c r="H181" s="7">
        <v>398636352</v>
      </c>
      <c r="I181" s="7">
        <v>367540704</v>
      </c>
      <c r="J181" s="7">
        <v>-42390480</v>
      </c>
      <c r="K181" s="7">
        <v>44755222528</v>
      </c>
      <c r="L181" s="7">
        <v>4336515584</v>
      </c>
      <c r="M181" s="8">
        <v>4654149632</v>
      </c>
      <c r="N181" s="8">
        <v>6864478208</v>
      </c>
      <c r="O181" s="8">
        <v>1750809728</v>
      </c>
      <c r="P181" s="8">
        <v>2063568128</v>
      </c>
      <c r="Q181" s="108">
        <v>0.37618249654769897</v>
      </c>
      <c r="R181" s="108">
        <v>0.30061542987823486</v>
      </c>
      <c r="S181" s="108">
        <v>0.48888948559761047</v>
      </c>
      <c r="T181" s="108">
        <v>0.39339321851730347</v>
      </c>
      <c r="U181" s="107">
        <v>8.2963056862354279E-2</v>
      </c>
      <c r="V181" s="107">
        <v>1.4533729292452335E-2</v>
      </c>
    </row>
    <row r="182" spans="1:22" ht="18" thickBot="1" x14ac:dyDescent="0.25">
      <c r="A182" s="5" t="s">
        <v>172</v>
      </c>
      <c r="B182" s="2">
        <v>3248.826171875</v>
      </c>
      <c r="C182" s="4" t="s">
        <v>224</v>
      </c>
      <c r="D182" s="4" t="s">
        <v>227</v>
      </c>
      <c r="E182" s="6">
        <v>443425792</v>
      </c>
      <c r="F182" s="6">
        <v>136488</v>
      </c>
      <c r="G182" s="4" t="s">
        <v>406</v>
      </c>
      <c r="H182" s="7">
        <v>105050520</v>
      </c>
      <c r="I182" s="7">
        <v>58162196</v>
      </c>
      <c r="J182" s="7">
        <v>3370378.75</v>
      </c>
      <c r="K182" s="7">
        <v>1348835840</v>
      </c>
      <c r="L182" s="7">
        <v>338375264</v>
      </c>
      <c r="M182" s="8">
        <v>364737216</v>
      </c>
      <c r="N182" s="8">
        <v>537956672</v>
      </c>
      <c r="O182" s="8">
        <v>302301696</v>
      </c>
      <c r="P182" s="8">
        <v>356303808</v>
      </c>
      <c r="Q182" s="108">
        <v>0.82882052659988403</v>
      </c>
      <c r="R182" s="108">
        <v>0.66232806444168091</v>
      </c>
      <c r="S182" s="108">
        <v>0.91423803567886353</v>
      </c>
      <c r="T182" s="108">
        <v>0.73565709590911865</v>
      </c>
      <c r="U182" s="107">
        <v>0.19294476509094238</v>
      </c>
      <c r="V182" s="107">
        <v>0.18556629121303558</v>
      </c>
    </row>
    <row r="183" spans="1:22" ht="35" thickBot="1" x14ac:dyDescent="0.25">
      <c r="A183" s="5" t="s">
        <v>177</v>
      </c>
      <c r="B183" s="2">
        <v>3056.488037109375</v>
      </c>
      <c r="C183" s="4" t="s">
        <v>224</v>
      </c>
      <c r="D183" s="4" t="s">
        <v>227</v>
      </c>
      <c r="E183" s="6">
        <v>32896421888</v>
      </c>
      <c r="F183" s="6">
        <v>10762817</v>
      </c>
      <c r="G183" s="4" t="s">
        <v>411</v>
      </c>
      <c r="H183" s="7">
        <v>-2253855488</v>
      </c>
      <c r="I183" s="7">
        <v>-2220159744</v>
      </c>
      <c r="J183" s="7">
        <v>-68232656</v>
      </c>
      <c r="K183" s="7">
        <v>-4725179392</v>
      </c>
      <c r="L183" s="7">
        <v>35150278656</v>
      </c>
      <c r="M183" s="8">
        <v>38137630720</v>
      </c>
      <c r="N183" s="8">
        <v>56249790464</v>
      </c>
      <c r="O183" s="8">
        <v>28857966592</v>
      </c>
      <c r="P183" s="8">
        <v>34013050880</v>
      </c>
      <c r="Q183" s="108">
        <v>0.75667959451675415</v>
      </c>
      <c r="R183" s="108">
        <v>0.60467875003814697</v>
      </c>
      <c r="S183" s="108">
        <v>0.81484723091125488</v>
      </c>
      <c r="T183" s="108">
        <v>0.65568059682846069</v>
      </c>
      <c r="U183" s="107">
        <v>-6.7824020981788635E-2</v>
      </c>
      <c r="V183" s="107">
        <v>1.0066268034279346E-2</v>
      </c>
    </row>
    <row r="184" spans="1:22" ht="18" thickBot="1" x14ac:dyDescent="0.25">
      <c r="A184" s="5" t="s">
        <v>180</v>
      </c>
      <c r="B184" s="2">
        <v>3024.96142578125</v>
      </c>
      <c r="C184" s="4" t="s">
        <v>224</v>
      </c>
      <c r="D184" s="4" t="s">
        <v>232</v>
      </c>
      <c r="E184" s="6">
        <v>2670578176</v>
      </c>
      <c r="F184" s="6">
        <v>882847</v>
      </c>
      <c r="G184" s="4" t="s">
        <v>414</v>
      </c>
      <c r="H184" s="7">
        <v>-1825253.875</v>
      </c>
      <c r="I184" s="7">
        <v>-18701026</v>
      </c>
      <c r="J184" s="7">
        <v>2223995.75</v>
      </c>
      <c r="K184" s="7">
        <v>-287483776</v>
      </c>
      <c r="L184" s="7">
        <v>2672403456</v>
      </c>
      <c r="M184" s="8">
        <v>2942556672</v>
      </c>
      <c r="N184" s="8">
        <v>4340022784</v>
      </c>
      <c r="O184" s="8">
        <v>1541837952</v>
      </c>
      <c r="P184" s="8">
        <v>1817266432</v>
      </c>
      <c r="Q184" s="108">
        <v>0.5239790678024292</v>
      </c>
      <c r="R184" s="108">
        <v>0.41872277855873108</v>
      </c>
      <c r="S184" s="108">
        <v>0.57208657264709473</v>
      </c>
      <c r="T184" s="108">
        <v>0.46033918857574463</v>
      </c>
      <c r="U184" s="107">
        <v>-5.7319924235343933E-4</v>
      </c>
      <c r="V184" s="107">
        <v>0.16133669018745422</v>
      </c>
    </row>
    <row r="185" spans="1:22" ht="18" thickBot="1" x14ac:dyDescent="0.25">
      <c r="A185" s="5" t="s">
        <v>176</v>
      </c>
      <c r="B185" s="2">
        <v>2948.378173828125</v>
      </c>
      <c r="C185" s="4" t="s">
        <v>224</v>
      </c>
      <c r="D185" s="4" t="s">
        <v>227</v>
      </c>
      <c r="E185" s="6">
        <v>335180480</v>
      </c>
      <c r="F185" s="6">
        <v>113683</v>
      </c>
      <c r="G185" s="4" t="s">
        <v>410</v>
      </c>
      <c r="H185" s="7">
        <v>9921141</v>
      </c>
      <c r="I185" s="7">
        <v>-761419.375</v>
      </c>
      <c r="J185" s="7">
        <v>-1397105.75</v>
      </c>
      <c r="K185" s="7">
        <v>566054208</v>
      </c>
      <c r="L185" s="7">
        <v>325259328</v>
      </c>
      <c r="M185" s="8">
        <v>357686080</v>
      </c>
      <c r="N185" s="8">
        <v>527556832</v>
      </c>
      <c r="O185" s="8">
        <v>425916032</v>
      </c>
      <c r="P185" s="8">
        <v>502000160</v>
      </c>
      <c r="Q185" s="108">
        <v>1.190753698348999</v>
      </c>
      <c r="R185" s="108">
        <v>0.95155656337738037</v>
      </c>
      <c r="S185" s="108">
        <v>1.1047606468200684</v>
      </c>
      <c r="T185" s="108">
        <v>0.88896435499191284</v>
      </c>
      <c r="U185" s="107">
        <v>2.259502001106739E-2</v>
      </c>
      <c r="V185" s="107">
        <v>0.23663927614688873</v>
      </c>
    </row>
    <row r="186" spans="1:22" ht="18" thickBot="1" x14ac:dyDescent="0.25">
      <c r="A186" s="5" t="s">
        <v>182</v>
      </c>
      <c r="B186" s="2">
        <v>2899.970458984375</v>
      </c>
      <c r="C186" s="4" t="s">
        <v>224</v>
      </c>
      <c r="D186" s="4" t="s">
        <v>232</v>
      </c>
      <c r="E186" s="6">
        <v>42961498112</v>
      </c>
      <c r="F186" s="6">
        <v>14814460</v>
      </c>
      <c r="G186" s="4" t="s">
        <v>416</v>
      </c>
      <c r="H186" s="7">
        <v>-576313344</v>
      </c>
      <c r="I186" s="7">
        <v>-640806528</v>
      </c>
      <c r="J186" s="7">
        <v>-1243875.625</v>
      </c>
      <c r="K186" s="7">
        <v>-19012255744</v>
      </c>
      <c r="L186" s="7">
        <v>43537813504</v>
      </c>
      <c r="M186" s="8">
        <v>48141926400</v>
      </c>
      <c r="N186" s="8">
        <v>71005282304</v>
      </c>
      <c r="O186" s="8">
        <v>21589762048</v>
      </c>
      <c r="P186" s="8">
        <v>25446479872</v>
      </c>
      <c r="Q186" s="108">
        <v>0.44846069812774658</v>
      </c>
      <c r="R186" s="108">
        <v>0.35837447643280029</v>
      </c>
      <c r="S186" s="108">
        <v>0.47304219007492065</v>
      </c>
      <c r="T186" s="108">
        <v>0.38064137101173401</v>
      </c>
      <c r="U186" s="107">
        <v>-1.3309672474861145E-2</v>
      </c>
      <c r="V186" s="107">
        <v>7.8253466635942459E-3</v>
      </c>
    </row>
    <row r="187" spans="1:22" ht="18" thickBot="1" x14ac:dyDescent="0.25">
      <c r="A187" s="5" t="s">
        <v>183</v>
      </c>
      <c r="B187" s="2">
        <v>2701.75439453125</v>
      </c>
      <c r="C187" s="4" t="s">
        <v>224</v>
      </c>
      <c r="D187" s="4" t="s">
        <v>227</v>
      </c>
      <c r="E187" s="6">
        <v>905544320</v>
      </c>
      <c r="F187" s="6">
        <v>335169</v>
      </c>
      <c r="G187" s="4" t="s">
        <v>417</v>
      </c>
      <c r="H187" s="7">
        <v>101899992</v>
      </c>
      <c r="I187" s="7">
        <v>10083452</v>
      </c>
      <c r="J187" s="7">
        <v>94674880</v>
      </c>
      <c r="K187" s="7">
        <v>-159535216</v>
      </c>
      <c r="L187" s="7">
        <v>803644352</v>
      </c>
      <c r="M187" s="8">
        <v>879019648</v>
      </c>
      <c r="N187" s="8">
        <v>1296479872</v>
      </c>
      <c r="O187" s="8">
        <v>979449664</v>
      </c>
      <c r="P187" s="8">
        <v>1154415232</v>
      </c>
      <c r="Q187" s="108">
        <v>1.1142523288726807</v>
      </c>
      <c r="R187" s="108">
        <v>0.8904227614402771</v>
      </c>
      <c r="S187" s="108">
        <v>1.2314493656158447</v>
      </c>
      <c r="T187" s="108">
        <v>0.99090665578842163</v>
      </c>
      <c r="U187" s="107">
        <v>0.10057242214679718</v>
      </c>
      <c r="V187" s="107">
        <v>0.10625322908163071</v>
      </c>
    </row>
    <row r="188" spans="1:22" ht="18" thickBot="1" x14ac:dyDescent="0.25">
      <c r="A188" s="5" t="s">
        <v>179</v>
      </c>
      <c r="B188" s="2">
        <v>2609.903564453125</v>
      </c>
      <c r="C188" s="4" t="s">
        <v>224</v>
      </c>
      <c r="D188" s="4" t="s">
        <v>231</v>
      </c>
      <c r="E188" s="6">
        <v>66866843648</v>
      </c>
      <c r="F188" s="6">
        <v>25620427</v>
      </c>
      <c r="G188" s="4" t="s">
        <v>413</v>
      </c>
      <c r="H188" s="7">
        <v>-1799960448</v>
      </c>
      <c r="I188" s="7">
        <v>-1879992832</v>
      </c>
      <c r="J188" s="7">
        <v>254064576</v>
      </c>
      <c r="K188" s="7">
        <v>4141246720</v>
      </c>
      <c r="L188" s="7">
        <v>68666802176</v>
      </c>
      <c r="M188" s="8">
        <v>72280842240</v>
      </c>
      <c r="N188" s="8">
        <v>106608156672</v>
      </c>
      <c r="O188" s="8">
        <v>17044205568</v>
      </c>
      <c r="P188" s="8">
        <v>20088922112</v>
      </c>
      <c r="Q188" s="108">
        <v>0.23580528795719147</v>
      </c>
      <c r="R188" s="108">
        <v>0.18843701481819153</v>
      </c>
      <c r="S188" s="108">
        <v>0.41291999816894531</v>
      </c>
      <c r="T188" s="108">
        <v>0.33226308226585388</v>
      </c>
      <c r="U188" s="107">
        <v>-2.6245241984724998E-2</v>
      </c>
      <c r="V188" s="107">
        <v>2.5013919919729233E-2</v>
      </c>
    </row>
    <row r="189" spans="1:22" ht="18" thickBot="1" x14ac:dyDescent="0.25">
      <c r="A189" s="5" t="s">
        <v>186</v>
      </c>
      <c r="B189" s="2">
        <v>2592.8369140625</v>
      </c>
      <c r="C189" s="4" t="s">
        <v>224</v>
      </c>
      <c r="D189" s="4" t="s">
        <v>232</v>
      </c>
      <c r="E189" s="6">
        <v>6127716352</v>
      </c>
      <c r="F189" s="6">
        <v>2363325</v>
      </c>
      <c r="G189" s="4" t="s">
        <v>420</v>
      </c>
      <c r="H189" s="7">
        <v>1116144000</v>
      </c>
      <c r="I189" s="7">
        <v>39248964</v>
      </c>
      <c r="J189" s="7">
        <v>1032920256</v>
      </c>
      <c r="K189" s="7">
        <v>-574768320</v>
      </c>
      <c r="L189" s="7">
        <v>5011572224</v>
      </c>
      <c r="M189" s="8">
        <v>5306504704</v>
      </c>
      <c r="N189" s="8">
        <v>7826647552</v>
      </c>
      <c r="O189" s="8">
        <v>2296047360</v>
      </c>
      <c r="P189" s="8">
        <v>2706205184</v>
      </c>
      <c r="Q189" s="108">
        <v>0.43268543481826782</v>
      </c>
      <c r="R189" s="108">
        <v>0.34576812386512756</v>
      </c>
      <c r="S189" s="108">
        <v>0.5208699107170105</v>
      </c>
      <c r="T189" s="108">
        <v>0.41912677884101868</v>
      </c>
      <c r="U189" s="107">
        <v>0.15093196928501129</v>
      </c>
      <c r="V189" s="107">
        <v>0.17137186229228973</v>
      </c>
    </row>
    <row r="190" spans="1:22" ht="18" thickBot="1" x14ac:dyDescent="0.25">
      <c r="A190" s="5" t="s">
        <v>184</v>
      </c>
      <c r="B190" s="2">
        <v>2571.220703125</v>
      </c>
      <c r="C190" s="4" t="s">
        <v>224</v>
      </c>
      <c r="D190" s="4" t="s">
        <v>232</v>
      </c>
      <c r="E190" s="6">
        <v>348328558592</v>
      </c>
      <c r="F190" s="6">
        <v>135472051</v>
      </c>
      <c r="G190" s="4" t="s">
        <v>418</v>
      </c>
      <c r="H190" s="7">
        <v>-585464832</v>
      </c>
      <c r="I190" s="7">
        <v>-485873792</v>
      </c>
      <c r="J190" s="7">
        <v>-184106544</v>
      </c>
      <c r="K190" s="7">
        <v>-276385497088</v>
      </c>
      <c r="L190" s="7">
        <v>348914024448</v>
      </c>
      <c r="M190" s="8">
        <v>382063804416</v>
      </c>
      <c r="N190" s="8">
        <v>563511885824</v>
      </c>
      <c r="O190" s="8">
        <v>105360818176</v>
      </c>
      <c r="P190" s="8">
        <v>124182102016</v>
      </c>
      <c r="Q190" s="108">
        <v>0.27576759457588196</v>
      </c>
      <c r="R190" s="108">
        <v>0.22037175297737122</v>
      </c>
      <c r="S190" s="108">
        <v>0.39018678665161133</v>
      </c>
      <c r="T190" s="108">
        <v>0.3139704167842865</v>
      </c>
      <c r="U190" s="107">
        <v>-1.6084966482594609E-3</v>
      </c>
      <c r="V190" s="107">
        <v>4.3007731437683105E-2</v>
      </c>
    </row>
    <row r="191" spans="1:22" ht="18" thickBot="1" x14ac:dyDescent="0.25">
      <c r="A191" s="5" t="s">
        <v>185</v>
      </c>
      <c r="B191" s="2">
        <v>2506.845703125</v>
      </c>
      <c r="C191" s="4" t="s">
        <v>224</v>
      </c>
      <c r="D191" s="4" t="s">
        <v>232</v>
      </c>
      <c r="E191" s="6">
        <v>36523089920</v>
      </c>
      <c r="F191" s="6">
        <v>14569341</v>
      </c>
      <c r="G191" s="4" t="s">
        <v>419</v>
      </c>
      <c r="H191" s="7">
        <v>-1024302272</v>
      </c>
      <c r="I191" s="7">
        <v>-974879104</v>
      </c>
      <c r="J191" s="7">
        <v>-103240424</v>
      </c>
      <c r="K191" s="7">
        <v>-30483755008</v>
      </c>
      <c r="L191" s="7">
        <v>37547393024</v>
      </c>
      <c r="M191" s="8">
        <v>40236388352</v>
      </c>
      <c r="N191" s="8">
        <v>59345281024</v>
      </c>
      <c r="O191" s="8">
        <v>13499955200</v>
      </c>
      <c r="P191" s="8">
        <v>15911539712</v>
      </c>
      <c r="Q191" s="108">
        <v>0.33551609516143799</v>
      </c>
      <c r="R191" s="108">
        <v>0.26811802387237549</v>
      </c>
      <c r="S191" s="108">
        <v>0.37715065479278564</v>
      </c>
      <c r="T191" s="108">
        <v>0.30348065495491028</v>
      </c>
      <c r="U191" s="107">
        <v>-2.6795644313097E-2</v>
      </c>
      <c r="V191" s="107">
        <v>4.4559616595506668E-2</v>
      </c>
    </row>
    <row r="192" spans="1:22" ht="18" thickBot="1" x14ac:dyDescent="0.25">
      <c r="A192" s="5" t="s">
        <v>171</v>
      </c>
      <c r="B192" s="2">
        <v>2385.295654296875</v>
      </c>
      <c r="C192" s="4" t="s">
        <v>224</v>
      </c>
      <c r="D192" s="4" t="s">
        <v>231</v>
      </c>
      <c r="E192" s="6">
        <v>13332903936</v>
      </c>
      <c r="F192" s="6">
        <v>5589623</v>
      </c>
      <c r="G192" s="4" t="s">
        <v>405</v>
      </c>
      <c r="H192" s="7">
        <v>1030838400</v>
      </c>
      <c r="I192" s="7">
        <v>428616544</v>
      </c>
      <c r="J192" s="7">
        <v>608042880</v>
      </c>
      <c r="K192" s="7">
        <v>7755834880</v>
      </c>
      <c r="L192" s="7">
        <v>12302065664</v>
      </c>
      <c r="M192" s="8">
        <v>13571864576</v>
      </c>
      <c r="N192" s="8">
        <v>20017354752</v>
      </c>
      <c r="O192" s="8">
        <v>11680054272</v>
      </c>
      <c r="P192" s="8">
        <v>13766537216</v>
      </c>
      <c r="Q192" s="108">
        <v>0.86060792207717896</v>
      </c>
      <c r="R192" s="108">
        <v>0.68773007392883301</v>
      </c>
      <c r="S192" s="108">
        <v>0.80726248025894165</v>
      </c>
      <c r="T192" s="108">
        <v>0.64957743883132935</v>
      </c>
      <c r="U192" s="107">
        <v>6.6934704780578613E-2</v>
      </c>
      <c r="V192" s="107">
        <v>0.13426390290260315</v>
      </c>
    </row>
    <row r="193" spans="1:22" ht="18" thickBot="1" x14ac:dyDescent="0.25">
      <c r="A193" s="5" t="s">
        <v>181</v>
      </c>
      <c r="B193" s="2">
        <v>2328.297607421875</v>
      </c>
      <c r="C193" s="4" t="s">
        <v>224</v>
      </c>
      <c r="D193" s="4" t="s">
        <v>232</v>
      </c>
      <c r="E193" s="6">
        <v>51022020608</v>
      </c>
      <c r="F193" s="6">
        <v>21913874</v>
      </c>
      <c r="G193" s="4" t="s">
        <v>415</v>
      </c>
      <c r="H193" s="7">
        <v>-7024660480</v>
      </c>
      <c r="I193" s="7">
        <v>-7066594816</v>
      </c>
      <c r="J193" s="7">
        <v>115352672</v>
      </c>
      <c r="K193" s="7">
        <v>-66402471936</v>
      </c>
      <c r="L193" s="7">
        <v>58046681088</v>
      </c>
      <c r="M193" s="8">
        <v>65088450560</v>
      </c>
      <c r="N193" s="8">
        <v>95999975424</v>
      </c>
      <c r="O193" s="8">
        <v>25785851904</v>
      </c>
      <c r="P193" s="8">
        <v>30392145920</v>
      </c>
      <c r="Q193" s="108">
        <v>0.39616632461547852</v>
      </c>
      <c r="R193" s="108">
        <v>0.31658491492271423</v>
      </c>
      <c r="S193" s="108">
        <v>0.39987596869468689</v>
      </c>
      <c r="T193" s="108">
        <v>0.32176697254180908</v>
      </c>
      <c r="U193" s="107">
        <v>-0.13223515450954437</v>
      </c>
      <c r="V193" s="107">
        <v>3.9540093392133713E-2</v>
      </c>
    </row>
    <row r="194" spans="1:22" ht="18" thickBot="1" x14ac:dyDescent="0.25">
      <c r="A194" s="5" t="s">
        <v>187</v>
      </c>
      <c r="B194" s="2">
        <v>2322.2021484375</v>
      </c>
      <c r="C194" s="4" t="s">
        <v>224</v>
      </c>
      <c r="D194" s="4" t="s">
        <v>232</v>
      </c>
      <c r="E194" s="6">
        <v>163821764608</v>
      </c>
      <c r="F194" s="6">
        <v>70545865</v>
      </c>
      <c r="G194" s="4" t="s">
        <v>421</v>
      </c>
      <c r="H194" s="7">
        <v>-5187414016</v>
      </c>
      <c r="I194" s="7">
        <v>-5619206144</v>
      </c>
      <c r="J194" s="7">
        <v>55875364</v>
      </c>
      <c r="K194" s="7">
        <v>-116587462656</v>
      </c>
      <c r="L194" s="7">
        <v>169009168384</v>
      </c>
      <c r="M194" s="8">
        <v>199640743936</v>
      </c>
      <c r="N194" s="8">
        <v>294453280768</v>
      </c>
      <c r="O194" s="8">
        <v>73599180800</v>
      </c>
      <c r="P194" s="8">
        <v>86746677248</v>
      </c>
      <c r="Q194" s="108">
        <v>0.36865812540054321</v>
      </c>
      <c r="R194" s="108">
        <v>0.29460251331329346</v>
      </c>
      <c r="S194" s="108">
        <v>0.41264757513999939</v>
      </c>
      <c r="T194" s="108">
        <v>0.33204382658004761</v>
      </c>
      <c r="U194" s="107">
        <v>-3.1366396695375443E-2</v>
      </c>
      <c r="V194" s="107">
        <v>9.4296904280781746E-3</v>
      </c>
    </row>
    <row r="195" spans="1:22" ht="18" thickBot="1" x14ac:dyDescent="0.25">
      <c r="A195" s="5" t="s">
        <v>189</v>
      </c>
      <c r="B195" s="2">
        <v>2303.507568359375</v>
      </c>
      <c r="C195" s="4" t="s">
        <v>224</v>
      </c>
      <c r="D195" s="4" t="s">
        <v>232</v>
      </c>
      <c r="E195" s="6">
        <v>20316463104</v>
      </c>
      <c r="F195" s="6">
        <v>8819794</v>
      </c>
      <c r="G195" s="4" t="s">
        <v>423</v>
      </c>
      <c r="H195" s="7">
        <v>-174797856</v>
      </c>
      <c r="I195" s="7">
        <v>-157416576</v>
      </c>
      <c r="J195" s="7">
        <v>-16517016</v>
      </c>
      <c r="K195" s="7">
        <v>-11260389376</v>
      </c>
      <c r="L195" s="7">
        <v>20491259904</v>
      </c>
      <c r="M195" s="8">
        <v>22194315264</v>
      </c>
      <c r="N195" s="8">
        <v>32734742528</v>
      </c>
      <c r="O195" s="8">
        <v>6392635392</v>
      </c>
      <c r="P195" s="8">
        <v>7534593536</v>
      </c>
      <c r="Q195" s="108">
        <v>0.28803032636642456</v>
      </c>
      <c r="R195" s="108">
        <v>0.23017115890979767</v>
      </c>
      <c r="S195" s="108">
        <v>0.38616231083869934</v>
      </c>
      <c r="T195" s="108">
        <v>0.31073206663131714</v>
      </c>
      <c r="U195" s="107">
        <v>-8.200393058359623E-3</v>
      </c>
      <c r="V195" s="107">
        <v>4.6882007271051407E-2</v>
      </c>
    </row>
    <row r="196" spans="1:22" ht="18" thickBot="1" x14ac:dyDescent="0.25">
      <c r="A196" s="5" t="s">
        <v>190</v>
      </c>
      <c r="B196" s="2">
        <v>2252.500732421875</v>
      </c>
      <c r="C196" s="4" t="s">
        <v>224</v>
      </c>
      <c r="D196" s="4" t="s">
        <v>232</v>
      </c>
      <c r="E196" s="6">
        <v>6356766208</v>
      </c>
      <c r="F196" s="6">
        <v>2822093</v>
      </c>
      <c r="G196" s="4" t="s">
        <v>424</v>
      </c>
      <c r="H196" s="7">
        <v>138959984</v>
      </c>
      <c r="I196" s="7">
        <v>135349296</v>
      </c>
      <c r="J196" s="7">
        <v>6979753</v>
      </c>
      <c r="K196" s="7">
        <v>-5457632768</v>
      </c>
      <c r="L196" s="7">
        <v>6217805824</v>
      </c>
      <c r="M196" s="8">
        <v>7026881024</v>
      </c>
      <c r="N196" s="8">
        <v>10364056576</v>
      </c>
      <c r="O196" s="8">
        <v>2168514816</v>
      </c>
      <c r="P196" s="8">
        <v>2555890432</v>
      </c>
      <c r="Q196" s="108">
        <v>0.30860275030136108</v>
      </c>
      <c r="R196" s="108">
        <v>0.24661099910736084</v>
      </c>
      <c r="S196" s="108">
        <v>0.35584345459938049</v>
      </c>
      <c r="T196" s="108">
        <v>0.28633546829223633</v>
      </c>
      <c r="U196" s="107">
        <v>1.8282450735569E-2</v>
      </c>
      <c r="V196" s="107">
        <v>0.16366386413574219</v>
      </c>
    </row>
    <row r="197" spans="1:22" ht="18" thickBot="1" x14ac:dyDescent="0.25">
      <c r="A197" s="5" t="s">
        <v>191</v>
      </c>
      <c r="B197" s="2">
        <v>2213.032958984375</v>
      </c>
      <c r="C197" s="4" t="s">
        <v>224</v>
      </c>
      <c r="D197" s="4" t="s">
        <v>232</v>
      </c>
      <c r="E197" s="6">
        <v>113716461568</v>
      </c>
      <c r="F197" s="6">
        <v>51384894</v>
      </c>
      <c r="G197" s="4" t="s">
        <v>425</v>
      </c>
      <c r="H197" s="7">
        <v>-3293125376</v>
      </c>
      <c r="I197" s="7">
        <v>-3224310528</v>
      </c>
      <c r="J197" s="7">
        <v>-238115344</v>
      </c>
      <c r="K197" s="7">
        <v>-65155342336</v>
      </c>
      <c r="L197" s="7">
        <v>117009588224</v>
      </c>
      <c r="M197" s="8">
        <v>127913164800</v>
      </c>
      <c r="N197" s="8">
        <v>188661137408</v>
      </c>
      <c r="O197" s="8">
        <v>55397773312</v>
      </c>
      <c r="P197" s="8">
        <v>65293840384</v>
      </c>
      <c r="Q197" s="108">
        <v>0.43308892846107483</v>
      </c>
      <c r="R197" s="108">
        <v>0.34609058499336243</v>
      </c>
      <c r="S197" s="108">
        <v>0.41684046387672424</v>
      </c>
      <c r="T197" s="108">
        <v>0.33541774749755859</v>
      </c>
      <c r="U197" s="107">
        <v>-2.810351550579071E-2</v>
      </c>
      <c r="V197" s="107">
        <v>2.9544273391366005E-2</v>
      </c>
    </row>
    <row r="198" spans="1:22" ht="18" thickBot="1" x14ac:dyDescent="0.25">
      <c r="A198" s="5" t="s">
        <v>198</v>
      </c>
      <c r="B198" s="2">
        <v>2113.962646484375</v>
      </c>
      <c r="C198" s="4" t="s">
        <v>225</v>
      </c>
      <c r="D198" s="4" t="s">
        <v>232</v>
      </c>
      <c r="E198" s="6">
        <v>53269368832</v>
      </c>
      <c r="F198" s="6">
        <v>25198821</v>
      </c>
      <c r="G198" s="4" t="s">
        <v>432</v>
      </c>
      <c r="H198" s="7">
        <v>-1658020096</v>
      </c>
      <c r="I198" s="7">
        <v>-1704302592</v>
      </c>
      <c r="J198" s="7">
        <v>56557188</v>
      </c>
      <c r="K198" s="7">
        <v>-33267075072</v>
      </c>
      <c r="L198" s="7">
        <v>54927392768</v>
      </c>
      <c r="M198" s="8">
        <v>58974838784</v>
      </c>
      <c r="N198" s="8">
        <v>86982918144</v>
      </c>
      <c r="O198" s="8">
        <v>26425954304</v>
      </c>
      <c r="P198" s="8">
        <v>31146594304</v>
      </c>
      <c r="Q198" s="108">
        <v>0.44808864593505859</v>
      </c>
      <c r="R198" s="108">
        <v>0.35807713866233826</v>
      </c>
      <c r="S198" s="108">
        <v>0.4565594494342804</v>
      </c>
      <c r="T198" s="108">
        <v>0.36737826466560364</v>
      </c>
      <c r="U198" s="107">
        <v>-3.0466610565781593E-2</v>
      </c>
      <c r="V198" s="107">
        <v>2.1159481257200241E-2</v>
      </c>
    </row>
    <row r="199" spans="1:22" ht="18" thickBot="1" x14ac:dyDescent="0.25">
      <c r="A199" s="5" t="s">
        <v>192</v>
      </c>
      <c r="B199" s="2">
        <v>2111.888427734375</v>
      </c>
      <c r="C199" s="4" t="s">
        <v>225</v>
      </c>
      <c r="D199" s="4" t="s">
        <v>232</v>
      </c>
      <c r="E199" s="6">
        <v>20530952192</v>
      </c>
      <c r="F199" s="6">
        <v>9721608</v>
      </c>
      <c r="G199" s="4" t="s">
        <v>426</v>
      </c>
      <c r="H199" s="7">
        <v>10996695</v>
      </c>
      <c r="I199" s="7">
        <v>-69104544</v>
      </c>
      <c r="J199" s="7">
        <v>65071204</v>
      </c>
      <c r="K199" s="7">
        <v>-384105120</v>
      </c>
      <c r="L199" s="7">
        <v>20519956480</v>
      </c>
      <c r="M199" s="8">
        <v>23332710400</v>
      </c>
      <c r="N199" s="8">
        <v>34413776896</v>
      </c>
      <c r="O199" s="8">
        <v>10062870528</v>
      </c>
      <c r="P199" s="8">
        <v>11860466688</v>
      </c>
      <c r="Q199" s="108">
        <v>0.43127742409706116</v>
      </c>
      <c r="R199" s="108">
        <v>0.34464296698570251</v>
      </c>
      <c r="S199" s="108">
        <v>0.45309010148048401</v>
      </c>
      <c r="T199" s="108">
        <v>0.36458662152290344</v>
      </c>
      <c r="U199" s="107">
        <v>5.0212314818054438E-4</v>
      </c>
      <c r="V199" s="107">
        <v>6.2530487775802612E-2</v>
      </c>
    </row>
    <row r="200" spans="1:22" ht="18" thickBot="1" x14ac:dyDescent="0.25">
      <c r="A200" s="5" t="s">
        <v>193</v>
      </c>
      <c r="B200" s="2">
        <v>2065.291259765625</v>
      </c>
      <c r="C200" s="4" t="s">
        <v>225</v>
      </c>
      <c r="D200" s="4" t="s">
        <v>229</v>
      </c>
      <c r="E200" s="6">
        <v>24589553664</v>
      </c>
      <c r="F200" s="6">
        <v>11906095</v>
      </c>
      <c r="G200" s="4" t="s">
        <v>427</v>
      </c>
      <c r="H200" s="7">
        <v>19272492</v>
      </c>
      <c r="I200" s="7">
        <v>-15737812</v>
      </c>
      <c r="J200" s="7">
        <v>50085116</v>
      </c>
      <c r="K200" s="7">
        <v>295857344</v>
      </c>
      <c r="L200" s="7">
        <v>24570281984</v>
      </c>
      <c r="M200" s="8">
        <v>25863454720</v>
      </c>
      <c r="N200" s="8">
        <v>38146416640</v>
      </c>
      <c r="O200" s="8">
        <v>27129849856</v>
      </c>
      <c r="P200" s="8">
        <v>31976230912</v>
      </c>
      <c r="Q200" s="108">
        <v>1.0489646196365356</v>
      </c>
      <c r="R200" s="108">
        <v>0.83824992179870605</v>
      </c>
      <c r="S200" s="108">
        <v>0.66157418489456177</v>
      </c>
      <c r="T200" s="108">
        <v>0.53234690427780151</v>
      </c>
      <c r="U200" s="107">
        <v>7.2241772431880236E-4</v>
      </c>
      <c r="V200" s="107">
        <v>7.8275404870510101E-2</v>
      </c>
    </row>
    <row r="201" spans="1:22" ht="18" thickBot="1" x14ac:dyDescent="0.25">
      <c r="A201" s="5" t="s">
        <v>205</v>
      </c>
      <c r="B201" s="2">
        <v>1949.9443359375</v>
      </c>
      <c r="C201" s="4" t="s">
        <v>225</v>
      </c>
      <c r="D201" s="4" t="s">
        <v>232</v>
      </c>
      <c r="E201" s="6">
        <v>23767457792</v>
      </c>
      <c r="F201" s="6">
        <v>12188788</v>
      </c>
      <c r="G201" s="4" t="s">
        <v>439</v>
      </c>
      <c r="H201" s="7">
        <v>-2299352064</v>
      </c>
      <c r="I201" s="7">
        <v>-3256469248</v>
      </c>
      <c r="J201" s="7">
        <v>955685696</v>
      </c>
      <c r="K201" s="7">
        <v>-165957216</v>
      </c>
      <c r="L201" s="7">
        <v>26066810880</v>
      </c>
      <c r="M201" s="8">
        <v>28072951808</v>
      </c>
      <c r="N201" s="8">
        <v>41405235200</v>
      </c>
      <c r="O201" s="8">
        <v>381631692800</v>
      </c>
      <c r="P201" s="8">
        <v>449805025280</v>
      </c>
      <c r="Q201" s="108">
        <v>13.594285011291504</v>
      </c>
      <c r="R201" s="108">
        <v>10.863481521606445</v>
      </c>
      <c r="S201" s="108">
        <v>0.1588393896818161</v>
      </c>
      <c r="T201" s="108">
        <v>0.12781280279159546</v>
      </c>
      <c r="U201" s="107">
        <v>-7.9515419900417328E-2</v>
      </c>
      <c r="V201" s="107">
        <v>0.1780817061662674</v>
      </c>
    </row>
    <row r="202" spans="1:22" ht="18" thickBot="1" x14ac:dyDescent="0.25">
      <c r="A202" s="5" t="s">
        <v>194</v>
      </c>
      <c r="B202" s="2">
        <v>1897.364013671875</v>
      </c>
      <c r="C202" s="4" t="s">
        <v>225</v>
      </c>
      <c r="D202" s="4" t="s">
        <v>229</v>
      </c>
      <c r="E202" s="6">
        <v>54106931200</v>
      </c>
      <c r="F202" s="6">
        <v>28516896</v>
      </c>
      <c r="G202" s="4" t="s">
        <v>428</v>
      </c>
      <c r="H202" s="7">
        <v>-9119631360</v>
      </c>
      <c r="I202" s="7">
        <v>-9021643776</v>
      </c>
      <c r="J202" s="7">
        <v>-12729163</v>
      </c>
      <c r="K202" s="7">
        <v>159103680512</v>
      </c>
      <c r="L202" s="7">
        <v>63226564608</v>
      </c>
      <c r="M202" s="8">
        <v>66600210432</v>
      </c>
      <c r="N202" s="8">
        <v>98229698560</v>
      </c>
      <c r="O202" s="8">
        <v>53856714752</v>
      </c>
      <c r="P202" s="8">
        <v>63477485568</v>
      </c>
      <c r="Q202" s="108">
        <v>0.80865681171417236</v>
      </c>
      <c r="R202" s="108">
        <v>0.64621484279632568</v>
      </c>
      <c r="S202" s="108">
        <v>1.9879947900772095</v>
      </c>
      <c r="T202" s="108">
        <v>1.5996736288070679</v>
      </c>
      <c r="U202" s="107">
        <v>-0.16841259598731995</v>
      </c>
      <c r="V202" s="107">
        <v>8.0512120621278882E-4</v>
      </c>
    </row>
    <row r="203" spans="1:22" ht="18" thickBot="1" x14ac:dyDescent="0.25">
      <c r="A203" s="5" t="s">
        <v>201</v>
      </c>
      <c r="B203" s="2">
        <v>1873.329833984375</v>
      </c>
      <c r="C203" s="4" t="s">
        <v>225</v>
      </c>
      <c r="D203" s="4" t="s">
        <v>232</v>
      </c>
      <c r="E203" s="6">
        <v>39346868224</v>
      </c>
      <c r="F203" s="6">
        <v>21003705</v>
      </c>
      <c r="G203" s="4" t="s">
        <v>435</v>
      </c>
      <c r="H203" s="7">
        <v>54086292</v>
      </c>
      <c r="I203" s="7">
        <v>-854937.0625</v>
      </c>
      <c r="J203" s="7">
        <v>100573352</v>
      </c>
      <c r="K203" s="7">
        <v>-23976734720</v>
      </c>
      <c r="L203" s="7">
        <v>39292780544</v>
      </c>
      <c r="M203" s="8">
        <v>41360822272</v>
      </c>
      <c r="N203" s="8">
        <v>61003726848</v>
      </c>
      <c r="O203" s="8">
        <v>18855976960</v>
      </c>
      <c r="P203" s="8">
        <v>22224340992</v>
      </c>
      <c r="Q203" s="108">
        <v>0.45588979125022888</v>
      </c>
      <c r="R203" s="108">
        <v>0.36431118845939636</v>
      </c>
      <c r="S203" s="108">
        <v>0.48297825455665588</v>
      </c>
      <c r="T203" s="108">
        <v>0.38863661885261536</v>
      </c>
      <c r="U203" s="107">
        <v>1.193102216348052E-3</v>
      </c>
      <c r="V203" s="107">
        <v>0.13203823566436768</v>
      </c>
    </row>
    <row r="204" spans="1:22" ht="18" thickBot="1" x14ac:dyDescent="0.25">
      <c r="A204" s="5" t="s">
        <v>195</v>
      </c>
      <c r="B204" s="2">
        <v>1818.2225341796875</v>
      </c>
      <c r="C204" s="4" t="s">
        <v>225</v>
      </c>
      <c r="D204" s="4" t="s">
        <v>232</v>
      </c>
      <c r="E204" s="6">
        <v>43772944384</v>
      </c>
      <c r="F204" s="6">
        <v>24074580</v>
      </c>
      <c r="G204" s="4" t="s">
        <v>429</v>
      </c>
      <c r="H204" s="7">
        <v>-2512927488</v>
      </c>
      <c r="I204" s="7">
        <v>-2514702080</v>
      </c>
      <c r="J204" s="7">
        <v>41937268</v>
      </c>
      <c r="K204" s="7">
        <v>-17606457344</v>
      </c>
      <c r="L204" s="7">
        <v>46285873152</v>
      </c>
      <c r="M204" s="8">
        <v>50000973824</v>
      </c>
      <c r="N204" s="8">
        <v>73747218432</v>
      </c>
      <c r="O204" s="8">
        <v>24162099200</v>
      </c>
      <c r="P204" s="8">
        <v>28478328832</v>
      </c>
      <c r="Q204" s="108">
        <v>0.48323255777359009</v>
      </c>
      <c r="R204" s="108">
        <v>0.38616138696670532</v>
      </c>
      <c r="S204" s="108">
        <v>0.4476000964641571</v>
      </c>
      <c r="T204" s="108">
        <v>0.36016899347305298</v>
      </c>
      <c r="U204" s="107">
        <v>-5.5853709578514099E-2</v>
      </c>
      <c r="V204" s="107">
        <v>2.7078490704298019E-2</v>
      </c>
    </row>
    <row r="205" spans="1:22" ht="18" thickBot="1" x14ac:dyDescent="0.25">
      <c r="A205" s="5" t="s">
        <v>199</v>
      </c>
      <c r="B205" s="2">
        <v>1689.7430419921875</v>
      </c>
      <c r="C205" s="4" t="s">
        <v>225</v>
      </c>
      <c r="D205" s="4" t="s">
        <v>232</v>
      </c>
      <c r="E205" s="6">
        <v>3801102336</v>
      </c>
      <c r="F205" s="6">
        <v>2249515</v>
      </c>
      <c r="G205" s="4" t="s">
        <v>433</v>
      </c>
      <c r="H205" s="7">
        <v>-9824905</v>
      </c>
      <c r="I205" s="7">
        <v>-62190604</v>
      </c>
      <c r="J205" s="7">
        <v>29083820</v>
      </c>
      <c r="K205" s="7">
        <v>-1656091904</v>
      </c>
      <c r="L205" s="7">
        <v>3810927360</v>
      </c>
      <c r="M205" s="8">
        <v>4155760384</v>
      </c>
      <c r="N205" s="8">
        <v>6129395712</v>
      </c>
      <c r="O205" s="8">
        <v>1976852480</v>
      </c>
      <c r="P205" s="8">
        <v>2329990656</v>
      </c>
      <c r="Q205" s="108">
        <v>0.47568973898887634</v>
      </c>
      <c r="R205" s="108">
        <v>0.38013380765914917</v>
      </c>
      <c r="S205" s="108">
        <v>0.45654511451721191</v>
      </c>
      <c r="T205" s="108">
        <v>0.3673667311668396</v>
      </c>
      <c r="U205" s="107">
        <v>-2.4842233397066593E-3</v>
      </c>
      <c r="V205" s="107">
        <v>3.8892712444067001E-2</v>
      </c>
    </row>
    <row r="206" spans="1:22" ht="18" thickBot="1" x14ac:dyDescent="0.25">
      <c r="A206" s="5" t="s">
        <v>196</v>
      </c>
      <c r="B206" s="2">
        <v>1668.9830322265625</v>
      </c>
      <c r="C206" s="4" t="s">
        <v>225</v>
      </c>
      <c r="D206" s="4" t="s">
        <v>227</v>
      </c>
      <c r="E206" s="6">
        <v>1399684224</v>
      </c>
      <c r="F206" s="6">
        <v>838645</v>
      </c>
      <c r="G206" s="4" t="s">
        <v>430</v>
      </c>
      <c r="H206" s="7">
        <v>-12082613</v>
      </c>
      <c r="I206" s="7">
        <v>-22424504</v>
      </c>
      <c r="J206" s="7">
        <v>4481878</v>
      </c>
      <c r="K206" s="7">
        <v>-94594048</v>
      </c>
      <c r="L206" s="7">
        <v>1411766912</v>
      </c>
      <c r="M206" s="8">
        <v>1571114112</v>
      </c>
      <c r="N206" s="8">
        <v>2317260800</v>
      </c>
      <c r="O206" s="8">
        <v>1443912960</v>
      </c>
      <c r="P206" s="8">
        <v>1701848576</v>
      </c>
      <c r="Q206" s="108">
        <v>0.91903764009475708</v>
      </c>
      <c r="R206" s="108">
        <v>0.73442256450653076</v>
      </c>
      <c r="S206" s="108">
        <v>1.0365818738937378</v>
      </c>
      <c r="T206" s="108">
        <v>0.83410310745239258</v>
      </c>
      <c r="U206" s="107">
        <v>-8.462429977953434E-3</v>
      </c>
      <c r="V206" s="107">
        <v>1.9688017666339874E-2</v>
      </c>
    </row>
    <row r="207" spans="1:22" ht="18" thickBot="1" x14ac:dyDescent="0.25">
      <c r="A207" s="5" t="s">
        <v>202</v>
      </c>
      <c r="B207" s="2">
        <v>1519.3408203125</v>
      </c>
      <c r="C207" s="4" t="s">
        <v>225</v>
      </c>
      <c r="D207" s="4" t="s">
        <v>232</v>
      </c>
      <c r="E207" s="6">
        <v>5480266752</v>
      </c>
      <c r="F207" s="6">
        <v>3607003</v>
      </c>
      <c r="G207" s="4" t="s">
        <v>436</v>
      </c>
      <c r="H207" s="7">
        <v>-34626500</v>
      </c>
      <c r="I207" s="7">
        <v>-102979416</v>
      </c>
      <c r="J207" s="7">
        <v>10556757</v>
      </c>
      <c r="K207" s="7">
        <v>-3771376128</v>
      </c>
      <c r="L207" s="7">
        <v>5514893312</v>
      </c>
      <c r="M207" s="8">
        <v>5986001408</v>
      </c>
      <c r="N207" s="8">
        <v>8828847104</v>
      </c>
      <c r="O207" s="8">
        <v>1377303808</v>
      </c>
      <c r="P207" s="8">
        <v>1623340416</v>
      </c>
      <c r="Q207" s="108">
        <v>0.23008744418621063</v>
      </c>
      <c r="R207" s="108">
        <v>0.18386775255203247</v>
      </c>
      <c r="S207" s="108">
        <v>0.40711751580238342</v>
      </c>
      <c r="T207" s="108">
        <v>0.32759398221969604</v>
      </c>
      <c r="U207" s="107">
        <v>-4.1468762792646885E-3</v>
      </c>
      <c r="V207" s="107">
        <v>0.34368222951889038</v>
      </c>
    </row>
    <row r="208" spans="1:22" ht="18" thickBot="1" x14ac:dyDescent="0.25">
      <c r="A208" s="5" t="s">
        <v>200</v>
      </c>
      <c r="B208" s="2">
        <v>1408.230224609375</v>
      </c>
      <c r="C208" s="4" t="s">
        <v>225</v>
      </c>
      <c r="D208" s="4" t="s">
        <v>228</v>
      </c>
      <c r="E208" s="6">
        <v>61742600192</v>
      </c>
      <c r="F208" s="6">
        <v>43844111</v>
      </c>
      <c r="G208" s="4" t="s">
        <v>434</v>
      </c>
      <c r="H208" s="7">
        <v>592348480</v>
      </c>
      <c r="I208" s="7">
        <v>485790208</v>
      </c>
      <c r="J208" s="7">
        <v>121056792</v>
      </c>
      <c r="K208" s="7">
        <v>1536917504</v>
      </c>
      <c r="L208" s="7">
        <v>61150248960</v>
      </c>
      <c r="M208" s="8">
        <v>65939079168</v>
      </c>
      <c r="N208" s="8">
        <v>97254580224</v>
      </c>
      <c r="O208" s="8">
        <v>16155832320</v>
      </c>
      <c r="P208" s="8">
        <v>19041853440</v>
      </c>
      <c r="Q208" s="108">
        <v>0.24501150846481323</v>
      </c>
      <c r="R208" s="108">
        <v>0.19579391181468964</v>
      </c>
      <c r="S208" s="108">
        <v>0.21967799961566925</v>
      </c>
      <c r="T208" s="108">
        <v>0.17676760256290436</v>
      </c>
      <c r="U208" s="107">
        <v>8.6120739579200745E-3</v>
      </c>
      <c r="V208" s="107">
        <v>0.10233274102210999</v>
      </c>
    </row>
    <row r="209" spans="1:22" ht="18" thickBot="1" x14ac:dyDescent="0.25">
      <c r="A209" s="5" t="s">
        <v>204</v>
      </c>
      <c r="B209" s="2">
        <v>1309.9266357421875</v>
      </c>
      <c r="C209" s="4" t="s">
        <v>225</v>
      </c>
      <c r="D209" s="4" t="s">
        <v>232</v>
      </c>
      <c r="E209" s="6">
        <v>7507459072</v>
      </c>
      <c r="F209" s="6">
        <v>5731206</v>
      </c>
      <c r="G209" s="4" t="s">
        <v>438</v>
      </c>
      <c r="H209" s="7">
        <v>-615840384</v>
      </c>
      <c r="I209" s="7">
        <v>-700962560</v>
      </c>
      <c r="J209" s="7">
        <v>69156960</v>
      </c>
      <c r="K209" s="7">
        <v>-5228847104</v>
      </c>
      <c r="L209" s="7">
        <v>8123299840</v>
      </c>
      <c r="M209" s="8">
        <v>8997798912</v>
      </c>
      <c r="N209" s="8">
        <v>13270994944</v>
      </c>
      <c r="O209" s="8">
        <v>4863921664</v>
      </c>
      <c r="P209" s="8">
        <v>5732795392</v>
      </c>
      <c r="Q209" s="108">
        <v>0.54056793451309204</v>
      </c>
      <c r="R209" s="108">
        <v>0.43197932839393616</v>
      </c>
      <c r="S209" s="108">
        <v>0.53931272029876709</v>
      </c>
      <c r="T209" s="108">
        <v>0.43396714329719543</v>
      </c>
      <c r="U209" s="107">
        <v>-7.2412163019180298E-2</v>
      </c>
      <c r="V209" s="107">
        <v>0.11725279688835144</v>
      </c>
    </row>
    <row r="210" spans="1:22" ht="18" thickBot="1" x14ac:dyDescent="0.25">
      <c r="A210" s="5" t="s">
        <v>203</v>
      </c>
      <c r="B210" s="2">
        <v>1268.6312255859375</v>
      </c>
      <c r="C210" s="4" t="s">
        <v>225</v>
      </c>
      <c r="D210" s="4" t="s">
        <v>232</v>
      </c>
      <c r="E210" s="6">
        <v>35417432064</v>
      </c>
      <c r="F210" s="6">
        <v>27917831</v>
      </c>
      <c r="G210" s="4" t="s">
        <v>437</v>
      </c>
      <c r="H210" s="7">
        <v>-763459712</v>
      </c>
      <c r="I210" s="7">
        <v>-826042432</v>
      </c>
      <c r="J210" s="7">
        <v>75077944</v>
      </c>
      <c r="K210" s="7">
        <v>-34533363712</v>
      </c>
      <c r="L210" s="7">
        <v>36180893696</v>
      </c>
      <c r="M210" s="8">
        <v>38839222272</v>
      </c>
      <c r="N210" s="8">
        <v>57284575232</v>
      </c>
      <c r="O210" s="8">
        <v>17027515392</v>
      </c>
      <c r="P210" s="8">
        <v>20069249024</v>
      </c>
      <c r="Q210" s="108">
        <v>0.43841031193733215</v>
      </c>
      <c r="R210" s="108">
        <v>0.35034298896789551</v>
      </c>
      <c r="S210" s="108">
        <v>0.47710034251213074</v>
      </c>
      <c r="T210" s="108">
        <v>0.38390684127807617</v>
      </c>
      <c r="U210" s="107">
        <v>-2.1438846364617348E-2</v>
      </c>
      <c r="V210" s="107">
        <v>5.4368395358324051E-3</v>
      </c>
    </row>
    <row r="211" spans="1:22" ht="18" thickBot="1" x14ac:dyDescent="0.25">
      <c r="A211" s="5" t="s">
        <v>206</v>
      </c>
      <c r="B211" s="2">
        <v>1177.6971435546875</v>
      </c>
      <c r="C211" s="4" t="s">
        <v>225</v>
      </c>
      <c r="D211" s="4" t="s">
        <v>232</v>
      </c>
      <c r="E211" s="6">
        <v>38558601216</v>
      </c>
      <c r="F211" s="6">
        <v>32740678</v>
      </c>
      <c r="G211" s="4" t="s">
        <v>440</v>
      </c>
      <c r="H211" s="7">
        <v>-1449373312</v>
      </c>
      <c r="I211" s="7">
        <v>-1459504128</v>
      </c>
      <c r="J211" s="7">
        <v>-41259144</v>
      </c>
      <c r="K211" s="7">
        <v>-15772751872</v>
      </c>
      <c r="L211" s="7">
        <v>40007974912</v>
      </c>
      <c r="M211" s="8">
        <v>43231485952</v>
      </c>
      <c r="N211" s="8">
        <v>63762792448</v>
      </c>
      <c r="O211" s="8">
        <v>16942987264</v>
      </c>
      <c r="P211" s="8">
        <v>19969622016</v>
      </c>
      <c r="Q211" s="108">
        <v>0.39191314578056335</v>
      </c>
      <c r="R211" s="108">
        <v>0.31318613886833191</v>
      </c>
      <c r="S211" s="108">
        <v>0.38089221715927124</v>
      </c>
      <c r="T211" s="108">
        <v>0.30649140477180481</v>
      </c>
      <c r="U211" s="107">
        <v>-3.5130970180034637E-2</v>
      </c>
      <c r="V211" s="107">
        <v>6.538836658000946E-2</v>
      </c>
    </row>
    <row r="212" spans="1:22" ht="18" thickBot="1" x14ac:dyDescent="0.25">
      <c r="A212" s="5" t="s">
        <v>208</v>
      </c>
      <c r="B212" s="2">
        <v>1174.989501953125</v>
      </c>
      <c r="C212" s="4" t="s">
        <v>225</v>
      </c>
      <c r="D212" s="4" t="s">
        <v>232</v>
      </c>
      <c r="E212" s="6">
        <v>132576976896</v>
      </c>
      <c r="F212" s="6">
        <v>112832473</v>
      </c>
      <c r="G212" s="4" t="s">
        <v>442</v>
      </c>
      <c r="H212" s="7">
        <v>-5487020032</v>
      </c>
      <c r="I212" s="7">
        <v>-5572796928</v>
      </c>
      <c r="J212" s="7">
        <v>61169832</v>
      </c>
      <c r="K212" s="7">
        <v>-69467750400</v>
      </c>
      <c r="L212" s="7">
        <v>138064003072</v>
      </c>
      <c r="M212" s="8">
        <v>147209453568</v>
      </c>
      <c r="N212" s="8">
        <v>217121521664</v>
      </c>
      <c r="O212" s="8">
        <v>69971378176</v>
      </c>
      <c r="P212" s="8">
        <v>82470813696</v>
      </c>
      <c r="Q212" s="108">
        <v>0.47531852126121521</v>
      </c>
      <c r="R212" s="108">
        <v>0.37983712553977966</v>
      </c>
      <c r="S212" s="108">
        <v>0.52814340591430664</v>
      </c>
      <c r="T212" s="108">
        <v>0.42497953772544861</v>
      </c>
      <c r="U212" s="107">
        <v>-4.1105043143033981E-2</v>
      </c>
      <c r="V212" s="107">
        <v>6.8228696472942829E-3</v>
      </c>
    </row>
    <row r="213" spans="1:22" ht="18" thickBot="1" x14ac:dyDescent="0.25">
      <c r="A213" s="5" t="s">
        <v>207</v>
      </c>
      <c r="B213" s="2">
        <v>1164.001953125</v>
      </c>
      <c r="C213" s="4" t="s">
        <v>225</v>
      </c>
      <c r="D213" s="4" t="s">
        <v>232</v>
      </c>
      <c r="E213" s="6">
        <v>25859606528</v>
      </c>
      <c r="F213" s="6">
        <v>22216120</v>
      </c>
      <c r="G213" s="4" t="s">
        <v>441</v>
      </c>
      <c r="H213" s="7">
        <v>-460466304</v>
      </c>
      <c r="I213" s="7">
        <v>-449771328</v>
      </c>
      <c r="J213" s="7">
        <v>33722600</v>
      </c>
      <c r="K213" s="7">
        <v>-9111006208</v>
      </c>
      <c r="L213" s="7">
        <v>26320072704</v>
      </c>
      <c r="M213" s="8">
        <v>28710623232</v>
      </c>
      <c r="N213" s="8">
        <v>42345750528</v>
      </c>
      <c r="O213" s="8">
        <v>12800261120</v>
      </c>
      <c r="P213" s="8">
        <v>15086854144</v>
      </c>
      <c r="Q213" s="108">
        <v>0.4458371102809906</v>
      </c>
      <c r="R213" s="108">
        <v>0.35627788305282593</v>
      </c>
      <c r="S213" s="108">
        <v>0.45469027757644653</v>
      </c>
      <c r="T213" s="108">
        <v>0.36587423086166382</v>
      </c>
      <c r="U213" s="107">
        <v>-1.7238374799489975E-2</v>
      </c>
      <c r="V213" s="107">
        <v>3.1899672001600266E-2</v>
      </c>
    </row>
    <row r="214" spans="1:22" ht="18" thickBot="1" x14ac:dyDescent="0.25">
      <c r="A214" s="5" t="s">
        <v>209</v>
      </c>
      <c r="B214" s="2">
        <v>969.79803466796875</v>
      </c>
      <c r="C214" s="4" t="s">
        <v>225</v>
      </c>
      <c r="D214" s="4" t="s">
        <v>232</v>
      </c>
      <c r="E214" s="6">
        <v>19061127168</v>
      </c>
      <c r="F214" s="6">
        <v>19654739</v>
      </c>
      <c r="G214" s="4" t="s">
        <v>443</v>
      </c>
      <c r="H214" s="7">
        <v>57163996</v>
      </c>
      <c r="I214" s="7">
        <v>-34692772</v>
      </c>
      <c r="J214" s="7">
        <v>25219644</v>
      </c>
      <c r="K214" s="7">
        <v>-10064649216</v>
      </c>
      <c r="L214" s="7">
        <v>19003963392</v>
      </c>
      <c r="M214" s="8">
        <v>20442624000</v>
      </c>
      <c r="N214" s="8">
        <v>30151145472</v>
      </c>
      <c r="O214" s="8">
        <v>10816082944</v>
      </c>
      <c r="P214" s="8">
        <v>12748230656</v>
      </c>
      <c r="Q214" s="108">
        <v>0.52909469604492188</v>
      </c>
      <c r="R214" s="108">
        <v>0.42281082272529602</v>
      </c>
      <c r="S214" s="108">
        <v>0.52514725923538208</v>
      </c>
      <c r="T214" s="108">
        <v>0.42256864905357361</v>
      </c>
      <c r="U214" s="107">
        <v>2.7955390978604555E-3</v>
      </c>
      <c r="V214" s="107">
        <v>6.7837662994861603E-2</v>
      </c>
    </row>
    <row r="215" spans="1:22" ht="18" thickBot="1" x14ac:dyDescent="0.25">
      <c r="A215" s="5" t="s">
        <v>214</v>
      </c>
      <c r="B215" s="2">
        <v>916.99810791015625</v>
      </c>
      <c r="C215" s="4" t="s">
        <v>225</v>
      </c>
      <c r="D215" s="4" t="s">
        <v>232</v>
      </c>
      <c r="E215" s="6">
        <v>47374090240</v>
      </c>
      <c r="F215" s="6">
        <v>51662147</v>
      </c>
      <c r="G215" s="4" t="s">
        <v>448</v>
      </c>
      <c r="H215" s="7">
        <v>-1150964352</v>
      </c>
      <c r="I215" s="7">
        <v>-1594322944</v>
      </c>
      <c r="J215" s="7">
        <v>442732960</v>
      </c>
      <c r="K215" s="7">
        <v>-33412399104</v>
      </c>
      <c r="L215" s="7">
        <v>48525058048</v>
      </c>
      <c r="M215" s="8">
        <v>52084879360</v>
      </c>
      <c r="N215" s="8">
        <v>76820799488</v>
      </c>
      <c r="O215" s="8">
        <v>102891683840</v>
      </c>
      <c r="P215" s="8">
        <v>121271894016</v>
      </c>
      <c r="Q215" s="108">
        <v>1.9754618406295776</v>
      </c>
      <c r="R215" s="108">
        <v>1.5786335468292236</v>
      </c>
      <c r="S215" s="108">
        <v>0.23868806660175323</v>
      </c>
      <c r="T215" s="108">
        <v>0.19206438958644867</v>
      </c>
      <c r="U215" s="107">
        <v>-2.2499026730656624E-2</v>
      </c>
      <c r="V215" s="107">
        <v>7.393229752779007E-2</v>
      </c>
    </row>
    <row r="216" spans="1:22" ht="18" thickBot="1" x14ac:dyDescent="0.25">
      <c r="A216" s="5" t="s">
        <v>210</v>
      </c>
      <c r="B216" s="2">
        <v>879.0474853515625</v>
      </c>
      <c r="C216" s="4" t="s">
        <v>225</v>
      </c>
      <c r="D216" s="4" t="s">
        <v>232</v>
      </c>
      <c r="E216" s="6">
        <v>31321915392</v>
      </c>
      <c r="F216" s="6">
        <v>35631653</v>
      </c>
      <c r="G216" s="4" t="s">
        <v>444</v>
      </c>
      <c r="H216" s="7">
        <v>-4747488768</v>
      </c>
      <c r="I216" s="7">
        <v>-4972385280</v>
      </c>
      <c r="J216" s="7">
        <v>107272456</v>
      </c>
      <c r="K216" s="7">
        <v>-125482811392</v>
      </c>
      <c r="L216" s="7">
        <v>36069404672</v>
      </c>
      <c r="M216" s="8">
        <v>41023168512</v>
      </c>
      <c r="N216" s="8">
        <v>60505714688</v>
      </c>
      <c r="O216" s="8">
        <v>18989877248</v>
      </c>
      <c r="P216" s="8">
        <v>22382163968</v>
      </c>
      <c r="Q216" s="108">
        <v>0.46290615200996399</v>
      </c>
      <c r="R216" s="108">
        <v>0.36991816759109497</v>
      </c>
      <c r="S216" s="108">
        <v>0.43485644459724426</v>
      </c>
      <c r="T216" s="108">
        <v>0.34991458058357239</v>
      </c>
      <c r="U216" s="107">
        <v>-0.14191906154155731</v>
      </c>
      <c r="V216" s="107">
        <v>6.3678331673145294E-2</v>
      </c>
    </row>
    <row r="217" spans="1:22" ht="35" thickBot="1" x14ac:dyDescent="0.25">
      <c r="A217" s="5" t="s">
        <v>211</v>
      </c>
      <c r="B217" s="2">
        <v>828.289794921875</v>
      </c>
      <c r="C217" s="4" t="s">
        <v>225</v>
      </c>
      <c r="D217" s="4" t="s">
        <v>232</v>
      </c>
      <c r="E217" s="6">
        <v>4566595072</v>
      </c>
      <c r="F217" s="6">
        <v>5513282</v>
      </c>
      <c r="G217" s="4" t="s">
        <v>445</v>
      </c>
      <c r="H217" s="7">
        <v>4484289.5</v>
      </c>
      <c r="I217" s="7">
        <v>-22522644</v>
      </c>
      <c r="J217" s="7">
        <v>26837148</v>
      </c>
      <c r="K217" s="7">
        <v>-2556026368</v>
      </c>
      <c r="L217" s="7">
        <v>4562110464</v>
      </c>
      <c r="M217" s="8">
        <v>4929125376</v>
      </c>
      <c r="N217" s="8">
        <v>7270043648</v>
      </c>
      <c r="O217" s="8">
        <v>2712324352</v>
      </c>
      <c r="P217" s="8">
        <v>3196844288</v>
      </c>
      <c r="Q217" s="108">
        <v>0.55026483535766602</v>
      </c>
      <c r="R217" s="108">
        <v>0.43972831964492798</v>
      </c>
      <c r="S217" s="108">
        <v>0.54207509756088257</v>
      </c>
      <c r="T217" s="108">
        <v>0.43618986010551453</v>
      </c>
      <c r="U217" s="107">
        <v>9.0857944451272488E-4</v>
      </c>
      <c r="V217" s="107">
        <v>7.4744284152984619E-2</v>
      </c>
    </row>
    <row r="218" spans="1:22" ht="18" thickBot="1" x14ac:dyDescent="0.25">
      <c r="A218" s="5" t="s">
        <v>212</v>
      </c>
      <c r="B218" s="2">
        <v>708.8441162109375</v>
      </c>
      <c r="C218" s="4" t="s">
        <v>225</v>
      </c>
      <c r="D218" s="4" t="s">
        <v>231</v>
      </c>
      <c r="E218" s="6">
        <v>29611167744</v>
      </c>
      <c r="F218" s="6">
        <v>41773878</v>
      </c>
      <c r="G218" s="4" t="s">
        <v>446</v>
      </c>
      <c r="H218" s="7">
        <v>-32417944</v>
      </c>
      <c r="I218" s="7">
        <v>-73767704</v>
      </c>
      <c r="J218" s="7">
        <v>121085552</v>
      </c>
      <c r="K218" s="7">
        <v>-2284500992</v>
      </c>
      <c r="L218" s="7">
        <v>29643585536</v>
      </c>
      <c r="M218" s="8">
        <v>31203774464</v>
      </c>
      <c r="N218" s="8">
        <v>46022934528</v>
      </c>
      <c r="O218" s="8">
        <v>29623793664</v>
      </c>
      <c r="P218" s="8">
        <v>34915684352</v>
      </c>
      <c r="Q218" s="108">
        <v>0.94936573505401611</v>
      </c>
      <c r="R218" s="108">
        <v>0.75865834951400757</v>
      </c>
      <c r="S218" s="108">
        <v>0.21044717729091644</v>
      </c>
      <c r="T218" s="108">
        <v>0.16933989524841309</v>
      </c>
      <c r="U218" s="107">
        <v>-8.8476890232414007E-4</v>
      </c>
      <c r="V218" s="107">
        <v>0.19183525443077087</v>
      </c>
    </row>
    <row r="219" spans="1:22" ht="18" thickBot="1" x14ac:dyDescent="0.25">
      <c r="A219" s="5" t="s">
        <v>213</v>
      </c>
      <c r="B219" s="2">
        <v>622.8375244140625</v>
      </c>
      <c r="C219" s="4" t="s">
        <v>225</v>
      </c>
      <c r="D219" s="4" t="s">
        <v>232</v>
      </c>
      <c r="E219" s="6">
        <v>8962633728</v>
      </c>
      <c r="F219" s="6">
        <v>14390003</v>
      </c>
      <c r="G219" s="4" t="s">
        <v>447</v>
      </c>
      <c r="H219" s="7">
        <v>-88164864</v>
      </c>
      <c r="I219" s="7">
        <v>-126779984</v>
      </c>
      <c r="J219" s="7">
        <v>27826902</v>
      </c>
      <c r="K219" s="7">
        <v>-7880659968</v>
      </c>
      <c r="L219" s="7">
        <v>9050798080</v>
      </c>
      <c r="M219" s="8">
        <v>10833367040</v>
      </c>
      <c r="N219" s="8">
        <v>15978302464</v>
      </c>
      <c r="O219" s="8">
        <v>5342335488</v>
      </c>
      <c r="P219" s="8">
        <v>6296671744</v>
      </c>
      <c r="Q219" s="108">
        <v>0.49313712120056152</v>
      </c>
      <c r="R219" s="108">
        <v>0.39407637715339661</v>
      </c>
      <c r="S219" s="108">
        <v>0.38339996337890625</v>
      </c>
      <c r="T219" s="108">
        <v>0.30850926041603088</v>
      </c>
      <c r="U219" s="107">
        <v>-9.0293427929282188E-3</v>
      </c>
      <c r="V219" s="107">
        <v>8.2098126411437988E-2</v>
      </c>
    </row>
  </sheetData>
  <conditionalFormatting sqref="H4:H219">
    <cfRule type="colorScale" priority="3">
      <colorScale>
        <cfvo type="min"/>
        <cfvo type="percentile" val="50"/>
        <cfvo type="max"/>
        <color rgb="FFF8696B"/>
        <color rgb="FFFFEB84"/>
        <color rgb="FF63BE7B"/>
      </colorScale>
    </cfRule>
  </conditionalFormatting>
  <conditionalFormatting sqref="L4:L219">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topLeftCell="A5" workbookViewId="0">
      <selection activeCell="F4" sqref="F4"/>
    </sheetView>
  </sheetViews>
  <sheetFormatPr baseColWidth="10" defaultColWidth="8.83203125" defaultRowHeight="15" x14ac:dyDescent="0.2"/>
  <cols>
    <col min="3" max="3" width="16.1640625" customWidth="1"/>
    <col min="4" max="4" width="19.1640625" customWidth="1"/>
    <col min="5" max="5" width="18.6640625" customWidth="1"/>
    <col min="6" max="6" width="18" customWidth="1"/>
  </cols>
  <sheetData>
    <row r="1" spans="1:6" ht="16" x14ac:dyDescent="0.2">
      <c r="A1" s="13" t="s">
        <v>483</v>
      </c>
    </row>
    <row r="4" spans="1:6" ht="34" x14ac:dyDescent="0.2">
      <c r="C4" s="9" t="s">
        <v>466</v>
      </c>
      <c r="D4" s="9" t="s">
        <v>467</v>
      </c>
      <c r="E4" s="9" t="s">
        <v>468</v>
      </c>
      <c r="F4" s="9" t="s">
        <v>469</v>
      </c>
    </row>
    <row r="5" spans="1:6" ht="16" x14ac:dyDescent="0.2">
      <c r="B5" s="10">
        <v>1990</v>
      </c>
      <c r="C5" s="11">
        <v>1.3198069334030151</v>
      </c>
      <c r="D5" s="11">
        <v>1.3722079992294312</v>
      </c>
      <c r="E5" s="11">
        <v>6.3129115104675293</v>
      </c>
      <c r="F5" s="11">
        <v>1.6601443290710449</v>
      </c>
    </row>
    <row r="6" spans="1:6" ht="16" x14ac:dyDescent="0.2">
      <c r="B6" s="10">
        <v>1991</v>
      </c>
      <c r="C6" s="11">
        <v>1.2800216674804688</v>
      </c>
      <c r="D6" s="11">
        <v>1.363211989402771</v>
      </c>
      <c r="E6" s="11">
        <v>6.814056396484375</v>
      </c>
      <c r="F6" s="11">
        <v>1.7430335283279419</v>
      </c>
    </row>
    <row r="7" spans="1:6" ht="16" x14ac:dyDescent="0.2">
      <c r="B7" s="10">
        <v>1992</v>
      </c>
      <c r="C7" s="11">
        <v>1.3417661190032959</v>
      </c>
      <c r="D7" s="11">
        <v>1.3375366926193237</v>
      </c>
      <c r="E7" s="11">
        <v>7.3992924690246582</v>
      </c>
      <c r="F7" s="11">
        <v>1.887271523475647</v>
      </c>
    </row>
    <row r="8" spans="1:6" ht="16" x14ac:dyDescent="0.2">
      <c r="B8" s="10">
        <v>1993</v>
      </c>
      <c r="C8" s="11">
        <v>1.1998587846755981</v>
      </c>
      <c r="D8" s="11">
        <v>1.3276162147521973</v>
      </c>
      <c r="E8" s="11">
        <v>6.9135360717773438</v>
      </c>
      <c r="F8" s="11">
        <v>2.1704928874969482</v>
      </c>
    </row>
    <row r="9" spans="1:6" ht="16" x14ac:dyDescent="0.2">
      <c r="B9" s="10">
        <v>1994</v>
      </c>
      <c r="C9" s="11">
        <v>1.2030993700027466</v>
      </c>
      <c r="D9" s="11">
        <v>1.3274263143539429</v>
      </c>
      <c r="E9" s="11">
        <v>10.369204521179199</v>
      </c>
      <c r="F9" s="11">
        <v>2.6680018901824951</v>
      </c>
    </row>
    <row r="10" spans="1:6" ht="16" x14ac:dyDescent="0.2">
      <c r="B10" s="10">
        <v>1995</v>
      </c>
      <c r="C10" s="11">
        <v>1.3085800409317017</v>
      </c>
      <c r="D10" s="11">
        <v>1.3234213590621948</v>
      </c>
      <c r="E10" s="11">
        <v>10.928497314453125</v>
      </c>
      <c r="F10" s="11">
        <v>2.8944542407989502</v>
      </c>
    </row>
    <row r="11" spans="1:6" ht="16" x14ac:dyDescent="0.2">
      <c r="B11" s="10">
        <v>1996</v>
      </c>
      <c r="C11" s="11">
        <v>1.2878895998001099</v>
      </c>
      <c r="D11" s="11">
        <v>1.3258106708526611</v>
      </c>
      <c r="E11" s="11">
        <v>10.707738876342773</v>
      </c>
      <c r="F11" s="11">
        <v>3.2167997360229492</v>
      </c>
    </row>
    <row r="12" spans="1:6" ht="16" x14ac:dyDescent="0.2">
      <c r="B12" s="10">
        <v>1997</v>
      </c>
      <c r="C12" s="11">
        <v>1.129968523979187</v>
      </c>
      <c r="D12" s="11">
        <v>1.3335082530975342</v>
      </c>
      <c r="E12" s="11">
        <v>9.3672323226928711</v>
      </c>
      <c r="F12" s="11">
        <v>3.2970530986785889</v>
      </c>
    </row>
    <row r="13" spans="1:6" ht="16" x14ac:dyDescent="0.2">
      <c r="B13" s="10">
        <v>1998</v>
      </c>
      <c r="C13" s="11">
        <v>1.1125752925872803</v>
      </c>
      <c r="D13" s="11">
        <v>1.3308794498443604</v>
      </c>
      <c r="E13" s="11">
        <v>9.2109642028808594</v>
      </c>
      <c r="F13" s="11">
        <v>3.4617130756378174</v>
      </c>
    </row>
    <row r="14" spans="1:6" ht="16" x14ac:dyDescent="0.2">
      <c r="B14" s="10">
        <v>1999</v>
      </c>
      <c r="C14" s="11">
        <v>1.0657764673233032</v>
      </c>
      <c r="D14" s="11">
        <v>1.3378733396530151</v>
      </c>
      <c r="E14" s="11">
        <v>8.8227634429931641</v>
      </c>
      <c r="F14" s="11">
        <v>3.4397454261779785</v>
      </c>
    </row>
    <row r="15" spans="1:6" ht="16" x14ac:dyDescent="0.2">
      <c r="B15" s="10">
        <v>2000</v>
      </c>
      <c r="C15" s="11">
        <v>0.92361247539520264</v>
      </c>
      <c r="D15" s="11">
        <v>1.3533811569213867</v>
      </c>
      <c r="E15" s="11">
        <v>7.6461300849914551</v>
      </c>
      <c r="F15" s="11">
        <v>3.5399935245513916</v>
      </c>
    </row>
    <row r="16" spans="1:6" ht="16" x14ac:dyDescent="0.2">
      <c r="B16" s="10">
        <v>2001</v>
      </c>
      <c r="C16" s="11">
        <v>0.89562958478927612</v>
      </c>
      <c r="D16" s="11">
        <v>1.352347731590271</v>
      </c>
      <c r="E16" s="11">
        <v>7.4131870269775391</v>
      </c>
      <c r="F16" s="11">
        <v>3.5765097141265869</v>
      </c>
    </row>
    <row r="17" spans="2:6" ht="16" x14ac:dyDescent="0.2">
      <c r="B17" s="10">
        <v>2002</v>
      </c>
      <c r="C17" s="11">
        <v>0.94557368755340576</v>
      </c>
      <c r="D17" s="11">
        <v>1.3410552740097046</v>
      </c>
      <c r="E17" s="11">
        <v>7.8264732360839844</v>
      </c>
      <c r="F17" s="11">
        <v>3.4636774063110352</v>
      </c>
    </row>
    <row r="18" spans="2:6" ht="16" x14ac:dyDescent="0.2">
      <c r="B18" s="10">
        <v>2003</v>
      </c>
      <c r="C18" s="11">
        <v>1.1311603784561157</v>
      </c>
      <c r="D18" s="11">
        <v>1.3392342329025269</v>
      </c>
      <c r="E18" s="11">
        <v>9.3626556396484375</v>
      </c>
      <c r="F18" s="11">
        <v>3.5178201198577881</v>
      </c>
    </row>
    <row r="19" spans="2:6" ht="16" x14ac:dyDescent="0.2">
      <c r="B19" s="10">
        <v>2004</v>
      </c>
      <c r="C19" s="11">
        <v>1.243902325630188</v>
      </c>
      <c r="D19" s="11">
        <v>1.3502275943756104</v>
      </c>
      <c r="E19" s="11">
        <v>10.2955322265625</v>
      </c>
      <c r="F19" s="11">
        <v>3.6714582443237305</v>
      </c>
    </row>
    <row r="20" spans="2:6" ht="16" x14ac:dyDescent="0.2">
      <c r="B20" s="10">
        <v>2005</v>
      </c>
      <c r="C20" s="11">
        <v>1.2440903186798096</v>
      </c>
      <c r="D20" s="11">
        <v>1.369044303894043</v>
      </c>
      <c r="E20" s="11">
        <v>10.194470405578613</v>
      </c>
      <c r="F20" s="11">
        <v>3.8474175930023193</v>
      </c>
    </row>
    <row r="21" spans="2:6" ht="16" x14ac:dyDescent="0.2">
      <c r="B21" s="10">
        <v>2006</v>
      </c>
      <c r="C21" s="11">
        <v>1.255598783493042</v>
      </c>
      <c r="D21" s="11">
        <v>1.3863877058029175</v>
      </c>
      <c r="E21" s="11">
        <v>10.011439323425293</v>
      </c>
      <c r="F21" s="11">
        <v>3.9479429721832275</v>
      </c>
    </row>
    <row r="22" spans="2:6" ht="16" x14ac:dyDescent="0.2">
      <c r="B22" s="10">
        <v>2007</v>
      </c>
      <c r="C22" s="11">
        <v>1.3704780340194702</v>
      </c>
      <c r="D22" s="11">
        <v>1.3914532661437988</v>
      </c>
      <c r="E22" s="11">
        <v>10.425955772399902</v>
      </c>
      <c r="F22" s="11">
        <v>4.2289905548095703</v>
      </c>
    </row>
    <row r="23" spans="2:6" ht="16" x14ac:dyDescent="0.2">
      <c r="B23" s="10">
        <v>2008</v>
      </c>
      <c r="C23" s="11">
        <v>1.4707554578781128</v>
      </c>
      <c r="D23" s="11">
        <v>1.3917527198791504</v>
      </c>
      <c r="E23" s="11">
        <v>10.219772338867188</v>
      </c>
      <c r="F23" s="11">
        <v>4.6464333534240723</v>
      </c>
    </row>
    <row r="24" spans="2:6" ht="16" x14ac:dyDescent="0.2">
      <c r="B24" s="10">
        <v>2009</v>
      </c>
      <c r="C24" s="11">
        <v>1.3947824239730835</v>
      </c>
      <c r="D24" s="11">
        <v>1.3843719959259033</v>
      </c>
      <c r="E24" s="11">
        <v>9.5283393859863281</v>
      </c>
      <c r="F24" s="11">
        <v>4.6390829086303711</v>
      </c>
    </row>
    <row r="25" spans="2:6" ht="16" x14ac:dyDescent="0.2">
      <c r="B25" s="10">
        <v>2010</v>
      </c>
      <c r="C25" s="11">
        <v>1.3257166147232056</v>
      </c>
      <c r="D25" s="11">
        <v>1.3908783197402954</v>
      </c>
      <c r="E25" s="11">
        <v>8.9754581451416016</v>
      </c>
      <c r="F25" s="11">
        <v>4.9825634956359863</v>
      </c>
    </row>
    <row r="26" spans="2:6" ht="16" x14ac:dyDescent="0.2">
      <c r="B26" s="10">
        <v>2011</v>
      </c>
      <c r="C26" s="11">
        <v>1.3919552564620972</v>
      </c>
      <c r="D26" s="11">
        <v>1.4052683115005493</v>
      </c>
      <c r="E26" s="11">
        <v>8.9940652847290039</v>
      </c>
      <c r="F26" s="11">
        <v>5.4098129272460938</v>
      </c>
    </row>
    <row r="27" spans="2:6" ht="16" x14ac:dyDescent="0.2">
      <c r="B27" s="10">
        <v>2012</v>
      </c>
      <c r="C27" s="11">
        <v>1.2847886085510254</v>
      </c>
      <c r="D27" s="11">
        <v>1.413625955581665</v>
      </c>
      <c r="E27" s="11">
        <v>8.1100130081176758</v>
      </c>
      <c r="F27" s="11">
        <v>5.5164017677307129</v>
      </c>
    </row>
    <row r="28" spans="2:6" ht="16" x14ac:dyDescent="0.2">
      <c r="B28" s="10">
        <v>2013</v>
      </c>
      <c r="C28" s="11">
        <v>1.3281180858612061</v>
      </c>
      <c r="D28" s="11">
        <v>1.4189609289169312</v>
      </c>
      <c r="E28" s="11">
        <v>8.22869873046875</v>
      </c>
      <c r="F28" s="11">
        <v>5.5751848220825195</v>
      </c>
    </row>
    <row r="29" spans="2:6" ht="16" x14ac:dyDescent="0.2">
      <c r="B29" s="10">
        <v>2014</v>
      </c>
      <c r="C29" s="11">
        <v>1.3285007476806641</v>
      </c>
      <c r="D29" s="11">
        <v>1.4290434122085571</v>
      </c>
      <c r="E29" s="11">
        <v>8.1615571975708008</v>
      </c>
      <c r="F29" s="11">
        <v>5.5885295867919922</v>
      </c>
    </row>
    <row r="30" spans="2:6" ht="16" x14ac:dyDescent="0.2">
      <c r="B30" s="10">
        <v>2015</v>
      </c>
      <c r="C30" s="11">
        <v>1.1095129251480103</v>
      </c>
      <c r="D30" s="11">
        <v>1.4257439374923706</v>
      </c>
      <c r="E30" s="11">
        <v>6.9094791412353516</v>
      </c>
      <c r="F30" s="11">
        <v>5.5319380760192871</v>
      </c>
    </row>
    <row r="31" spans="2:6" ht="16" x14ac:dyDescent="0.2">
      <c r="B31" s="10">
        <v>2016</v>
      </c>
      <c r="C31" s="11">
        <v>1.106903076171875</v>
      </c>
      <c r="D31" s="11">
        <v>1.4265565872192383</v>
      </c>
      <c r="E31" s="11">
        <v>7.354792594909668</v>
      </c>
      <c r="F31" s="11">
        <v>5.5639948844909668</v>
      </c>
    </row>
    <row r="32" spans="2:6" ht="16" x14ac:dyDescent="0.2">
      <c r="B32" s="10">
        <v>2017</v>
      </c>
      <c r="C32" s="11">
        <v>1.1296812295913696</v>
      </c>
      <c r="D32" s="11">
        <v>1.4363670349121094</v>
      </c>
      <c r="E32" s="11">
        <v>7.6352396011352539</v>
      </c>
      <c r="F32" s="11">
        <v>5.7318820953369141</v>
      </c>
    </row>
    <row r="33" spans="2:6" ht="16" x14ac:dyDescent="0.2">
      <c r="B33" s="10">
        <v>2018</v>
      </c>
      <c r="C33" s="11">
        <v>1.1809544563293457</v>
      </c>
      <c r="D33" s="11">
        <v>1.4471702575683594</v>
      </c>
      <c r="E33" s="11">
        <v>7.8131442070007324</v>
      </c>
      <c r="F33" s="11">
        <v>5.8414435386657715</v>
      </c>
    </row>
    <row r="34" spans="2:6" ht="16" x14ac:dyDescent="0.2">
      <c r="B34" s="10">
        <v>2019</v>
      </c>
      <c r="C34" s="11">
        <v>1.1194745302200317</v>
      </c>
      <c r="D34" s="11">
        <v>1.4465383291244507</v>
      </c>
      <c r="E34" s="11">
        <v>7.7337608337402344</v>
      </c>
      <c r="F34" s="11">
        <v>5.8196558952331543</v>
      </c>
    </row>
    <row r="35" spans="2:6" ht="16" x14ac:dyDescent="0.2">
      <c r="B35" s="10">
        <v>2020</v>
      </c>
      <c r="C35" s="11">
        <v>1.1421960592269897</v>
      </c>
      <c r="D35" s="11">
        <v>1.4347444772720337</v>
      </c>
      <c r="E35" s="11">
        <v>7.8820300102233887</v>
      </c>
      <c r="F35" s="11">
        <v>5.7257966995239258</v>
      </c>
    </row>
    <row r="36" spans="2:6" ht="16" x14ac:dyDescent="0.2">
      <c r="B36" s="10">
        <v>2021</v>
      </c>
      <c r="C36" s="11">
        <v>1.182740330696106</v>
      </c>
      <c r="D36" s="11">
        <v>1.4698507785797119</v>
      </c>
      <c r="E36" s="11">
        <v>7.6274628639221191</v>
      </c>
      <c r="F36" s="11">
        <v>5.860896110534668</v>
      </c>
    </row>
    <row r="37" spans="2:6" ht="16" x14ac:dyDescent="0.2">
      <c r="B37" s="10">
        <v>2022</v>
      </c>
      <c r="C37" s="11">
        <v>1.0530486106872559</v>
      </c>
      <c r="D37" s="11">
        <v>1.504199743270874</v>
      </c>
      <c r="E37" s="11">
        <v>7.0945549011230469</v>
      </c>
      <c r="F37" s="11">
        <v>5.7079038619995117</v>
      </c>
    </row>
    <row r="38" spans="2:6" ht="16" x14ac:dyDescent="0.2">
      <c r="B38" s="10">
        <v>2023</v>
      </c>
      <c r="C38" s="11">
        <v>1.0812686681747437</v>
      </c>
      <c r="D38" s="11">
        <v>1.4739581346511841</v>
      </c>
      <c r="E38" s="11">
        <v>7.6597046852111816</v>
      </c>
      <c r="F38" s="11">
        <v>5.366243839263916</v>
      </c>
    </row>
    <row r="39" spans="2:6" ht="16" x14ac:dyDescent="0.2">
      <c r="B39" s="10">
        <v>2024</v>
      </c>
      <c r="C39" s="11">
        <v>1.0823805332183838</v>
      </c>
      <c r="D39" s="11">
        <v>1.4683737754821777</v>
      </c>
      <c r="E39" s="11">
        <v>7.7904243469238281</v>
      </c>
      <c r="F39" s="11">
        <v>5.1795616149902344</v>
      </c>
    </row>
    <row r="40" spans="2:6" ht="16" x14ac:dyDescent="0.2">
      <c r="B40" s="10">
        <v>2025</v>
      </c>
      <c r="C40" s="11">
        <v>1.1786364316940308</v>
      </c>
      <c r="D40" s="11">
        <v>1.474915623664856</v>
      </c>
      <c r="E40" s="11">
        <v>8.4438695907592773</v>
      </c>
      <c r="F40" s="11">
        <v>5.0082645416259766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230"/>
  <sheetViews>
    <sheetView workbookViewId="0">
      <selection activeCell="D28" sqref="D28"/>
    </sheetView>
  </sheetViews>
  <sheetFormatPr baseColWidth="10" defaultColWidth="8.83203125" defaultRowHeight="15" x14ac:dyDescent="0.2"/>
  <cols>
    <col min="3" max="44" width="9" bestFit="1" customWidth="1"/>
    <col min="45" max="45" width="9.6640625" bestFit="1" customWidth="1"/>
    <col min="46" max="60" width="9" bestFit="1" customWidth="1"/>
    <col min="61" max="61" width="9.6640625" bestFit="1" customWidth="1"/>
    <col min="62" max="65" width="9" bestFit="1" customWidth="1"/>
    <col min="66" max="66" width="9.6640625" bestFit="1" customWidth="1"/>
    <col min="67" max="70" width="9" bestFit="1" customWidth="1"/>
  </cols>
  <sheetData>
    <row r="1" spans="1:70" ht="16" x14ac:dyDescent="0.2">
      <c r="A1" s="13" t="s">
        <v>573</v>
      </c>
    </row>
    <row r="3" spans="1:70" ht="16" x14ac:dyDescent="0.2">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row>
    <row r="4" spans="1:70" ht="68" x14ac:dyDescent="0.2">
      <c r="C4" s="9" t="s">
        <v>450</v>
      </c>
      <c r="D4" s="9" t="s">
        <v>226</v>
      </c>
      <c r="E4" s="9" t="s">
        <v>470</v>
      </c>
      <c r="F4" s="9" t="s">
        <v>229</v>
      </c>
      <c r="G4" s="9" t="s">
        <v>471</v>
      </c>
      <c r="H4" s="9" t="s">
        <v>472</v>
      </c>
      <c r="I4" s="9" t="s">
        <v>473</v>
      </c>
      <c r="J4" s="9" t="s">
        <v>230</v>
      </c>
      <c r="K4" s="9" t="s">
        <v>228</v>
      </c>
      <c r="L4" s="75" t="s">
        <v>264</v>
      </c>
      <c r="M4" s="75" t="s">
        <v>251</v>
      </c>
      <c r="N4" s="75" t="s">
        <v>283</v>
      </c>
      <c r="O4" s="75" t="s">
        <v>273</v>
      </c>
      <c r="P4" s="75" t="s">
        <v>276</v>
      </c>
      <c r="Q4" s="75" t="s">
        <v>278</v>
      </c>
      <c r="R4" s="75" t="s">
        <v>259</v>
      </c>
      <c r="S4" s="75" t="s">
        <v>246</v>
      </c>
      <c r="T4" s="75" t="s">
        <v>260</v>
      </c>
      <c r="U4" s="75" t="s">
        <v>474</v>
      </c>
      <c r="V4" s="75" t="s">
        <v>475</v>
      </c>
      <c r="W4" s="75" t="s">
        <v>256</v>
      </c>
      <c r="X4" s="75" t="s">
        <v>269</v>
      </c>
      <c r="Y4" s="75" t="s">
        <v>266</v>
      </c>
      <c r="Z4" s="75" t="s">
        <v>285</v>
      </c>
      <c r="AA4" s="75" t="s">
        <v>476</v>
      </c>
      <c r="AB4" s="75" t="s">
        <v>318</v>
      </c>
      <c r="AC4" s="75" t="s">
        <v>340</v>
      </c>
      <c r="AD4" s="75" t="s">
        <v>314</v>
      </c>
      <c r="AE4" s="75" t="s">
        <v>341</v>
      </c>
      <c r="AF4" s="75" t="s">
        <v>334</v>
      </c>
      <c r="AG4" s="75" t="s">
        <v>477</v>
      </c>
      <c r="AH4" s="75" t="s">
        <v>255</v>
      </c>
      <c r="AI4" s="75" t="s">
        <v>359</v>
      </c>
      <c r="AJ4" s="75" t="s">
        <v>339</v>
      </c>
      <c r="AK4" s="75" t="s">
        <v>365</v>
      </c>
      <c r="AL4" s="75" t="s">
        <v>376</v>
      </c>
      <c r="AM4" s="75" t="s">
        <v>270</v>
      </c>
      <c r="AN4" s="75" t="s">
        <v>303</v>
      </c>
      <c r="AO4" s="75" t="s">
        <v>478</v>
      </c>
      <c r="AP4" s="75" t="s">
        <v>442</v>
      </c>
      <c r="AQ4" s="75" t="s">
        <v>393</v>
      </c>
      <c r="AR4" s="75" t="s">
        <v>418</v>
      </c>
      <c r="AS4" s="75" t="s">
        <v>402</v>
      </c>
      <c r="AT4" s="75" t="s">
        <v>432</v>
      </c>
      <c r="AU4" s="75" t="s">
        <v>437</v>
      </c>
      <c r="AV4" s="75" t="s">
        <v>400</v>
      </c>
      <c r="AW4" s="75" t="s">
        <v>419</v>
      </c>
      <c r="AX4" s="75" t="s">
        <v>448</v>
      </c>
      <c r="AY4" s="75" t="s">
        <v>363</v>
      </c>
      <c r="AZ4" s="75" t="s">
        <v>479</v>
      </c>
      <c r="BA4" s="75" t="s">
        <v>290</v>
      </c>
      <c r="BB4" s="75" t="s">
        <v>480</v>
      </c>
      <c r="BC4" s="75" t="s">
        <v>328</v>
      </c>
      <c r="BD4" s="75" t="s">
        <v>284</v>
      </c>
      <c r="BE4" s="75" t="s">
        <v>279</v>
      </c>
      <c r="BF4" s="75" t="s">
        <v>252</v>
      </c>
      <c r="BG4" s="75" t="s">
        <v>481</v>
      </c>
      <c r="BH4" s="75" t="s">
        <v>383</v>
      </c>
      <c r="BI4" s="75" t="s">
        <v>382</v>
      </c>
      <c r="BJ4" s="75" t="s">
        <v>367</v>
      </c>
      <c r="BK4" s="75" t="s">
        <v>404</v>
      </c>
      <c r="BL4" s="75" t="s">
        <v>399</v>
      </c>
      <c r="BM4" s="75" t="s">
        <v>372</v>
      </c>
      <c r="BN4" s="75" t="s">
        <v>337</v>
      </c>
      <c r="BO4" s="75" t="s">
        <v>358</v>
      </c>
      <c r="BP4" s="75" t="s">
        <v>482</v>
      </c>
    </row>
    <row r="5" spans="1:70" x14ac:dyDescent="0.2">
      <c r="B5">
        <v>1800</v>
      </c>
      <c r="C5" s="12">
        <v>730.1724853515625</v>
      </c>
      <c r="D5" s="12">
        <v>1370.3826904296875</v>
      </c>
      <c r="E5" s="12">
        <v>1283.8404541015625</v>
      </c>
      <c r="F5" s="12">
        <v>843.061767578125</v>
      </c>
      <c r="G5" s="12">
        <v>640.56011962890625</v>
      </c>
      <c r="H5" s="12">
        <v>623.88970947265625</v>
      </c>
      <c r="I5" s="12">
        <v>630.09674072265625</v>
      </c>
      <c r="J5" s="12">
        <v>751.1754150390625</v>
      </c>
      <c r="K5" s="12">
        <v>785.3046875</v>
      </c>
      <c r="L5" s="12">
        <v>1810.455810546875</v>
      </c>
      <c r="M5" s="12">
        <v>1648.1160888671875</v>
      </c>
      <c r="N5" s="12">
        <v>1585.5115966796875</v>
      </c>
      <c r="O5" s="12">
        <v>1256.85302734375</v>
      </c>
      <c r="P5" s="12">
        <v>2975.635498046875</v>
      </c>
      <c r="Q5" s="12">
        <v>2109.243896484375</v>
      </c>
      <c r="R5" s="12">
        <v>2572.52490234375</v>
      </c>
      <c r="S5" s="12">
        <v>1622.7781982421875</v>
      </c>
      <c r="T5" s="12">
        <v>1089.9888916015625</v>
      </c>
      <c r="U5" s="12">
        <v>1593.211669921875</v>
      </c>
      <c r="V5" s="12">
        <v>646.917236328125</v>
      </c>
      <c r="W5" s="12">
        <v>1777.0096435546875</v>
      </c>
      <c r="X5" s="12">
        <v>1000.884521484375</v>
      </c>
      <c r="Y5" s="12">
        <v>847.40850830078125</v>
      </c>
      <c r="Z5" s="12">
        <v>761.20263671875</v>
      </c>
      <c r="AA5" s="12">
        <v>311.58297729492188</v>
      </c>
      <c r="AB5" s="12">
        <v>976.7523193359375</v>
      </c>
      <c r="AC5" s="12">
        <v>722.03460693359375</v>
      </c>
      <c r="AD5" s="12">
        <v>600.43572998046875</v>
      </c>
      <c r="AE5" s="12">
        <v>832.603515625</v>
      </c>
      <c r="AF5" s="12">
        <v>1052.4483642578125</v>
      </c>
      <c r="AG5" s="12">
        <v>544.885986328125</v>
      </c>
      <c r="AH5" s="12">
        <v>448.92169189453125</v>
      </c>
      <c r="AI5" s="12">
        <v>642.27850341796875</v>
      </c>
      <c r="AJ5" s="12">
        <v>804.677490234375</v>
      </c>
      <c r="AK5" s="12">
        <v>502.86456298828125</v>
      </c>
      <c r="AL5" s="12">
        <v>505.735107421875</v>
      </c>
      <c r="AM5" s="12">
        <v>1031.3004150390625</v>
      </c>
      <c r="AN5" s="12">
        <v>602.97613525390625</v>
      </c>
      <c r="AO5" s="12">
        <v>1014.0021362304688</v>
      </c>
      <c r="AP5" s="12">
        <v>905.353271484375</v>
      </c>
      <c r="AQ5" s="12">
        <v>627.019775390625</v>
      </c>
      <c r="AR5" s="12">
        <v>510.57070922851562</v>
      </c>
      <c r="AS5" s="12">
        <v>729.568603515625</v>
      </c>
      <c r="AT5" s="12">
        <v>671.06805419921875</v>
      </c>
      <c r="AU5" s="12">
        <v>659.458251953125</v>
      </c>
      <c r="AV5" s="12">
        <v>686.463623046875</v>
      </c>
      <c r="AW5" s="12">
        <v>391.74356079101562</v>
      </c>
      <c r="AX5" s="12">
        <v>329.47674560546875</v>
      </c>
      <c r="AY5" s="12">
        <v>2048.56689453125</v>
      </c>
      <c r="AZ5" s="12">
        <v>272.448974609375</v>
      </c>
      <c r="BA5" s="12">
        <v>807.11578369140625</v>
      </c>
      <c r="BB5" s="12">
        <v>655.9759521484375</v>
      </c>
      <c r="BC5" s="12">
        <v>745.72698974609375</v>
      </c>
      <c r="BD5" s="12">
        <v>807.8841552734375</v>
      </c>
      <c r="BE5" s="12">
        <v>564.92633056640625</v>
      </c>
      <c r="BF5" s="12">
        <v>762.37420654296875</v>
      </c>
      <c r="BG5" s="12">
        <v>1452.4775390625</v>
      </c>
      <c r="BH5" s="12">
        <v>1152.044921875</v>
      </c>
      <c r="BI5" s="12">
        <v>810.9002685546875</v>
      </c>
      <c r="BJ5" s="12">
        <v>562.22857666015625</v>
      </c>
      <c r="BK5" s="12">
        <v>320.7796630859375</v>
      </c>
      <c r="BL5" s="12">
        <v>908.58966064453125</v>
      </c>
      <c r="BM5" s="12">
        <v>884.09906005859375</v>
      </c>
      <c r="BN5" s="12">
        <v>791.96612548828125</v>
      </c>
      <c r="BO5" s="12">
        <v>636.47589111328125</v>
      </c>
      <c r="BP5" s="12">
        <v>1532.63916015625</v>
      </c>
      <c r="BQ5" s="12"/>
      <c r="BR5" s="12"/>
    </row>
    <row r="6" spans="1:70" x14ac:dyDescent="0.2">
      <c r="B6">
        <v>1801</v>
      </c>
      <c r="C6" s="12">
        <v>731.5965576171875</v>
      </c>
      <c r="D6" s="12">
        <v>1378.37451171875</v>
      </c>
      <c r="E6" s="12">
        <v>1306.8189697265625</v>
      </c>
      <c r="F6" s="12">
        <v>836.7926025390625</v>
      </c>
      <c r="G6" s="12">
        <v>643.39349365234375</v>
      </c>
      <c r="H6" s="12">
        <v>623.8642578125</v>
      </c>
      <c r="I6" s="12">
        <v>630.3201904296875</v>
      </c>
      <c r="J6" s="12">
        <v>749.06488037109375</v>
      </c>
      <c r="K6" s="12">
        <v>784.45794677734375</v>
      </c>
      <c r="L6" s="12">
        <v>1804.6395263671875</v>
      </c>
      <c r="M6" s="12">
        <v>1651.1864013671875</v>
      </c>
      <c r="N6" s="12">
        <v>1626.6402587890625</v>
      </c>
      <c r="O6" s="12">
        <v>1230.1875</v>
      </c>
      <c r="P6" s="12">
        <v>3085.050537109375</v>
      </c>
      <c r="Q6" s="12">
        <v>2109.727294921875</v>
      </c>
      <c r="R6" s="12">
        <v>2532.357666015625</v>
      </c>
      <c r="S6" s="12">
        <v>1626.026611328125</v>
      </c>
      <c r="T6" s="12">
        <v>1079.8599853515625</v>
      </c>
      <c r="U6" s="12">
        <v>1601.6669921875</v>
      </c>
      <c r="V6" s="12">
        <v>650.00054931640625</v>
      </c>
      <c r="W6" s="12">
        <v>1801.3028564453125</v>
      </c>
      <c r="X6" s="12">
        <v>1003.0455932617188</v>
      </c>
      <c r="Y6" s="12">
        <v>847.14874267578125</v>
      </c>
      <c r="Z6" s="12">
        <v>760.96929931640625</v>
      </c>
      <c r="AA6" s="12">
        <v>314.48196411132812</v>
      </c>
      <c r="AB6" s="12">
        <v>979.82855224609375</v>
      </c>
      <c r="AC6" s="12">
        <v>721.4251708984375</v>
      </c>
      <c r="AD6" s="12">
        <v>586.33306884765625</v>
      </c>
      <c r="AE6" s="12">
        <v>829.57135009765625</v>
      </c>
      <c r="AF6" s="12">
        <v>1046.451171875</v>
      </c>
      <c r="AG6" s="12">
        <v>535.26806640625</v>
      </c>
      <c r="AH6" s="12">
        <v>451.15591430664062</v>
      </c>
      <c r="AI6" s="12">
        <v>644.54119873046875</v>
      </c>
      <c r="AJ6" s="12">
        <v>807.52264404296875</v>
      </c>
      <c r="AK6" s="12">
        <v>504.64263916015625</v>
      </c>
      <c r="AL6" s="12">
        <v>506.864990234375</v>
      </c>
      <c r="AM6" s="12">
        <v>1043.59912109375</v>
      </c>
      <c r="AN6" s="12">
        <v>605.77789306640625</v>
      </c>
      <c r="AO6" s="12">
        <v>1018.365966796875</v>
      </c>
      <c r="AP6" s="12">
        <v>905.74176025390625</v>
      </c>
      <c r="AQ6" s="12">
        <v>627.288818359375</v>
      </c>
      <c r="AR6" s="12">
        <v>510.79000854492188</v>
      </c>
      <c r="AS6" s="12">
        <v>729.96051025390625</v>
      </c>
      <c r="AT6" s="12">
        <v>671.35589599609375</v>
      </c>
      <c r="AU6" s="12">
        <v>659.74114990234375</v>
      </c>
      <c r="AV6" s="12">
        <v>686.75811767578125</v>
      </c>
      <c r="AW6" s="12">
        <v>391.91183471679688</v>
      </c>
      <c r="AX6" s="12">
        <v>329.61813354492188</v>
      </c>
      <c r="AY6" s="12">
        <v>2042.828125</v>
      </c>
      <c r="AZ6" s="12">
        <v>272.45034790039062</v>
      </c>
      <c r="BA6" s="12">
        <v>807.39794921875</v>
      </c>
      <c r="BB6" s="12">
        <v>656.20538330078125</v>
      </c>
      <c r="BC6" s="12">
        <v>743.4400634765625</v>
      </c>
      <c r="BD6" s="12">
        <v>807.3419189453125</v>
      </c>
      <c r="BE6" s="12">
        <v>564.753173828125</v>
      </c>
      <c r="BF6" s="12">
        <v>762.140380859375</v>
      </c>
      <c r="BG6" s="12">
        <v>1448.37451171875</v>
      </c>
      <c r="BH6" s="12">
        <v>1148.2666015625</v>
      </c>
      <c r="BI6" s="12">
        <v>810.35992431640625</v>
      </c>
      <c r="BJ6" s="12">
        <v>562.04119873046875</v>
      </c>
      <c r="BK6" s="12">
        <v>320.61929321289062</v>
      </c>
      <c r="BL6" s="12">
        <v>905.60968017578125</v>
      </c>
      <c r="BM6" s="12">
        <v>884.56365966796875</v>
      </c>
      <c r="BN6" s="12">
        <v>791.57049560546875</v>
      </c>
      <c r="BO6" s="12">
        <v>636.26385498046875</v>
      </c>
      <c r="BP6" s="12">
        <v>1530.15380859375</v>
      </c>
      <c r="BQ6" s="12"/>
      <c r="BR6" s="12"/>
    </row>
    <row r="7" spans="1:70" x14ac:dyDescent="0.2">
      <c r="B7">
        <v>1802</v>
      </c>
      <c r="C7" s="12">
        <v>736.70184326171875</v>
      </c>
      <c r="D7" s="12">
        <v>1404.8836669921875</v>
      </c>
      <c r="E7" s="12">
        <v>1323.417724609375</v>
      </c>
      <c r="F7" s="12">
        <v>823.62664794921875</v>
      </c>
      <c r="G7" s="12">
        <v>646.0382080078125</v>
      </c>
      <c r="H7" s="12">
        <v>623.85211181640625</v>
      </c>
      <c r="I7" s="12">
        <v>630.3736572265625</v>
      </c>
      <c r="J7" s="12">
        <v>747.01953125</v>
      </c>
      <c r="K7" s="12">
        <v>780.7227783203125</v>
      </c>
      <c r="L7" s="12">
        <v>1820.7906494140625</v>
      </c>
      <c r="M7" s="12">
        <v>1654.0316162109375</v>
      </c>
      <c r="N7" s="12">
        <v>1609.7430419921875</v>
      </c>
      <c r="O7" s="12">
        <v>1256.6568603515625</v>
      </c>
      <c r="P7" s="12">
        <v>3225.4169921875</v>
      </c>
      <c r="Q7" s="12">
        <v>2106.360107421875</v>
      </c>
      <c r="R7" s="12">
        <v>2668.2783203125</v>
      </c>
      <c r="S7" s="12">
        <v>1628.737060546875</v>
      </c>
      <c r="T7" s="12">
        <v>1130.835693359375</v>
      </c>
      <c r="U7" s="12">
        <v>1628.77587890625</v>
      </c>
      <c r="V7" s="12">
        <v>660.77081298828125</v>
      </c>
      <c r="W7" s="12">
        <v>1815.4171142578125</v>
      </c>
      <c r="X7" s="12">
        <v>1005.260498046875</v>
      </c>
      <c r="Y7" s="12">
        <v>846.9300537109375</v>
      </c>
      <c r="Z7" s="12">
        <v>760.7728271484375</v>
      </c>
      <c r="AA7" s="12">
        <v>317.2705078125</v>
      </c>
      <c r="AB7" s="12">
        <v>982.7374267578125</v>
      </c>
      <c r="AC7" s="12">
        <v>720.494140625</v>
      </c>
      <c r="AD7" s="12">
        <v>582.4102783203125</v>
      </c>
      <c r="AE7" s="12">
        <v>841.22894287109375</v>
      </c>
      <c r="AF7" s="12">
        <v>1026.572265625</v>
      </c>
      <c r="AG7" s="12">
        <v>518.959716796875</v>
      </c>
      <c r="AH7" s="12">
        <v>453.4232177734375</v>
      </c>
      <c r="AI7" s="12">
        <v>646.696533203125</v>
      </c>
      <c r="AJ7" s="12">
        <v>810.01727294921875</v>
      </c>
      <c r="AK7" s="12">
        <v>506.2015380859375</v>
      </c>
      <c r="AL7" s="12">
        <v>507.90716552734375</v>
      </c>
      <c r="AM7" s="12">
        <v>1056.094970703125</v>
      </c>
      <c r="AN7" s="12">
        <v>608.43115234375</v>
      </c>
      <c r="AO7" s="12">
        <v>1022.435546875</v>
      </c>
      <c r="AP7" s="12">
        <v>906.1737060546875</v>
      </c>
      <c r="AQ7" s="12">
        <v>627.58856201171875</v>
      </c>
      <c r="AR7" s="12">
        <v>511.0338134765625</v>
      </c>
      <c r="AS7" s="12">
        <v>730.14227294921875</v>
      </c>
      <c r="AT7" s="12">
        <v>671.67669677734375</v>
      </c>
      <c r="AU7" s="12">
        <v>660.05645751953125</v>
      </c>
      <c r="AV7" s="12">
        <v>687.0863037109375</v>
      </c>
      <c r="AW7" s="12">
        <v>392.09890747070312</v>
      </c>
      <c r="AX7" s="12">
        <v>329.77593994140625</v>
      </c>
      <c r="AY7" s="12">
        <v>2036.7423095703125</v>
      </c>
      <c r="AZ7" s="12">
        <v>272.4649658203125</v>
      </c>
      <c r="BA7" s="12">
        <v>807.46282958984375</v>
      </c>
      <c r="BB7" s="12">
        <v>656.258056640625</v>
      </c>
      <c r="BC7" s="12">
        <v>741.19598388671875</v>
      </c>
      <c r="BD7" s="12">
        <v>807.13385009765625</v>
      </c>
      <c r="BE7" s="12">
        <v>564.60736083984375</v>
      </c>
      <c r="BF7" s="12">
        <v>761.9439697265625</v>
      </c>
      <c r="BG7" s="12">
        <v>1444.093017578125</v>
      </c>
      <c r="BH7" s="12">
        <v>1144.194580078125</v>
      </c>
      <c r="BI7" s="12">
        <v>805.52471923828125</v>
      </c>
      <c r="BJ7" s="12">
        <v>561.7548828125</v>
      </c>
      <c r="BK7" s="12">
        <v>320.3736572265625</v>
      </c>
      <c r="BL7" s="12">
        <v>902.39825439453125</v>
      </c>
      <c r="BM7" s="12">
        <v>884.52880859375</v>
      </c>
      <c r="BN7" s="12">
        <v>790.963623046875</v>
      </c>
      <c r="BO7" s="12">
        <v>635.9390869140625</v>
      </c>
      <c r="BP7" s="12">
        <v>1522.76806640625</v>
      </c>
      <c r="BQ7" s="12"/>
      <c r="BR7" s="12"/>
    </row>
    <row r="8" spans="1:70" x14ac:dyDescent="0.2">
      <c r="B8">
        <v>1803</v>
      </c>
      <c r="C8" s="12">
        <v>737.75115966796875</v>
      </c>
      <c r="D8" s="12">
        <v>1412.5325927734375</v>
      </c>
      <c r="E8" s="12">
        <v>1348.80908203125</v>
      </c>
      <c r="F8" s="12">
        <v>816.69805908203125</v>
      </c>
      <c r="G8" s="12">
        <v>648.8277587890625</v>
      </c>
      <c r="H8" s="12">
        <v>623.8759765625</v>
      </c>
      <c r="I8" s="12">
        <v>630.52899169921875</v>
      </c>
      <c r="J8" s="12">
        <v>745.02069091796875</v>
      </c>
      <c r="K8" s="12">
        <v>777.1639404296875</v>
      </c>
      <c r="L8" s="12">
        <v>1827.6009521484375</v>
      </c>
      <c r="M8" s="12">
        <v>1656.9805908203125</v>
      </c>
      <c r="N8" s="12">
        <v>1523.3563232421875</v>
      </c>
      <c r="O8" s="12">
        <v>1289.642333984375</v>
      </c>
      <c r="P8" s="12">
        <v>3262.23828125</v>
      </c>
      <c r="Q8" s="12">
        <v>2112.04931640625</v>
      </c>
      <c r="R8" s="12">
        <v>2612.19677734375</v>
      </c>
      <c r="S8" s="12">
        <v>1631.6842041015625</v>
      </c>
      <c r="T8" s="12">
        <v>1119.7117919921875</v>
      </c>
      <c r="U8" s="12">
        <v>1636.03857421875</v>
      </c>
      <c r="V8" s="12">
        <v>663.46954345703125</v>
      </c>
      <c r="W8" s="12">
        <v>1842.968017578125</v>
      </c>
      <c r="X8" s="12">
        <v>1007.534423828125</v>
      </c>
      <c r="Y8" s="12">
        <v>846.7574462890625</v>
      </c>
      <c r="Z8" s="12">
        <v>760.61785888671875</v>
      </c>
      <c r="AA8" s="12">
        <v>320.0423583984375</v>
      </c>
      <c r="AB8" s="12">
        <v>985.762939453125</v>
      </c>
      <c r="AC8" s="12">
        <v>719.75634765625</v>
      </c>
      <c r="AD8" s="12">
        <v>574.1007080078125</v>
      </c>
      <c r="AE8" s="12">
        <v>846.03790283203125</v>
      </c>
      <c r="AF8" s="12">
        <v>1018.0983276367188</v>
      </c>
      <c r="AG8" s="12">
        <v>507.96633911132812</v>
      </c>
      <c r="AH8" s="12">
        <v>455.72613525390625</v>
      </c>
      <c r="AI8" s="12">
        <v>648.92852783203125</v>
      </c>
      <c r="AJ8" s="12">
        <v>812.73565673828125</v>
      </c>
      <c r="AK8" s="12">
        <v>507.90032958984375</v>
      </c>
      <c r="AL8" s="12">
        <v>509.00564575195312</v>
      </c>
      <c r="AM8" s="12">
        <v>1068.798095703125</v>
      </c>
      <c r="AN8" s="12">
        <v>611.19256591796875</v>
      </c>
      <c r="AO8" s="12">
        <v>1026.713134765625</v>
      </c>
      <c r="AP8" s="12">
        <v>906.65594482421875</v>
      </c>
      <c r="AQ8" s="12">
        <v>627.92193603515625</v>
      </c>
      <c r="AR8" s="12">
        <v>511.30526733398438</v>
      </c>
      <c r="AS8" s="12">
        <v>730.39276123046875</v>
      </c>
      <c r="AT8" s="12">
        <v>672.0335693359375</v>
      </c>
      <c r="AU8" s="12">
        <v>660.40704345703125</v>
      </c>
      <c r="AV8" s="12">
        <v>687.4512939453125</v>
      </c>
      <c r="AW8" s="12">
        <v>392.30718994140625</v>
      </c>
      <c r="AX8" s="12">
        <v>329.95077514648438</v>
      </c>
      <c r="AY8" s="12">
        <v>2030.891845703125</v>
      </c>
      <c r="AZ8" s="12">
        <v>272.49404907226562</v>
      </c>
      <c r="BA8" s="12">
        <v>807.657958984375</v>
      </c>
      <c r="BB8" s="12">
        <v>656.4166259765625</v>
      </c>
      <c r="BC8" s="12">
        <v>738.9989013671875</v>
      </c>
      <c r="BD8" s="12">
        <v>806.969482421875</v>
      </c>
      <c r="BE8" s="12">
        <v>564.49237060546875</v>
      </c>
      <c r="BF8" s="12">
        <v>761.78851318359375</v>
      </c>
      <c r="BG8" s="12">
        <v>1439.976318359375</v>
      </c>
      <c r="BH8" s="12">
        <v>1140.31982421875</v>
      </c>
      <c r="BI8" s="12">
        <v>800.88922119140625</v>
      </c>
      <c r="BJ8" s="12">
        <v>561.5274658203125</v>
      </c>
      <c r="BK8" s="12">
        <v>320.1793212890625</v>
      </c>
      <c r="BL8" s="12">
        <v>899.34228515625</v>
      </c>
      <c r="BM8" s="12">
        <v>884.72705078125</v>
      </c>
      <c r="BN8" s="12">
        <v>790.48388671875</v>
      </c>
      <c r="BO8" s="12">
        <v>635.68218994140625</v>
      </c>
      <c r="BP8" s="12">
        <v>1515.6668701171875</v>
      </c>
      <c r="BQ8" s="12"/>
      <c r="BR8" s="12"/>
    </row>
    <row r="9" spans="1:70" x14ac:dyDescent="0.2">
      <c r="B9">
        <v>1804</v>
      </c>
      <c r="C9" s="12">
        <v>742.59429931640625</v>
      </c>
      <c r="D9" s="12">
        <v>1438.7713623046875</v>
      </c>
      <c r="E9" s="12">
        <v>1361.2886962890625</v>
      </c>
      <c r="F9" s="12">
        <v>808.17889404296875</v>
      </c>
      <c r="G9" s="12">
        <v>652.09124755859375</v>
      </c>
      <c r="H9" s="12">
        <v>620.66204833984375</v>
      </c>
      <c r="I9" s="12">
        <v>631.78570556640625</v>
      </c>
      <c r="J9" s="12">
        <v>743.18804931640625</v>
      </c>
      <c r="K9" s="12">
        <v>774.208740234375</v>
      </c>
      <c r="L9" s="12">
        <v>1833.384033203125</v>
      </c>
      <c r="M9" s="12">
        <v>1659.91259765625</v>
      </c>
      <c r="N9" s="12">
        <v>1567.8714599609375</v>
      </c>
      <c r="O9" s="12">
        <v>1334.06982421875</v>
      </c>
      <c r="P9" s="12">
        <v>3326.547119140625</v>
      </c>
      <c r="Q9" s="12">
        <v>2117.708251953125</v>
      </c>
      <c r="R9" s="12">
        <v>2734.8974609375</v>
      </c>
      <c r="S9" s="12">
        <v>1634.5849609375</v>
      </c>
      <c r="T9" s="12">
        <v>1047.0999755859375</v>
      </c>
      <c r="U9" s="12">
        <v>1666.1820068359375</v>
      </c>
      <c r="V9" s="12">
        <v>675.5948486328125</v>
      </c>
      <c r="W9" s="12">
        <v>1850.3248291015625</v>
      </c>
      <c r="X9" s="12">
        <v>1010.0269775390625</v>
      </c>
      <c r="Y9" s="12">
        <v>846.76361083984375</v>
      </c>
      <c r="Z9" s="12">
        <v>760.62335205078125</v>
      </c>
      <c r="AA9" s="12">
        <v>322.87701416015625</v>
      </c>
      <c r="AB9" s="12">
        <v>989.2149658203125</v>
      </c>
      <c r="AC9" s="12">
        <v>719.78179931640625</v>
      </c>
      <c r="AD9" s="12">
        <v>570.9189453125</v>
      </c>
      <c r="AE9" s="12">
        <v>856.79815673828125</v>
      </c>
      <c r="AF9" s="12">
        <v>998.78155517578125</v>
      </c>
      <c r="AG9" s="12">
        <v>502.887451171875</v>
      </c>
      <c r="AH9" s="12">
        <v>458.13650512695312</v>
      </c>
      <c r="AI9" s="12">
        <v>651.44073486328125</v>
      </c>
      <c r="AJ9" s="12">
        <v>816.31976318359375</v>
      </c>
      <c r="AK9" s="12">
        <v>510.14010620117188</v>
      </c>
      <c r="AL9" s="12">
        <v>510.32015991210938</v>
      </c>
      <c r="AM9" s="12">
        <v>1081.8798828125</v>
      </c>
      <c r="AN9" s="12">
        <v>614.35296630859375</v>
      </c>
      <c r="AO9" s="12">
        <v>1031.7728271484375</v>
      </c>
      <c r="AP9" s="12">
        <v>907.3270263671875</v>
      </c>
      <c r="AQ9" s="12">
        <v>628.38671875</v>
      </c>
      <c r="AR9" s="12">
        <v>511.6837158203125</v>
      </c>
      <c r="AS9" s="12">
        <v>731.03448486328125</v>
      </c>
      <c r="AT9" s="12">
        <v>672.53094482421875</v>
      </c>
      <c r="AU9" s="12">
        <v>660.8958740234375</v>
      </c>
      <c r="AV9" s="12">
        <v>687.960205078125</v>
      </c>
      <c r="AW9" s="12">
        <v>392.59759521484375</v>
      </c>
      <c r="AX9" s="12">
        <v>330.19503784179688</v>
      </c>
      <c r="AY9" s="12">
        <v>1956.38525390625</v>
      </c>
      <c r="AZ9" s="12">
        <v>271.17254638671875</v>
      </c>
      <c r="BA9" s="12">
        <v>809.2640380859375</v>
      </c>
      <c r="BB9" s="12">
        <v>657.721923828125</v>
      </c>
      <c r="BC9" s="12">
        <v>736.96380615234375</v>
      </c>
      <c r="BD9" s="12">
        <v>806.97540283203125</v>
      </c>
      <c r="BE9" s="12">
        <v>564.49639892578125</v>
      </c>
      <c r="BF9" s="12">
        <v>761.79400634765625</v>
      </c>
      <c r="BG9" s="12">
        <v>1436.4759521484375</v>
      </c>
      <c r="BH9" s="12">
        <v>1137.172607421875</v>
      </c>
      <c r="BI9" s="12">
        <v>796.94873046875</v>
      </c>
      <c r="BJ9" s="12">
        <v>561.53558349609375</v>
      </c>
      <c r="BK9" s="12">
        <v>320.18624877929688</v>
      </c>
      <c r="BL9" s="12">
        <v>896.86004638671875</v>
      </c>
      <c r="BM9" s="12">
        <v>884.8759765625</v>
      </c>
      <c r="BN9" s="12">
        <v>790.50103759765625</v>
      </c>
      <c r="BO9" s="12">
        <v>635.69140625</v>
      </c>
      <c r="BP9" s="12">
        <v>1509.5574951171875</v>
      </c>
      <c r="BQ9" s="12"/>
      <c r="BR9" s="12"/>
    </row>
    <row r="10" spans="1:70" x14ac:dyDescent="0.2">
      <c r="B10">
        <v>1805</v>
      </c>
      <c r="C10" s="12">
        <v>746.4071044921875</v>
      </c>
      <c r="D10" s="12">
        <v>1463.416259765625</v>
      </c>
      <c r="E10" s="12">
        <v>1382.4810791015625</v>
      </c>
      <c r="F10" s="12">
        <v>797.6541748046875</v>
      </c>
      <c r="G10" s="12">
        <v>654.68927001953125</v>
      </c>
      <c r="H10" s="12">
        <v>615.841552734375</v>
      </c>
      <c r="I10" s="12">
        <v>631.94927978515625</v>
      </c>
      <c r="J10" s="12">
        <v>741.15423583984375</v>
      </c>
      <c r="K10" s="12">
        <v>770.4310302734375</v>
      </c>
      <c r="L10" s="12">
        <v>1748.9912109375</v>
      </c>
      <c r="M10" s="12">
        <v>1662.753662109375</v>
      </c>
      <c r="N10" s="12">
        <v>1721.437744140625</v>
      </c>
      <c r="O10" s="12">
        <v>1417.23193359375</v>
      </c>
      <c r="P10" s="12">
        <v>3350.351806640625</v>
      </c>
      <c r="Q10" s="12">
        <v>2118.651123046875</v>
      </c>
      <c r="R10" s="12">
        <v>2573.37158203125</v>
      </c>
      <c r="S10" s="12">
        <v>1637.262939453125</v>
      </c>
      <c r="T10" s="12">
        <v>1113.2093505859375</v>
      </c>
      <c r="U10" s="12">
        <v>1695.47216796875</v>
      </c>
      <c r="V10" s="12">
        <v>687.24676513671875</v>
      </c>
      <c r="W10" s="12">
        <v>1870.960693359375</v>
      </c>
      <c r="X10" s="12">
        <v>1012.2147827148438</v>
      </c>
      <c r="Y10" s="12">
        <v>846.50982666015625</v>
      </c>
      <c r="Z10" s="12">
        <v>760.39532470703125</v>
      </c>
      <c r="AA10" s="12">
        <v>325.54116821289062</v>
      </c>
      <c r="AB10" s="12">
        <v>992.0673828125</v>
      </c>
      <c r="AC10" s="12">
        <v>718.69854736328125</v>
      </c>
      <c r="AD10" s="12">
        <v>567.71124267578125</v>
      </c>
      <c r="AE10" s="12">
        <v>869.65625</v>
      </c>
      <c r="AF10" s="12">
        <v>984.4974365234375</v>
      </c>
      <c r="AG10" s="12">
        <v>487.15643310546875</v>
      </c>
      <c r="AH10" s="12">
        <v>460.41976928710938</v>
      </c>
      <c r="AI10" s="12">
        <v>653.5648193359375</v>
      </c>
      <c r="AJ10" s="12">
        <v>818.66748046875</v>
      </c>
      <c r="AK10" s="12">
        <v>511.60733032226562</v>
      </c>
      <c r="AL10" s="12">
        <v>511.32669067382812</v>
      </c>
      <c r="AM10" s="12">
        <v>1094.7889404296875</v>
      </c>
      <c r="AN10" s="12">
        <v>616.96575927734375</v>
      </c>
      <c r="AO10" s="12">
        <v>1035.751953125</v>
      </c>
      <c r="AP10" s="12">
        <v>907.72149658203125</v>
      </c>
      <c r="AQ10" s="12">
        <v>628.6605224609375</v>
      </c>
      <c r="AR10" s="12">
        <v>511.90695190429688</v>
      </c>
      <c r="AS10" s="12">
        <v>731.26104736328125</v>
      </c>
      <c r="AT10" s="12">
        <v>672.823974609375</v>
      </c>
      <c r="AU10" s="12">
        <v>661.18377685546875</v>
      </c>
      <c r="AV10" s="12">
        <v>688.25982666015625</v>
      </c>
      <c r="AW10" s="12">
        <v>392.76882934570312</v>
      </c>
      <c r="AX10" s="12">
        <v>330.3392333984375</v>
      </c>
      <c r="AY10" s="12">
        <v>1852.2462158203125</v>
      </c>
      <c r="AZ10" s="12">
        <v>269.18585205078125</v>
      </c>
      <c r="BA10" s="12">
        <v>809.4696044921875</v>
      </c>
      <c r="BB10" s="12">
        <v>657.88916015625</v>
      </c>
      <c r="BC10" s="12">
        <v>734.708740234375</v>
      </c>
      <c r="BD10" s="12">
        <v>807.02716064453125</v>
      </c>
      <c r="BE10" s="12">
        <v>564.32720947265625</v>
      </c>
      <c r="BF10" s="12">
        <v>761.565673828125</v>
      </c>
      <c r="BG10" s="12">
        <v>1432.1488037109375</v>
      </c>
      <c r="BH10" s="12">
        <v>1132.9976806640625</v>
      </c>
      <c r="BI10" s="12">
        <v>792.06024169921875</v>
      </c>
      <c r="BJ10" s="12">
        <v>561.20220947265625</v>
      </c>
      <c r="BK10" s="12">
        <v>319.90045166015625</v>
      </c>
      <c r="BL10" s="12">
        <v>893.56744384765625</v>
      </c>
      <c r="BM10" s="12">
        <v>884.7559814453125</v>
      </c>
      <c r="BN10" s="12">
        <v>789.7957763671875</v>
      </c>
      <c r="BO10" s="12">
        <v>635.31341552734375</v>
      </c>
      <c r="BP10" s="12">
        <v>1502.1072998046875</v>
      </c>
      <c r="BQ10" s="12"/>
      <c r="BR10" s="12"/>
    </row>
    <row r="11" spans="1:70" x14ac:dyDescent="0.2">
      <c r="B11">
        <v>1806</v>
      </c>
      <c r="C11" s="12">
        <v>750.903076171875</v>
      </c>
      <c r="D11" s="12">
        <v>1486.604248046875</v>
      </c>
      <c r="E11" s="12">
        <v>1394.625</v>
      </c>
      <c r="F11" s="12">
        <v>790.07611083984375</v>
      </c>
      <c r="G11" s="12">
        <v>657.97454833984375</v>
      </c>
      <c r="H11" s="12">
        <v>616.23480224609375</v>
      </c>
      <c r="I11" s="12">
        <v>632.49176025390625</v>
      </c>
      <c r="J11" s="12">
        <v>739.3468017578125</v>
      </c>
      <c r="K11" s="12">
        <v>767.61029052734375</v>
      </c>
      <c r="L11" s="12">
        <v>1762.4622802734375</v>
      </c>
      <c r="M11" s="12">
        <v>1665.6854248046875</v>
      </c>
      <c r="N11" s="12">
        <v>1811.8375244140625</v>
      </c>
      <c r="O11" s="12">
        <v>1490.4400634765625</v>
      </c>
      <c r="P11" s="12">
        <v>3309.57275390625</v>
      </c>
      <c r="Q11" s="12">
        <v>2118.030029296875</v>
      </c>
      <c r="R11" s="12">
        <v>2592.060546875</v>
      </c>
      <c r="S11" s="12">
        <v>1640.1488037109375</v>
      </c>
      <c r="T11" s="12">
        <v>1125.976318359375</v>
      </c>
      <c r="U11" s="12">
        <v>1723.583984375</v>
      </c>
      <c r="V11" s="12">
        <v>698.55230712890625</v>
      </c>
      <c r="W11" s="12">
        <v>1877.6558837890625</v>
      </c>
      <c r="X11" s="12">
        <v>1014.7108764648438</v>
      </c>
      <c r="Y11" s="12">
        <v>846.5091552734375</v>
      </c>
      <c r="Z11" s="12">
        <v>760.39483642578125</v>
      </c>
      <c r="AA11" s="12">
        <v>328.20404052734375</v>
      </c>
      <c r="AB11" s="12">
        <v>995.52777099609375</v>
      </c>
      <c r="AC11" s="12">
        <v>718.6968994140625</v>
      </c>
      <c r="AD11" s="12">
        <v>561.5926513671875</v>
      </c>
      <c r="AE11" s="12">
        <v>875.86346435546875</v>
      </c>
      <c r="AF11" s="12">
        <v>967.5911865234375</v>
      </c>
      <c r="AG11" s="12">
        <v>482.32473754882812</v>
      </c>
      <c r="AH11" s="12">
        <v>462.85134887695312</v>
      </c>
      <c r="AI11" s="12">
        <v>656.084716796875</v>
      </c>
      <c r="AJ11" s="12">
        <v>822.246337890625</v>
      </c>
      <c r="AK11" s="12">
        <v>513.84381103515625</v>
      </c>
      <c r="AL11" s="12">
        <v>512.63909912109375</v>
      </c>
      <c r="AM11" s="12">
        <v>1108.18017578125</v>
      </c>
      <c r="AN11" s="12">
        <v>620.14154052734375</v>
      </c>
      <c r="AO11" s="12">
        <v>1040.8348388671875</v>
      </c>
      <c r="AP11" s="12">
        <v>908.38800048828125</v>
      </c>
      <c r="AQ11" s="12">
        <v>629.12152099609375</v>
      </c>
      <c r="AR11" s="12">
        <v>512.2818603515625</v>
      </c>
      <c r="AS11" s="12">
        <v>731.86578369140625</v>
      </c>
      <c r="AT11" s="12">
        <v>673.3173828125</v>
      </c>
      <c r="AU11" s="12">
        <v>661.668701171875</v>
      </c>
      <c r="AV11" s="12">
        <v>688.76458740234375</v>
      </c>
      <c r="AW11" s="12">
        <v>393.05645751953125</v>
      </c>
      <c r="AX11" s="12">
        <v>330.58111572265625</v>
      </c>
      <c r="AY11" s="12">
        <v>1852.2437744140625</v>
      </c>
      <c r="AZ11" s="12">
        <v>269.36508178710938</v>
      </c>
      <c r="BA11" s="12">
        <v>810.16162109375</v>
      </c>
      <c r="BB11" s="12">
        <v>658.45111083984375</v>
      </c>
      <c r="BC11" s="12">
        <v>732.67962646484375</v>
      </c>
      <c r="BD11" s="12">
        <v>807.02642822265625</v>
      </c>
      <c r="BE11" s="12">
        <v>564.3267822265625</v>
      </c>
      <c r="BF11" s="12">
        <v>761.5650634765625</v>
      </c>
      <c r="BG11" s="12">
        <v>1428.6669921875</v>
      </c>
      <c r="BH11" s="12">
        <v>1129.843994140625</v>
      </c>
      <c r="BI11" s="12">
        <v>788.138427734375</v>
      </c>
      <c r="BJ11" s="12">
        <v>561.2015380859375</v>
      </c>
      <c r="BK11" s="12">
        <v>319.90017700195312</v>
      </c>
      <c r="BL11" s="12">
        <v>891.08026123046875</v>
      </c>
      <c r="BM11" s="12">
        <v>892.41455078125</v>
      </c>
      <c r="BN11" s="12">
        <v>789.79437255859375</v>
      </c>
      <c r="BO11" s="12">
        <v>635.313232421875</v>
      </c>
      <c r="BP11" s="12">
        <v>1496.043212890625</v>
      </c>
      <c r="BQ11" s="12"/>
      <c r="BR11" s="12"/>
    </row>
    <row r="12" spans="1:70" x14ac:dyDescent="0.2">
      <c r="B12">
        <v>1807</v>
      </c>
      <c r="C12" s="12">
        <v>752.69775390625</v>
      </c>
      <c r="D12" s="12">
        <v>1495.4688720703125</v>
      </c>
      <c r="E12" s="12">
        <v>1411.4202880859375</v>
      </c>
      <c r="F12" s="12">
        <v>778.20184326171875</v>
      </c>
      <c r="G12" s="12">
        <v>661.250732421875</v>
      </c>
      <c r="H12" s="12">
        <v>624.28045654296875</v>
      </c>
      <c r="I12" s="12">
        <v>633.02459716796875</v>
      </c>
      <c r="J12" s="12">
        <v>737.53643798828125</v>
      </c>
      <c r="K12" s="12">
        <v>764.67938232421875</v>
      </c>
      <c r="L12" s="12">
        <v>1764.6334228515625</v>
      </c>
      <c r="M12" s="12">
        <v>1668.61328125</v>
      </c>
      <c r="N12" s="12">
        <v>1835.09033203125</v>
      </c>
      <c r="O12" s="12">
        <v>1573.003662109375</v>
      </c>
      <c r="P12" s="12">
        <v>3227.81689453125</v>
      </c>
      <c r="Q12" s="12">
        <v>2119.155517578125</v>
      </c>
      <c r="R12" s="12">
        <v>2376.8828125</v>
      </c>
      <c r="S12" s="12">
        <v>1643.0181884765625</v>
      </c>
      <c r="T12" s="12">
        <v>1078.879638671875</v>
      </c>
      <c r="U12" s="12">
        <v>1736.06103515625</v>
      </c>
      <c r="V12" s="12">
        <v>703.523681640625</v>
      </c>
      <c r="W12" s="12">
        <v>1891.3128662109375</v>
      </c>
      <c r="X12" s="12">
        <v>1017.2048950195312</v>
      </c>
      <c r="Y12" s="12">
        <v>846.50164794921875</v>
      </c>
      <c r="Z12" s="12">
        <v>760.3880615234375</v>
      </c>
      <c r="AA12" s="12">
        <v>330.67608642578125</v>
      </c>
      <c r="AB12" s="12">
        <v>998.98028564453125</v>
      </c>
      <c r="AC12" s="12">
        <v>718.6658935546875</v>
      </c>
      <c r="AD12" s="12">
        <v>550.8807373046875</v>
      </c>
      <c r="AE12" s="12">
        <v>874.64532470703125</v>
      </c>
      <c r="AF12" s="12">
        <v>943.42510986328125</v>
      </c>
      <c r="AG12" s="12">
        <v>474.62380981445312</v>
      </c>
      <c r="AH12" s="12">
        <v>465.29208374023438</v>
      </c>
      <c r="AI12" s="12">
        <v>658.6036376953125</v>
      </c>
      <c r="AJ12" s="12">
        <v>825.80572509765625</v>
      </c>
      <c r="AK12" s="12">
        <v>516.06817626953125</v>
      </c>
      <c r="AL12" s="12">
        <v>513.9466552734375</v>
      </c>
      <c r="AM12" s="12">
        <v>1121.7259521484375</v>
      </c>
      <c r="AN12" s="12">
        <v>623.318603515625</v>
      </c>
      <c r="AO12" s="12">
        <v>1045.9185791015625</v>
      </c>
      <c r="AP12" s="12">
        <v>909.0445556640625</v>
      </c>
      <c r="AQ12" s="12">
        <v>629.5767822265625</v>
      </c>
      <c r="AR12" s="12">
        <v>512.65283203125</v>
      </c>
      <c r="AS12" s="12">
        <v>732.48895263671875</v>
      </c>
      <c r="AT12" s="12">
        <v>673.8046875</v>
      </c>
      <c r="AU12" s="12">
        <v>662.1475830078125</v>
      </c>
      <c r="AV12" s="12">
        <v>689.2630615234375</v>
      </c>
      <c r="AW12" s="12">
        <v>393.34112548828125</v>
      </c>
      <c r="AX12" s="12">
        <v>330.8206787109375</v>
      </c>
      <c r="AY12" s="12">
        <v>2008.6798095703125</v>
      </c>
      <c r="AZ12" s="12">
        <v>272.72830200195312</v>
      </c>
      <c r="BA12" s="12">
        <v>810.83978271484375</v>
      </c>
      <c r="BB12" s="12">
        <v>659.002685546875</v>
      </c>
      <c r="BC12" s="12">
        <v>730.650146484375</v>
      </c>
      <c r="BD12" s="12">
        <v>807.0198974609375</v>
      </c>
      <c r="BE12" s="12">
        <v>564.32177734375</v>
      </c>
      <c r="BF12" s="12">
        <v>761.55853271484375</v>
      </c>
      <c r="BG12" s="12">
        <v>1425.1573486328125</v>
      </c>
      <c r="BH12" s="12">
        <v>1126.671630859375</v>
      </c>
      <c r="BI12" s="12">
        <v>784.21044921875</v>
      </c>
      <c r="BJ12" s="12">
        <v>561.19195556640625</v>
      </c>
      <c r="BK12" s="12">
        <v>319.89163208007812</v>
      </c>
      <c r="BL12" s="12">
        <v>888.5782470703125</v>
      </c>
      <c r="BM12" s="12">
        <v>892.31573486328125</v>
      </c>
      <c r="BN12" s="12">
        <v>789.7735595703125</v>
      </c>
      <c r="BO12" s="12">
        <v>635.3017578125</v>
      </c>
      <c r="BP12" s="12">
        <v>1489.9764404296875</v>
      </c>
      <c r="BQ12" s="12"/>
      <c r="BR12" s="12"/>
    </row>
    <row r="13" spans="1:70" x14ac:dyDescent="0.2">
      <c r="B13">
        <v>1808</v>
      </c>
      <c r="C13" s="12">
        <v>753.07855224609375</v>
      </c>
      <c r="D13" s="12">
        <v>1501.9034423828125</v>
      </c>
      <c r="E13" s="12">
        <v>1429.0985107421875</v>
      </c>
      <c r="F13" s="12">
        <v>766.48095703125</v>
      </c>
      <c r="G13" s="12">
        <v>664.57257080078125</v>
      </c>
      <c r="H13" s="12">
        <v>612.426513671875</v>
      </c>
      <c r="I13" s="12">
        <v>633.56451416015625</v>
      </c>
      <c r="J13" s="12">
        <v>735.73980712890625</v>
      </c>
      <c r="K13" s="12">
        <v>761.78070068359375</v>
      </c>
      <c r="L13" s="12">
        <v>1821.8212890625</v>
      </c>
      <c r="M13" s="12">
        <v>1671.5521240234375</v>
      </c>
      <c r="N13" s="12">
        <v>1860.2451171875</v>
      </c>
      <c r="O13" s="12">
        <v>1579.059814453125</v>
      </c>
      <c r="P13" s="12">
        <v>3216.16357421875</v>
      </c>
      <c r="Q13" s="12">
        <v>2114.95751953125</v>
      </c>
      <c r="R13" s="12">
        <v>2228.16650390625</v>
      </c>
      <c r="S13" s="12">
        <v>1645.906494140625</v>
      </c>
      <c r="T13" s="12">
        <v>1021.4189453125</v>
      </c>
      <c r="U13" s="12">
        <v>1744.0194091796875</v>
      </c>
      <c r="V13" s="12">
        <v>706.66162109375</v>
      </c>
      <c r="W13" s="12">
        <v>1906.697265625</v>
      </c>
      <c r="X13" s="12">
        <v>1019.7102661132812</v>
      </c>
      <c r="Y13" s="12">
        <v>846.4986572265625</v>
      </c>
      <c r="Z13" s="12">
        <v>760.38531494140625</v>
      </c>
      <c r="AA13" s="12">
        <v>333.36154174804688</v>
      </c>
      <c r="AB13" s="12">
        <v>1002.4559326171875</v>
      </c>
      <c r="AC13" s="12">
        <v>718.651123046875</v>
      </c>
      <c r="AD13" s="12">
        <v>536.42706298828125</v>
      </c>
      <c r="AE13" s="12">
        <v>866.8941650390625</v>
      </c>
      <c r="AF13" s="12">
        <v>920.0748291015625</v>
      </c>
      <c r="AG13" s="12">
        <v>466.97525024414062</v>
      </c>
      <c r="AH13" s="12">
        <v>467.74807739257812</v>
      </c>
      <c r="AI13" s="12">
        <v>661.13897705078125</v>
      </c>
      <c r="AJ13" s="12">
        <v>829.40228271484375</v>
      </c>
      <c r="AK13" s="12">
        <v>518.3157958984375</v>
      </c>
      <c r="AL13" s="12">
        <v>515.26275634765625</v>
      </c>
      <c r="AM13" s="12">
        <v>1135.4432373046875</v>
      </c>
      <c r="AN13" s="12">
        <v>626.52081298828125</v>
      </c>
      <c r="AO13" s="12">
        <v>1051.0474853515625</v>
      </c>
      <c r="AP13" s="12">
        <v>909.710205078125</v>
      </c>
      <c r="AQ13" s="12">
        <v>630.0361328125</v>
      </c>
      <c r="AR13" s="12">
        <v>513.02679443359375</v>
      </c>
      <c r="AS13" s="12">
        <v>733.11431884765625</v>
      </c>
      <c r="AT13" s="12">
        <v>674.296142578125</v>
      </c>
      <c r="AU13" s="12">
        <v>662.63055419921875</v>
      </c>
      <c r="AV13" s="12">
        <v>689.765869140625</v>
      </c>
      <c r="AW13" s="12">
        <v>393.62802124023438</v>
      </c>
      <c r="AX13" s="12">
        <v>331.06170654296875</v>
      </c>
      <c r="AY13" s="12">
        <v>1758.585205078125</v>
      </c>
      <c r="AZ13" s="12">
        <v>267.81146240234375</v>
      </c>
      <c r="BA13" s="12">
        <v>811.52740478515625</v>
      </c>
      <c r="BB13" s="12">
        <v>659.5615234375</v>
      </c>
      <c r="BC13" s="12">
        <v>728.63018798828125</v>
      </c>
      <c r="BD13" s="12">
        <v>807.01690673828125</v>
      </c>
      <c r="BE13" s="12">
        <v>564.31976318359375</v>
      </c>
      <c r="BF13" s="12">
        <v>764.730712890625</v>
      </c>
      <c r="BG13" s="12">
        <v>1421.723876953125</v>
      </c>
      <c r="BH13" s="12">
        <v>1123.5255126953125</v>
      </c>
      <c r="BI13" s="12">
        <v>780.31805419921875</v>
      </c>
      <c r="BJ13" s="12">
        <v>561.1873779296875</v>
      </c>
      <c r="BK13" s="12">
        <v>319.88818359375</v>
      </c>
      <c r="BL13" s="12">
        <v>886.09698486328125</v>
      </c>
      <c r="BM13" s="12">
        <v>892.275146484375</v>
      </c>
      <c r="BN13" s="12">
        <v>789.7652587890625</v>
      </c>
      <c r="BO13" s="12">
        <v>635.2972412109375</v>
      </c>
      <c r="BP13" s="12">
        <v>1483.9654541015625</v>
      </c>
      <c r="BQ13" s="12"/>
      <c r="BR13" s="12"/>
    </row>
    <row r="14" spans="1:70" x14ac:dyDescent="0.2">
      <c r="B14">
        <v>1809</v>
      </c>
      <c r="C14" s="12">
        <v>750.4803466796875</v>
      </c>
      <c r="D14" s="12">
        <v>1491.62109375</v>
      </c>
      <c r="E14" s="12">
        <v>1442.8023681640625</v>
      </c>
      <c r="F14" s="12">
        <v>753.697265625</v>
      </c>
      <c r="G14" s="12">
        <v>667.95263671875</v>
      </c>
      <c r="H14" s="12">
        <v>610.85687255859375</v>
      </c>
      <c r="I14" s="12">
        <v>634.1319580078125</v>
      </c>
      <c r="J14" s="12">
        <v>733.92974853515625</v>
      </c>
      <c r="K14" s="12">
        <v>759.11083984375</v>
      </c>
      <c r="L14" s="12">
        <v>1863.138427734375</v>
      </c>
      <c r="M14" s="12">
        <v>1674.52001953125</v>
      </c>
      <c r="N14" s="12">
        <v>1685.972412109375</v>
      </c>
      <c r="O14" s="12">
        <v>1544.680419921875</v>
      </c>
      <c r="P14" s="12">
        <v>3219.019287109375</v>
      </c>
      <c r="Q14" s="12">
        <v>2110.85595703125</v>
      </c>
      <c r="R14" s="12">
        <v>2453.38623046875</v>
      </c>
      <c r="S14" s="12">
        <v>1648.8565673828125</v>
      </c>
      <c r="T14" s="12">
        <v>974.3643798828125</v>
      </c>
      <c r="U14" s="12">
        <v>1729.70751953125</v>
      </c>
      <c r="V14" s="12">
        <v>700.760009765625</v>
      </c>
      <c r="W14" s="12">
        <v>1916.185791015625</v>
      </c>
      <c r="X14" s="12">
        <v>1022.24365234375</v>
      </c>
      <c r="Y14" s="12">
        <v>846.513671875</v>
      </c>
      <c r="Z14" s="12">
        <v>760.39910888671875</v>
      </c>
      <c r="AA14" s="12">
        <v>336.16403198242188</v>
      </c>
      <c r="AB14" s="12">
        <v>1005.9895629882812</v>
      </c>
      <c r="AC14" s="12">
        <v>718.71600341796875</v>
      </c>
      <c r="AD14" s="12">
        <v>515.43731689453125</v>
      </c>
      <c r="AE14" s="12">
        <v>853.638671875</v>
      </c>
      <c r="AF14" s="12">
        <v>894.34759521484375</v>
      </c>
      <c r="AG14" s="12">
        <v>459.48114013671875</v>
      </c>
      <c r="AH14" s="12">
        <v>470.22695922851562</v>
      </c>
      <c r="AI14" s="12">
        <v>663.71270751953125</v>
      </c>
      <c r="AJ14" s="12">
        <v>833.10394287109375</v>
      </c>
      <c r="AK14" s="12">
        <v>520.62872314453125</v>
      </c>
      <c r="AL14" s="12">
        <v>516.6041259765625</v>
      </c>
      <c r="AM14" s="12">
        <v>1149.353271484375</v>
      </c>
      <c r="AN14" s="12">
        <v>629.78021240234375</v>
      </c>
      <c r="AO14" s="12">
        <v>1056.2872314453125</v>
      </c>
      <c r="AP14" s="12">
        <v>910.39129638671875</v>
      </c>
      <c r="AQ14" s="12">
        <v>630.50897216796875</v>
      </c>
      <c r="AR14" s="12">
        <v>513.412109375</v>
      </c>
      <c r="AS14" s="12">
        <v>733.75775146484375</v>
      </c>
      <c r="AT14" s="12">
        <v>674.80224609375</v>
      </c>
      <c r="AU14" s="12">
        <v>663.1279296875</v>
      </c>
      <c r="AV14" s="12">
        <v>690.2835693359375</v>
      </c>
      <c r="AW14" s="12">
        <v>393.9237060546875</v>
      </c>
      <c r="AX14" s="12">
        <v>331.31021118164062</v>
      </c>
      <c r="AY14" s="12">
        <v>1718.5267333984375</v>
      </c>
      <c r="AZ14" s="12">
        <v>267.17279052734375</v>
      </c>
      <c r="BA14" s="12">
        <v>812.2503662109375</v>
      </c>
      <c r="BB14" s="12">
        <v>660.149169921875</v>
      </c>
      <c r="BC14" s="12">
        <v>726.631591796875</v>
      </c>
      <c r="BD14" s="12">
        <v>807.03143310546875</v>
      </c>
      <c r="BE14" s="12">
        <v>564.33001708984375</v>
      </c>
      <c r="BF14" s="12">
        <v>761.5693359375</v>
      </c>
      <c r="BG14" s="12">
        <v>1418.3607177734375</v>
      </c>
      <c r="BH14" s="12">
        <v>1120.4600830078125</v>
      </c>
      <c r="BI14" s="12">
        <v>776.5115966796875</v>
      </c>
      <c r="BJ14" s="12">
        <v>561.20721435546875</v>
      </c>
      <c r="BK14" s="12">
        <v>319.9051513671875</v>
      </c>
      <c r="BL14" s="12">
        <v>883.67950439453125</v>
      </c>
      <c r="BM14" s="12">
        <v>902.30517578125</v>
      </c>
      <c r="BN14" s="12">
        <v>789.80718994140625</v>
      </c>
      <c r="BO14" s="12">
        <v>635.31964111328125</v>
      </c>
      <c r="BP14" s="12">
        <v>1478.0849609375</v>
      </c>
      <c r="BQ14" s="12"/>
      <c r="BR14" s="12"/>
    </row>
    <row r="15" spans="1:70" x14ac:dyDescent="0.2">
      <c r="B15">
        <v>1810</v>
      </c>
      <c r="C15" s="12">
        <v>745.4156494140625</v>
      </c>
      <c r="D15" s="12">
        <v>1465.7872314453125</v>
      </c>
      <c r="E15" s="12">
        <v>1459.7647705078125</v>
      </c>
      <c r="F15" s="12">
        <v>735.74407958984375</v>
      </c>
      <c r="G15" s="12">
        <v>671.17034912109375</v>
      </c>
      <c r="H15" s="12">
        <v>620.0838623046875</v>
      </c>
      <c r="I15" s="12">
        <v>634.59716796875</v>
      </c>
      <c r="J15" s="12">
        <v>732.078125</v>
      </c>
      <c r="K15" s="12">
        <v>756.07769775390625</v>
      </c>
      <c r="L15" s="12">
        <v>1944.3271484375</v>
      </c>
      <c r="M15" s="12">
        <v>1677.404296875</v>
      </c>
      <c r="N15" s="12">
        <v>1594.3341064453125</v>
      </c>
      <c r="O15" s="12">
        <v>1461.8050537109375</v>
      </c>
      <c r="P15" s="12">
        <v>3122.399169921875</v>
      </c>
      <c r="Q15" s="12">
        <v>2103.467529296875</v>
      </c>
      <c r="R15" s="12">
        <v>2426.64404296875</v>
      </c>
      <c r="S15" s="12">
        <v>1651.60009765625</v>
      </c>
      <c r="T15" s="12">
        <v>1053.26708984375</v>
      </c>
      <c r="U15" s="12">
        <v>1695.1817626953125</v>
      </c>
      <c r="V15" s="12">
        <v>687.98638916015625</v>
      </c>
      <c r="W15" s="12">
        <v>1930.6090087890625</v>
      </c>
      <c r="X15" s="12">
        <v>1024.700927734375</v>
      </c>
      <c r="Y15" s="12">
        <v>846.46112060546875</v>
      </c>
      <c r="Z15" s="12">
        <v>760.351318359375</v>
      </c>
      <c r="AA15" s="12">
        <v>339.07037353515625</v>
      </c>
      <c r="AB15" s="12">
        <v>1009.3681030273438</v>
      </c>
      <c r="AC15" s="12">
        <v>718.48974609375</v>
      </c>
      <c r="AD15" s="12">
        <v>486.27182006835938</v>
      </c>
      <c r="AE15" s="12">
        <v>820.14019775390625</v>
      </c>
      <c r="AF15" s="12">
        <v>863.64996337890625</v>
      </c>
      <c r="AG15" s="12">
        <v>446.1966552734375</v>
      </c>
      <c r="AH15" s="12">
        <v>472.68145751953125</v>
      </c>
      <c r="AI15" s="12">
        <v>666.18975830078125</v>
      </c>
      <c r="AJ15" s="12">
        <v>836.48687744140625</v>
      </c>
      <c r="AK15" s="12">
        <v>522.74334716796875</v>
      </c>
      <c r="AL15" s="12">
        <v>517.86663818359375</v>
      </c>
      <c r="AM15" s="12">
        <v>1163.34033203125</v>
      </c>
      <c r="AN15" s="12">
        <v>632.9056396484375</v>
      </c>
      <c r="AO15" s="12">
        <v>1061.2591552734375</v>
      </c>
      <c r="AP15" s="12">
        <v>911.00286865234375</v>
      </c>
      <c r="AQ15" s="12">
        <v>630.9324951171875</v>
      </c>
      <c r="AR15" s="12">
        <v>513.75653076171875</v>
      </c>
      <c r="AS15" s="12">
        <v>734.32757568359375</v>
      </c>
      <c r="AT15" s="12">
        <v>675.25555419921875</v>
      </c>
      <c r="AU15" s="12">
        <v>663.5733642578125</v>
      </c>
      <c r="AV15" s="12">
        <v>690.74725341796875</v>
      </c>
      <c r="AW15" s="12">
        <v>394.18789672851562</v>
      </c>
      <c r="AX15" s="12">
        <v>331.53274536132812</v>
      </c>
      <c r="AY15" s="12">
        <v>1898.83642578125</v>
      </c>
      <c r="AZ15" s="12">
        <v>271.0269775390625</v>
      </c>
      <c r="BA15" s="12">
        <v>812.84375</v>
      </c>
      <c r="BB15" s="12">
        <v>660.63104248046875</v>
      </c>
      <c r="BC15" s="12">
        <v>724.579833984375</v>
      </c>
      <c r="BD15" s="12">
        <v>806.98046875</v>
      </c>
      <c r="BE15" s="12">
        <v>564.2945556640625</v>
      </c>
      <c r="BF15" s="12">
        <v>761.52178955078125</v>
      </c>
      <c r="BG15" s="12">
        <v>1414.7724609375</v>
      </c>
      <c r="BH15" s="12">
        <v>1117.1351318359375</v>
      </c>
      <c r="BI15" s="12">
        <v>772.47637939453125</v>
      </c>
      <c r="BJ15" s="12">
        <v>561.13800048828125</v>
      </c>
      <c r="BK15" s="12">
        <v>319.8458251953125</v>
      </c>
      <c r="BL15" s="12">
        <v>881.05712890625</v>
      </c>
      <c r="BM15" s="12">
        <v>900.93133544921875</v>
      </c>
      <c r="BN15" s="12">
        <v>789.66033935546875</v>
      </c>
      <c r="BO15" s="12">
        <v>635.2413330078125</v>
      </c>
      <c r="BP15" s="12">
        <v>1471.8878173828125</v>
      </c>
      <c r="BQ15" s="12"/>
      <c r="BR15" s="12"/>
    </row>
    <row r="16" spans="1:70" x14ac:dyDescent="0.2">
      <c r="B16">
        <v>1811</v>
      </c>
      <c r="C16" s="12">
        <v>736.24029541015625</v>
      </c>
      <c r="D16" s="12">
        <v>1426.021728515625</v>
      </c>
      <c r="E16" s="12">
        <v>1484.980712890625</v>
      </c>
      <c r="F16" s="12">
        <v>718.43768310546875</v>
      </c>
      <c r="G16" s="12">
        <v>674.24554443359375</v>
      </c>
      <c r="H16" s="12">
        <v>601.03778076171875</v>
      </c>
      <c r="I16" s="12">
        <v>634.97357177734375</v>
      </c>
      <c r="J16" s="12">
        <v>730.5845947265625</v>
      </c>
      <c r="K16" s="12">
        <v>752.681396484375</v>
      </c>
      <c r="L16" s="12">
        <v>1921.7513427734375</v>
      </c>
      <c r="M16" s="12">
        <v>1680.214111328125</v>
      </c>
      <c r="N16" s="12">
        <v>1523.5321044921875</v>
      </c>
      <c r="O16" s="12">
        <v>1396.999267578125</v>
      </c>
      <c r="P16" s="12">
        <v>2978.94482421875</v>
      </c>
      <c r="Q16" s="12">
        <v>2097.951171875</v>
      </c>
      <c r="R16" s="12">
        <v>2399.24658203125</v>
      </c>
      <c r="S16" s="12">
        <v>1654.16162109375</v>
      </c>
      <c r="T16" s="12">
        <v>1128.5115966796875</v>
      </c>
      <c r="U16" s="12">
        <v>1649.4986572265625</v>
      </c>
      <c r="V16" s="12">
        <v>669.41644287109375</v>
      </c>
      <c r="W16" s="12">
        <v>1957.543212890625</v>
      </c>
      <c r="X16" s="12">
        <v>1027.09228515625</v>
      </c>
      <c r="Y16" s="12">
        <v>846.34869384765625</v>
      </c>
      <c r="Z16" s="12">
        <v>760.25054931640625</v>
      </c>
      <c r="AA16" s="12">
        <v>343.3406982421875</v>
      </c>
      <c r="AB16" s="12">
        <v>1012.6201171875</v>
      </c>
      <c r="AC16" s="12">
        <v>718.01019287109375</v>
      </c>
      <c r="AD16" s="12">
        <v>421.02215576171875</v>
      </c>
      <c r="AE16" s="12">
        <v>804.50048828125</v>
      </c>
      <c r="AF16" s="12">
        <v>840.08465576171875</v>
      </c>
      <c r="AG16" s="12">
        <v>432.12411499023438</v>
      </c>
      <c r="AH16" s="12">
        <v>475.11572265625</v>
      </c>
      <c r="AI16" s="12">
        <v>668.58343505859375</v>
      </c>
      <c r="AJ16" s="12">
        <v>839.59063720703125</v>
      </c>
      <c r="AK16" s="12">
        <v>524.68304443359375</v>
      </c>
      <c r="AL16" s="12">
        <v>519.0599365234375</v>
      </c>
      <c r="AM16" s="12">
        <v>1177.416259765625</v>
      </c>
      <c r="AN16" s="12">
        <v>635.912841796875</v>
      </c>
      <c r="AO16" s="12">
        <v>1065.99755859375</v>
      </c>
      <c r="AP16" s="12">
        <v>911.55194091796875</v>
      </c>
      <c r="AQ16" s="12">
        <v>631.31219482421875</v>
      </c>
      <c r="AR16" s="12">
        <v>514.065673828125</v>
      </c>
      <c r="AS16" s="12">
        <v>734.81488037109375</v>
      </c>
      <c r="AT16" s="12">
        <v>675.66192626953125</v>
      </c>
      <c r="AU16" s="12">
        <v>663.97271728515625</v>
      </c>
      <c r="AV16" s="12">
        <v>691.1629638671875</v>
      </c>
      <c r="AW16" s="12">
        <v>394.42510986328125</v>
      </c>
      <c r="AX16" s="12">
        <v>331.73193359375</v>
      </c>
      <c r="AY16" s="12">
        <v>1506.6383056640625</v>
      </c>
      <c r="AZ16" s="12">
        <v>263.12371826171875</v>
      </c>
      <c r="BA16" s="12">
        <v>813.3228759765625</v>
      </c>
      <c r="BB16" s="12">
        <v>661.02044677734375</v>
      </c>
      <c r="BC16" s="12">
        <v>722.9412841796875</v>
      </c>
      <c r="BD16" s="12">
        <v>806.87408447265625</v>
      </c>
      <c r="BE16" s="12">
        <v>564.21978759765625</v>
      </c>
      <c r="BF16" s="12">
        <v>764.4661865234375</v>
      </c>
      <c r="BG16" s="12">
        <v>1411.7783203125</v>
      </c>
      <c r="BH16" s="12">
        <v>1113.587890625</v>
      </c>
      <c r="BI16" s="12">
        <v>768.2481689453125</v>
      </c>
      <c r="BJ16" s="12">
        <v>560.989990234375</v>
      </c>
      <c r="BK16" s="12">
        <v>319.71954345703125</v>
      </c>
      <c r="BL16" s="12">
        <v>878.2593994140625</v>
      </c>
      <c r="BM16" s="12">
        <v>898.3336181640625</v>
      </c>
      <c r="BN16" s="12">
        <v>789.34832763671875</v>
      </c>
      <c r="BO16" s="12">
        <v>635.0743408203125</v>
      </c>
      <c r="BP16" s="12">
        <v>1465.325439453125</v>
      </c>
      <c r="BQ16" s="12"/>
      <c r="BR16" s="12"/>
    </row>
    <row r="17" spans="2:70" x14ac:dyDescent="0.2">
      <c r="B17">
        <v>1812</v>
      </c>
      <c r="C17" s="12">
        <v>734.9599609375</v>
      </c>
      <c r="D17" s="12">
        <v>1411.599609375</v>
      </c>
      <c r="E17" s="12">
        <v>1516.0731201171875</v>
      </c>
      <c r="F17" s="12">
        <v>717.42315673828125</v>
      </c>
      <c r="G17" s="12">
        <v>677.4669189453125</v>
      </c>
      <c r="H17" s="12">
        <v>602.229736328125</v>
      </c>
      <c r="I17" s="12">
        <v>635.42633056640625</v>
      </c>
      <c r="J17" s="12">
        <v>729.09161376953125</v>
      </c>
      <c r="K17" s="12">
        <v>749.93359375</v>
      </c>
      <c r="L17" s="12">
        <v>1865.6351318359375</v>
      </c>
      <c r="M17" s="12">
        <v>1683.1439208984375</v>
      </c>
      <c r="N17" s="12">
        <v>1587.605224609375</v>
      </c>
      <c r="O17" s="12">
        <v>1366.552001953125</v>
      </c>
      <c r="P17" s="12">
        <v>2947.093994140625</v>
      </c>
      <c r="Q17" s="12">
        <v>2097.909423828125</v>
      </c>
      <c r="R17" s="12">
        <v>2374.50146484375</v>
      </c>
      <c r="S17" s="12">
        <v>1656.8858642578125</v>
      </c>
      <c r="T17" s="12">
        <v>1057.14794921875</v>
      </c>
      <c r="U17" s="12">
        <v>1634.4842529296875</v>
      </c>
      <c r="V17" s="12">
        <v>663.28765869140625</v>
      </c>
      <c r="W17" s="12">
        <v>1992.406982421875</v>
      </c>
      <c r="X17" s="12">
        <v>1029.5506591796875</v>
      </c>
      <c r="Y17" s="12">
        <v>846.28692626953125</v>
      </c>
      <c r="Z17" s="12">
        <v>760.19512939453125</v>
      </c>
      <c r="AA17" s="12">
        <v>347.89022827148438</v>
      </c>
      <c r="AB17" s="12">
        <v>1016.002197265625</v>
      </c>
      <c r="AC17" s="12">
        <v>717.74810791015625</v>
      </c>
      <c r="AD17" s="12">
        <v>445.05740356445312</v>
      </c>
      <c r="AE17" s="12">
        <v>808.55694580078125</v>
      </c>
      <c r="AF17" s="12">
        <v>836.60162353515625</v>
      </c>
      <c r="AG17" s="12">
        <v>429.60418701171875</v>
      </c>
      <c r="AH17" s="12">
        <v>477.59085083007812</v>
      </c>
      <c r="AI17" s="12">
        <v>671.065185546875</v>
      </c>
      <c r="AJ17" s="12">
        <v>842.95672607421875</v>
      </c>
      <c r="AK17" s="12">
        <v>526.7864990234375</v>
      </c>
      <c r="AL17" s="12">
        <v>520.31781005859375</v>
      </c>
      <c r="AM17" s="12">
        <v>1191.73291015625</v>
      </c>
      <c r="AN17" s="12">
        <v>639.04913330078125</v>
      </c>
      <c r="AO17" s="12">
        <v>1070.98583984375</v>
      </c>
      <c r="AP17" s="12">
        <v>912.1534423828125</v>
      </c>
      <c r="AQ17" s="12">
        <v>631.7293701171875</v>
      </c>
      <c r="AR17" s="12">
        <v>514.40533447265625</v>
      </c>
      <c r="AS17" s="12">
        <v>735.346923828125</v>
      </c>
      <c r="AT17" s="12">
        <v>676.1083984375</v>
      </c>
      <c r="AU17" s="12">
        <v>664.41143798828125</v>
      </c>
      <c r="AV17" s="12">
        <v>691.61968994140625</v>
      </c>
      <c r="AW17" s="12">
        <v>394.685791015625</v>
      </c>
      <c r="AX17" s="12">
        <v>331.95147705078125</v>
      </c>
      <c r="AY17" s="12">
        <v>1525.1339111328125</v>
      </c>
      <c r="AZ17" s="12">
        <v>263.64187622070312</v>
      </c>
      <c r="BA17" s="12">
        <v>813.89971923828125</v>
      </c>
      <c r="BB17" s="12">
        <v>661.4892578125</v>
      </c>
      <c r="BC17" s="12">
        <v>721.34954833984375</v>
      </c>
      <c r="BD17" s="12">
        <v>806.81494140625</v>
      </c>
      <c r="BE17" s="12">
        <v>564.17864990234375</v>
      </c>
      <c r="BF17" s="12">
        <v>764.338134765625</v>
      </c>
      <c r="BG17" s="12">
        <v>1409.0743408203125</v>
      </c>
      <c r="BH17" s="12">
        <v>1110.2493896484375</v>
      </c>
      <c r="BI17" s="12">
        <v>764.353515625</v>
      </c>
      <c r="BJ17" s="12">
        <v>560.90948486328125</v>
      </c>
      <c r="BK17" s="12">
        <v>319.650146484375</v>
      </c>
      <c r="BL17" s="12">
        <v>875.62646484375</v>
      </c>
      <c r="BM17" s="12">
        <v>897.09515380859375</v>
      </c>
      <c r="BN17" s="12">
        <v>789.17730712890625</v>
      </c>
      <c r="BO17" s="12">
        <v>634.98260498046875</v>
      </c>
      <c r="BP17" s="12">
        <v>1458.90185546875</v>
      </c>
      <c r="BQ17" s="12"/>
      <c r="BR17" s="12"/>
    </row>
    <row r="18" spans="2:70" x14ac:dyDescent="0.2">
      <c r="B18">
        <v>1813</v>
      </c>
      <c r="C18" s="12">
        <v>733.82421875</v>
      </c>
      <c r="D18" s="12">
        <v>1397.1053466796875</v>
      </c>
      <c r="E18" s="12">
        <v>1538.8658447265625</v>
      </c>
      <c r="F18" s="12">
        <v>716.263916015625</v>
      </c>
      <c r="G18" s="12">
        <v>680.91180419921875</v>
      </c>
      <c r="H18" s="12">
        <v>622.19464111328125</v>
      </c>
      <c r="I18" s="12">
        <v>635.9832763671875</v>
      </c>
      <c r="J18" s="12">
        <v>727.665283203125</v>
      </c>
      <c r="K18" s="12">
        <v>747.43359375</v>
      </c>
      <c r="L18" s="12">
        <v>1785.32470703125</v>
      </c>
      <c r="M18" s="12">
        <v>1686.26904296875</v>
      </c>
      <c r="N18" s="12">
        <v>1636.2080078125</v>
      </c>
      <c r="O18" s="12">
        <v>1310.14111328125</v>
      </c>
      <c r="P18" s="12">
        <v>2969.6826171875</v>
      </c>
      <c r="Q18" s="12">
        <v>2096.327880859375</v>
      </c>
      <c r="R18" s="12">
        <v>2351.736083984375</v>
      </c>
      <c r="S18" s="12">
        <v>1659.8297119140625</v>
      </c>
      <c r="T18" s="12">
        <v>1074.4765625</v>
      </c>
      <c r="U18" s="12">
        <v>1617.87255859375</v>
      </c>
      <c r="V18" s="12">
        <v>656.49053955078125</v>
      </c>
      <c r="W18" s="12">
        <v>2015.1884765625</v>
      </c>
      <c r="X18" s="12">
        <v>1032.0986328125</v>
      </c>
      <c r="Y18" s="12">
        <v>846.293701171875</v>
      </c>
      <c r="Z18" s="12">
        <v>760.20159912109375</v>
      </c>
      <c r="AA18" s="12">
        <v>352.66555786132812</v>
      </c>
      <c r="AB18" s="12">
        <v>1019.5623168945312</v>
      </c>
      <c r="AC18" s="12">
        <v>717.7769775390625</v>
      </c>
      <c r="AD18" s="12">
        <v>443.48294067382812</v>
      </c>
      <c r="AE18" s="12">
        <v>812.4730224609375</v>
      </c>
      <c r="AF18" s="12">
        <v>833.26788330078125</v>
      </c>
      <c r="AG18" s="12">
        <v>429.29074096679688</v>
      </c>
      <c r="AH18" s="12">
        <v>480.11727905273438</v>
      </c>
      <c r="AI18" s="12">
        <v>673.66448974609375</v>
      </c>
      <c r="AJ18" s="12">
        <v>846.67803955078125</v>
      </c>
      <c r="AK18" s="12">
        <v>529.111572265625</v>
      </c>
      <c r="AL18" s="12">
        <v>521.662353515625</v>
      </c>
      <c r="AM18" s="12">
        <v>1206.3209228515625</v>
      </c>
      <c r="AN18" s="12">
        <v>642.35552978515625</v>
      </c>
      <c r="AO18" s="12">
        <v>1076.3052978515625</v>
      </c>
      <c r="AP18" s="12">
        <v>912.829833984375</v>
      </c>
      <c r="AQ18" s="12">
        <v>632.19708251953125</v>
      </c>
      <c r="AR18" s="12">
        <v>514.7867431640625</v>
      </c>
      <c r="AS18" s="12">
        <v>735.95782470703125</v>
      </c>
      <c r="AT18" s="12">
        <v>676.60906982421875</v>
      </c>
      <c r="AU18" s="12">
        <v>664.9034423828125</v>
      </c>
      <c r="AV18" s="12">
        <v>692.13177490234375</v>
      </c>
      <c r="AW18" s="12">
        <v>394.97842407226562</v>
      </c>
      <c r="AX18" s="12">
        <v>332.19760131835938</v>
      </c>
      <c r="AY18" s="12">
        <v>1922.155029296875</v>
      </c>
      <c r="AZ18" s="12">
        <v>271.9727783203125</v>
      </c>
      <c r="BA18" s="12">
        <v>814.60858154296875</v>
      </c>
      <c r="BB18" s="12">
        <v>662.0657958984375</v>
      </c>
      <c r="BC18" s="12">
        <v>719.81988525390625</v>
      </c>
      <c r="BD18" s="12">
        <v>806.82159423828125</v>
      </c>
      <c r="BE18" s="12">
        <v>564.18341064453125</v>
      </c>
      <c r="BF18" s="12">
        <v>764.42584228515625</v>
      </c>
      <c r="BG18" s="12">
        <v>1406.59033203125</v>
      </c>
      <c r="BH18" s="12">
        <v>1107.1883544921875</v>
      </c>
      <c r="BI18" s="12">
        <v>760.72406005859375</v>
      </c>
      <c r="BJ18" s="12">
        <v>560.9188232421875</v>
      </c>
      <c r="BK18" s="12">
        <v>319.65774536132812</v>
      </c>
      <c r="BL18" s="12">
        <v>873.21234130859375</v>
      </c>
      <c r="BM18" s="12">
        <v>897.22784423828125</v>
      </c>
      <c r="BN18" s="12">
        <v>789.1964111328125</v>
      </c>
      <c r="BO18" s="12">
        <v>634.9925537109375</v>
      </c>
      <c r="BP18" s="12">
        <v>1452.865478515625</v>
      </c>
      <c r="BQ18" s="12"/>
      <c r="BR18" s="12"/>
    </row>
    <row r="19" spans="2:70" x14ac:dyDescent="0.2">
      <c r="B19">
        <v>1814</v>
      </c>
      <c r="C19" s="12">
        <v>739.45196533203125</v>
      </c>
      <c r="D19" s="12">
        <v>1420.0794677734375</v>
      </c>
      <c r="E19" s="12">
        <v>1566.48193359375</v>
      </c>
      <c r="F19" s="12">
        <v>715.16571044921875</v>
      </c>
      <c r="G19" s="12">
        <v>684.13055419921875</v>
      </c>
      <c r="H19" s="12">
        <v>623.60772705078125</v>
      </c>
      <c r="I19" s="12">
        <v>636.41094970703125</v>
      </c>
      <c r="J19" s="12">
        <v>726.1663818359375</v>
      </c>
      <c r="K19" s="12">
        <v>744.66162109375</v>
      </c>
      <c r="L19" s="12">
        <v>1891.6455078125</v>
      </c>
      <c r="M19" s="12">
        <v>1689.2373046875</v>
      </c>
      <c r="N19" s="12">
        <v>1721.57568359375</v>
      </c>
      <c r="O19" s="12">
        <v>1277.43896484375</v>
      </c>
      <c r="P19" s="12">
        <v>3022.855712890625</v>
      </c>
      <c r="Q19" s="12">
        <v>2098.09716796875</v>
      </c>
      <c r="R19" s="12">
        <v>2407.0263671875</v>
      </c>
      <c r="S19" s="12">
        <v>1662.508056640625</v>
      </c>
      <c r="T19" s="12">
        <v>1084.780029296875</v>
      </c>
      <c r="U19" s="12">
        <v>1642.71630859375</v>
      </c>
      <c r="V19" s="12">
        <v>666.51080322265625</v>
      </c>
      <c r="W19" s="12">
        <v>2045.0003662109375</v>
      </c>
      <c r="X19" s="12">
        <v>1034.547607421875</v>
      </c>
      <c r="Y19" s="12">
        <v>846.21453857421875</v>
      </c>
      <c r="Z19" s="12">
        <v>760.1304931640625</v>
      </c>
      <c r="AA19" s="12">
        <v>357.60247802734375</v>
      </c>
      <c r="AB19" s="12">
        <v>1022.926513671875</v>
      </c>
      <c r="AC19" s="12">
        <v>717.43804931640625</v>
      </c>
      <c r="AD19" s="12">
        <v>428.758544921875</v>
      </c>
      <c r="AE19" s="12">
        <v>824.806396484375</v>
      </c>
      <c r="AF19" s="12">
        <v>829.77734375</v>
      </c>
      <c r="AG19" s="12">
        <v>425.31442260742188</v>
      </c>
      <c r="AH19" s="12">
        <v>482.60848999023438</v>
      </c>
      <c r="AI19" s="12">
        <v>676.13726806640625</v>
      </c>
      <c r="AJ19" s="12">
        <v>849.9842529296875</v>
      </c>
      <c r="AK19" s="12">
        <v>531.177978515625</v>
      </c>
      <c r="AL19" s="12">
        <v>522.90484619140625</v>
      </c>
      <c r="AM19" s="12">
        <v>1220.9639892578125</v>
      </c>
      <c r="AN19" s="12">
        <v>645.48211669921875</v>
      </c>
      <c r="AO19" s="12">
        <v>1081.271484375</v>
      </c>
      <c r="AP19" s="12">
        <v>913.414794921875</v>
      </c>
      <c r="AQ19" s="12">
        <v>632.602294921875</v>
      </c>
      <c r="AR19" s="12">
        <v>515.11639404296875</v>
      </c>
      <c r="AS19" s="12">
        <v>736.451416015625</v>
      </c>
      <c r="AT19" s="12">
        <v>677.04266357421875</v>
      </c>
      <c r="AU19" s="12">
        <v>665.32952880859375</v>
      </c>
      <c r="AV19" s="12">
        <v>692.57537841796875</v>
      </c>
      <c r="AW19" s="12">
        <v>395.23129272460938</v>
      </c>
      <c r="AX19" s="12">
        <v>332.40985107421875</v>
      </c>
      <c r="AY19" s="12">
        <v>1944.517822265625</v>
      </c>
      <c r="AZ19" s="12">
        <v>272.58538818359375</v>
      </c>
      <c r="BA19" s="12">
        <v>815.15277099609375</v>
      </c>
      <c r="BB19" s="12">
        <v>662.50775146484375</v>
      </c>
      <c r="BC19" s="12">
        <v>718.2200927734375</v>
      </c>
      <c r="BD19" s="12">
        <v>806.745849609375</v>
      </c>
      <c r="BE19" s="12">
        <v>564.130615234375</v>
      </c>
      <c r="BF19" s="12">
        <v>764.24078369140625</v>
      </c>
      <c r="BG19" s="12">
        <v>1403.8197021484375</v>
      </c>
      <c r="BH19" s="12">
        <v>1103.8006591796875</v>
      </c>
      <c r="BI19" s="12">
        <v>756.80499267578125</v>
      </c>
      <c r="BJ19" s="12">
        <v>560.8138427734375</v>
      </c>
      <c r="BK19" s="12">
        <v>319.56875610351562</v>
      </c>
      <c r="BL19" s="12">
        <v>870.54046630859375</v>
      </c>
      <c r="BM19" s="12">
        <v>895.8079833984375</v>
      </c>
      <c r="BN19" s="12">
        <v>788.976318359375</v>
      </c>
      <c r="BO19" s="12">
        <v>634.87493896484375</v>
      </c>
      <c r="BP19" s="12">
        <v>1446.4246826171875</v>
      </c>
      <c r="BQ19" s="12"/>
      <c r="BR19" s="12"/>
    </row>
    <row r="20" spans="2:70" x14ac:dyDescent="0.2">
      <c r="B20">
        <v>1815</v>
      </c>
      <c r="C20" s="12">
        <v>743.06298828125</v>
      </c>
      <c r="D20" s="12">
        <v>1433.537353515625</v>
      </c>
      <c r="E20" s="12">
        <v>1588.889404296875</v>
      </c>
      <c r="F20" s="12">
        <v>711.72418212890625</v>
      </c>
      <c r="G20" s="12">
        <v>687.45928955078125</v>
      </c>
      <c r="H20" s="12">
        <v>607.65771484375</v>
      </c>
      <c r="I20" s="12">
        <v>636.88214111328125</v>
      </c>
      <c r="J20" s="12">
        <v>724.70147705078125</v>
      </c>
      <c r="K20" s="12">
        <v>742.1541748046875</v>
      </c>
      <c r="L20" s="12">
        <v>1941.8636474609375</v>
      </c>
      <c r="M20" s="12">
        <v>1692.245849609375</v>
      </c>
      <c r="N20" s="12">
        <v>1806.08544921875</v>
      </c>
      <c r="O20" s="12">
        <v>1227.152587890625</v>
      </c>
      <c r="P20" s="12">
        <v>3090.6337890625</v>
      </c>
      <c r="Q20" s="12">
        <v>2099.021240234375</v>
      </c>
      <c r="R20" s="12">
        <v>2441.759033203125</v>
      </c>
      <c r="S20" s="12">
        <v>1665.291259765625</v>
      </c>
      <c r="T20" s="12">
        <v>1120.5618896484375</v>
      </c>
      <c r="U20" s="12">
        <v>1655.5958251953125</v>
      </c>
      <c r="V20" s="12">
        <v>671.6873779296875</v>
      </c>
      <c r="W20" s="12">
        <v>2067.191162109375</v>
      </c>
      <c r="X20" s="12">
        <v>1037.0413818359375</v>
      </c>
      <c r="Y20" s="12">
        <v>846.16717529296875</v>
      </c>
      <c r="Z20" s="12">
        <v>760.08795166015625</v>
      </c>
      <c r="AA20" s="12">
        <v>362.6077880859375</v>
      </c>
      <c r="AB20" s="12">
        <v>1026.3782958984375</v>
      </c>
      <c r="AC20" s="12">
        <v>717.237548828125</v>
      </c>
      <c r="AD20" s="12">
        <v>386.44830322265625</v>
      </c>
      <c r="AE20" s="12">
        <v>836.13629150390625</v>
      </c>
      <c r="AF20" s="12">
        <v>826.36474609375</v>
      </c>
      <c r="AG20" s="12">
        <v>421.83514404296875</v>
      </c>
      <c r="AH20" s="12">
        <v>485.13076782226562</v>
      </c>
      <c r="AI20" s="12">
        <v>678.66973876953125</v>
      </c>
      <c r="AJ20" s="12">
        <v>853.4637451171875</v>
      </c>
      <c r="AK20" s="12">
        <v>533.3521728515625</v>
      </c>
      <c r="AL20" s="12">
        <v>524.1895751953125</v>
      </c>
      <c r="AM20" s="12">
        <v>1235.8309326171875</v>
      </c>
      <c r="AN20" s="12">
        <v>648.69866943359375</v>
      </c>
      <c r="AO20" s="12">
        <v>1086.4078369140625</v>
      </c>
      <c r="AP20" s="12">
        <v>914.03326416015625</v>
      </c>
      <c r="AQ20" s="12">
        <v>633.0306396484375</v>
      </c>
      <c r="AR20" s="12">
        <v>515.4654541015625</v>
      </c>
      <c r="AS20" s="12">
        <v>736.9808349609375</v>
      </c>
      <c r="AT20" s="12">
        <v>677.5010986328125</v>
      </c>
      <c r="AU20" s="12">
        <v>665.78009033203125</v>
      </c>
      <c r="AV20" s="12">
        <v>693.04437255859375</v>
      </c>
      <c r="AW20" s="12">
        <v>395.49917602539062</v>
      </c>
      <c r="AX20" s="12">
        <v>332.63558959960938</v>
      </c>
      <c r="AY20" s="12">
        <v>1616.9111328125</v>
      </c>
      <c r="AZ20" s="12">
        <v>265.9718017578125</v>
      </c>
      <c r="BA20" s="12">
        <v>815.7581787109375</v>
      </c>
      <c r="BB20" s="12">
        <v>663.0001220703125</v>
      </c>
      <c r="BC20" s="12">
        <v>716.65087890625</v>
      </c>
      <c r="BD20" s="12">
        <v>806.70074462890625</v>
      </c>
      <c r="BE20" s="12">
        <v>564.09906005859375</v>
      </c>
      <c r="BF20" s="12">
        <v>764.15863037109375</v>
      </c>
      <c r="BG20" s="12">
        <v>1401.1492919921875</v>
      </c>
      <c r="BH20" s="12">
        <v>1100.546875</v>
      </c>
      <c r="BI20" s="12">
        <v>753.01898193359375</v>
      </c>
      <c r="BJ20" s="12">
        <v>560.75250244140625</v>
      </c>
      <c r="BK20" s="12">
        <v>319.51535034179688</v>
      </c>
      <c r="BL20" s="12">
        <v>867.974365234375</v>
      </c>
      <c r="BM20" s="12">
        <v>895.05804443359375</v>
      </c>
      <c r="BN20" s="12">
        <v>788.8448486328125</v>
      </c>
      <c r="BO20" s="12">
        <v>634.8043212890625</v>
      </c>
      <c r="BP20" s="12">
        <v>1440.1829833984375</v>
      </c>
      <c r="BQ20" s="12"/>
      <c r="BR20" s="12"/>
    </row>
    <row r="21" spans="2:70" x14ac:dyDescent="0.2">
      <c r="B21">
        <v>1816</v>
      </c>
      <c r="C21" s="12">
        <v>744.20379638671875</v>
      </c>
      <c r="D21" s="12">
        <v>1428.076904296875</v>
      </c>
      <c r="E21" s="12">
        <v>1613.0172119140625</v>
      </c>
      <c r="F21" s="12">
        <v>711.71002197265625</v>
      </c>
      <c r="G21" s="12">
        <v>690.76019287109375</v>
      </c>
      <c r="H21" s="12">
        <v>611.32403564453125</v>
      </c>
      <c r="I21" s="12">
        <v>637.32391357421875</v>
      </c>
      <c r="J21" s="12">
        <v>723.20648193359375</v>
      </c>
      <c r="K21" s="12">
        <v>744.35931396484375</v>
      </c>
      <c r="L21" s="12">
        <v>1852.1712646484375</v>
      </c>
      <c r="M21" s="12">
        <v>1695.203857421875</v>
      </c>
      <c r="N21" s="12">
        <v>1813.6328125</v>
      </c>
      <c r="O21" s="12">
        <v>1188.4090576171875</v>
      </c>
      <c r="P21" s="12">
        <v>3183.070556640625</v>
      </c>
      <c r="Q21" s="12">
        <v>2094.5478515625</v>
      </c>
      <c r="R21" s="12">
        <v>2480.749755859375</v>
      </c>
      <c r="S21" s="12">
        <v>1668.0257568359375</v>
      </c>
      <c r="T21" s="12">
        <v>1141.80908203125</v>
      </c>
      <c r="U21" s="12">
        <v>1646.3369140625</v>
      </c>
      <c r="V21" s="12">
        <v>667.89013671875</v>
      </c>
      <c r="W21" s="12">
        <v>2088.968017578125</v>
      </c>
      <c r="X21" s="12">
        <v>1039.5201416015625</v>
      </c>
      <c r="Y21" s="12">
        <v>846.10308837890625</v>
      </c>
      <c r="Z21" s="12">
        <v>760.02984619140625</v>
      </c>
      <c r="AA21" s="12">
        <v>368.05328369140625</v>
      </c>
      <c r="AB21" s="12">
        <v>1029.8023681640625</v>
      </c>
      <c r="AC21" s="12">
        <v>716.96331787109375</v>
      </c>
      <c r="AD21" s="12">
        <v>384.469482421875</v>
      </c>
      <c r="AE21" s="12">
        <v>850.4881591796875</v>
      </c>
      <c r="AF21" s="12">
        <v>822.93316650390625</v>
      </c>
      <c r="AG21" s="12">
        <v>423.74960327148438</v>
      </c>
      <c r="AH21" s="12">
        <v>487.65658569335938</v>
      </c>
      <c r="AI21" s="12">
        <v>681.18450927734375</v>
      </c>
      <c r="AJ21" s="12">
        <v>856.87139892578125</v>
      </c>
      <c r="AK21" s="12">
        <v>535.48223876953125</v>
      </c>
      <c r="AL21" s="12">
        <v>525.45660400390625</v>
      </c>
      <c r="AM21" s="12">
        <v>1250.853759765625</v>
      </c>
      <c r="AN21" s="12">
        <v>651.89105224609375</v>
      </c>
      <c r="AO21" s="12">
        <v>1091.4959716796875</v>
      </c>
      <c r="AP21" s="12">
        <v>914.6324462890625</v>
      </c>
      <c r="AQ21" s="12">
        <v>633.44744873046875</v>
      </c>
      <c r="AR21" s="12">
        <v>515.80438232421875</v>
      </c>
      <c r="AS21" s="12">
        <v>737.48248291015625</v>
      </c>
      <c r="AT21" s="12">
        <v>677.9471435546875</v>
      </c>
      <c r="AU21" s="12">
        <v>666.21844482421875</v>
      </c>
      <c r="AV21" s="12">
        <v>693.500732421875</v>
      </c>
      <c r="AW21" s="12">
        <v>395.75918579101562</v>
      </c>
      <c r="AX21" s="12">
        <v>332.85427856445312</v>
      </c>
      <c r="AY21" s="12">
        <v>1684.8076171875</v>
      </c>
      <c r="AZ21" s="12">
        <v>267.52078247070312</v>
      </c>
      <c r="BA21" s="12">
        <v>816.33203125</v>
      </c>
      <c r="BB21" s="12">
        <v>663.46612548828125</v>
      </c>
      <c r="BC21" s="12">
        <v>715.07049560546875</v>
      </c>
      <c r="BD21" s="12">
        <v>806.63995361328125</v>
      </c>
      <c r="BE21" s="12">
        <v>564.0560302734375</v>
      </c>
      <c r="BF21" s="12">
        <v>761.19989013671875</v>
      </c>
      <c r="BG21" s="12">
        <v>1398.421875</v>
      </c>
      <c r="BH21" s="12">
        <v>1097.2366943359375</v>
      </c>
      <c r="BI21" s="12">
        <v>749.19189453125</v>
      </c>
      <c r="BJ21" s="12">
        <v>607.91912841796875</v>
      </c>
      <c r="BK21" s="12">
        <v>319.4432373046875</v>
      </c>
      <c r="BL21" s="12">
        <v>865.36376953125</v>
      </c>
      <c r="BM21" s="12">
        <v>894.1466064453125</v>
      </c>
      <c r="BN21" s="12">
        <v>788.66644287109375</v>
      </c>
      <c r="BO21" s="12">
        <v>634.70904541015625</v>
      </c>
      <c r="BP21" s="12">
        <v>1441.2210693359375</v>
      </c>
      <c r="BQ21" s="12"/>
      <c r="BR21" s="12"/>
    </row>
    <row r="22" spans="2:70" x14ac:dyDescent="0.2">
      <c r="B22">
        <v>1817</v>
      </c>
      <c r="C22" s="12">
        <v>742.19805908203125</v>
      </c>
      <c r="D22" s="12">
        <v>1409.3734130859375</v>
      </c>
      <c r="E22" s="12">
        <v>1633.693359375</v>
      </c>
      <c r="F22" s="12">
        <v>713.38116455078125</v>
      </c>
      <c r="G22" s="12">
        <v>694.06597900390625</v>
      </c>
      <c r="H22" s="12">
        <v>614.86932373046875</v>
      </c>
      <c r="I22" s="12">
        <v>637.7593994140625</v>
      </c>
      <c r="J22" s="12">
        <v>721.7412109375</v>
      </c>
      <c r="K22" s="12">
        <v>741.19610595703125</v>
      </c>
      <c r="L22" s="12">
        <v>1768.08837890625</v>
      </c>
      <c r="M22" s="12">
        <v>1698.13916015625</v>
      </c>
      <c r="N22" s="12">
        <v>1756.14501953125</v>
      </c>
      <c r="O22" s="12">
        <v>1148.2808837890625</v>
      </c>
      <c r="P22" s="12">
        <v>3211.34814453125</v>
      </c>
      <c r="Q22" s="12">
        <v>2099.81005859375</v>
      </c>
      <c r="R22" s="12">
        <v>2501.455322265625</v>
      </c>
      <c r="S22" s="12">
        <v>1670.7510986328125</v>
      </c>
      <c r="T22" s="12">
        <v>1109.08251953125</v>
      </c>
      <c r="U22" s="12">
        <v>1621.9915771484375</v>
      </c>
      <c r="V22" s="12">
        <v>657.98114013671875</v>
      </c>
      <c r="W22" s="12">
        <v>2105.059326171875</v>
      </c>
      <c r="X22" s="12">
        <v>1041.9998779296875</v>
      </c>
      <c r="Y22" s="12">
        <v>846.03448486328125</v>
      </c>
      <c r="Z22" s="12">
        <v>759.96832275390625</v>
      </c>
      <c r="AA22" s="12">
        <v>373.1689453125</v>
      </c>
      <c r="AB22" s="12">
        <v>1033.2247314453125</v>
      </c>
      <c r="AC22" s="12">
        <v>716.668701171875</v>
      </c>
      <c r="AD22" s="12">
        <v>480.95538330078125</v>
      </c>
      <c r="AE22" s="12">
        <v>856.5093994140625</v>
      </c>
      <c r="AF22" s="12">
        <v>819.50689697265625</v>
      </c>
      <c r="AG22" s="12">
        <v>423.47549438476562</v>
      </c>
      <c r="AH22" s="12">
        <v>490.19293212890625</v>
      </c>
      <c r="AI22" s="12">
        <v>683.7017822265625</v>
      </c>
      <c r="AJ22" s="12">
        <v>860.27081298828125</v>
      </c>
      <c r="AK22" s="12">
        <v>537.6060791015625</v>
      </c>
      <c r="AL22" s="12">
        <v>526.72113037109375</v>
      </c>
      <c r="AM22" s="12">
        <v>1266.05322265625</v>
      </c>
      <c r="AN22" s="12">
        <v>655.0887451171875</v>
      </c>
      <c r="AO22" s="12">
        <v>1096.5921630859375</v>
      </c>
      <c r="AP22" s="12">
        <v>915.232177734375</v>
      </c>
      <c r="AQ22" s="12">
        <v>633.86102294921875</v>
      </c>
      <c r="AR22" s="12">
        <v>516.14111328125</v>
      </c>
      <c r="AS22" s="12">
        <v>737.97503662109375</v>
      </c>
      <c r="AT22" s="12">
        <v>678.38909912109375</v>
      </c>
      <c r="AU22" s="12">
        <v>666.6533203125</v>
      </c>
      <c r="AV22" s="12">
        <v>693.95263671875</v>
      </c>
      <c r="AW22" s="12">
        <v>396.01751708984375</v>
      </c>
      <c r="AX22" s="12">
        <v>333.07125854492188</v>
      </c>
      <c r="AY22" s="12">
        <v>1749.994384765625</v>
      </c>
      <c r="AZ22" s="12">
        <v>269.018310546875</v>
      </c>
      <c r="BA22" s="12">
        <v>816.89666748046875</v>
      </c>
      <c r="BB22" s="12">
        <v>663.925537109375</v>
      </c>
      <c r="BC22" s="12">
        <v>713.49029541015625</v>
      </c>
      <c r="BD22" s="12">
        <v>806.57415771484375</v>
      </c>
      <c r="BE22" s="12">
        <v>564.01031494140625</v>
      </c>
      <c r="BF22" s="12">
        <v>761.1380615234375</v>
      </c>
      <c r="BG22" s="12">
        <v>1395.61474609375</v>
      </c>
      <c r="BH22" s="12">
        <v>1093.920166015625</v>
      </c>
      <c r="BI22" s="12">
        <v>745.36920166015625</v>
      </c>
      <c r="BJ22" s="12">
        <v>600.06439208984375</v>
      </c>
      <c r="BK22" s="12">
        <v>319.36572265625</v>
      </c>
      <c r="BL22" s="12">
        <v>862.748046875</v>
      </c>
      <c r="BM22" s="12">
        <v>887.9730224609375</v>
      </c>
      <c r="BN22" s="12">
        <v>788.4755859375</v>
      </c>
      <c r="BO22" s="12">
        <v>634.60638427734375</v>
      </c>
      <c r="BP22" s="12">
        <v>1433.91796875</v>
      </c>
      <c r="BQ22" s="12"/>
      <c r="BR22" s="12"/>
    </row>
    <row r="23" spans="2:70" x14ac:dyDescent="0.2">
      <c r="B23">
        <v>1818</v>
      </c>
      <c r="C23" s="12">
        <v>752.434814453125</v>
      </c>
      <c r="D23" s="12">
        <v>1447.601806640625</v>
      </c>
      <c r="E23" s="12">
        <v>1662.8194580078125</v>
      </c>
      <c r="F23" s="12">
        <v>718.08184814453125</v>
      </c>
      <c r="G23" s="12">
        <v>697.5345458984375</v>
      </c>
      <c r="H23" s="12">
        <v>620.5330810546875</v>
      </c>
      <c r="I23" s="12">
        <v>636.9949951171875</v>
      </c>
      <c r="J23" s="12">
        <v>720.32318115234375</v>
      </c>
      <c r="K23" s="12">
        <v>737.64886474609375</v>
      </c>
      <c r="L23" s="12">
        <v>1891.236328125</v>
      </c>
      <c r="M23" s="12">
        <v>1701.1793212890625</v>
      </c>
      <c r="N23" s="12">
        <v>1824.7589111328125</v>
      </c>
      <c r="O23" s="12">
        <v>1200.6956787109375</v>
      </c>
      <c r="P23" s="12">
        <v>3225.14453125</v>
      </c>
      <c r="Q23" s="12">
        <v>2115.853759765625</v>
      </c>
      <c r="R23" s="12">
        <v>2449.333251953125</v>
      </c>
      <c r="S23" s="12">
        <v>1673.636962890625</v>
      </c>
      <c r="T23" s="12">
        <v>1117.70361328125</v>
      </c>
      <c r="U23" s="12">
        <v>1665.791748046875</v>
      </c>
      <c r="V23" s="12">
        <v>675.7159423828125</v>
      </c>
      <c r="W23" s="12">
        <v>2133.0498046875</v>
      </c>
      <c r="X23" s="12">
        <v>1044.546142578125</v>
      </c>
      <c r="Y23" s="12">
        <v>846.01531982421875</v>
      </c>
      <c r="Z23" s="12">
        <v>759.95111083984375</v>
      </c>
      <c r="AA23" s="12">
        <v>377.95803833007812</v>
      </c>
      <c r="AB23" s="12">
        <v>1036.7802734375</v>
      </c>
      <c r="AC23" s="12">
        <v>716.5880126953125</v>
      </c>
      <c r="AD23" s="12">
        <v>566.081298828125</v>
      </c>
      <c r="AE23" s="12">
        <v>885.863525390625</v>
      </c>
      <c r="AF23" s="12">
        <v>816.19085693359375</v>
      </c>
      <c r="AG23" s="12">
        <v>426.07766723632812</v>
      </c>
      <c r="AH23" s="12">
        <v>492.77090454101562</v>
      </c>
      <c r="AI23" s="12">
        <v>686.30780029296875</v>
      </c>
      <c r="AJ23" s="12">
        <v>863.93505859375</v>
      </c>
      <c r="AK23" s="12">
        <v>539.89617919921875</v>
      </c>
      <c r="AL23" s="12">
        <v>528.0498046875</v>
      </c>
      <c r="AM23" s="12">
        <v>1281.5113525390625</v>
      </c>
      <c r="AN23" s="12">
        <v>658.4169921875</v>
      </c>
      <c r="AO23" s="12">
        <v>1101.942626953125</v>
      </c>
      <c r="AP23" s="12">
        <v>915.882080078125</v>
      </c>
      <c r="AQ23" s="12">
        <v>634.31109619140625</v>
      </c>
      <c r="AR23" s="12">
        <v>516.5078125</v>
      </c>
      <c r="AS23" s="12">
        <v>738.5291748046875</v>
      </c>
      <c r="AT23" s="12">
        <v>678.8714599609375</v>
      </c>
      <c r="AU23" s="12">
        <v>667.12677001953125</v>
      </c>
      <c r="AV23" s="12">
        <v>694.4461669921875</v>
      </c>
      <c r="AW23" s="12">
        <v>396.2989501953125</v>
      </c>
      <c r="AX23" s="12">
        <v>333.30776977539062</v>
      </c>
      <c r="AY23" s="12">
        <v>1856.780517578125</v>
      </c>
      <c r="AZ23" s="12">
        <v>271.39755249023438</v>
      </c>
      <c r="BA23" s="12">
        <v>815.92535400390625</v>
      </c>
      <c r="BB23" s="12">
        <v>663.13568115234375</v>
      </c>
      <c r="BC23" s="12">
        <v>711.955078125</v>
      </c>
      <c r="BD23" s="12">
        <v>806.55584716796875</v>
      </c>
      <c r="BE23" s="12">
        <v>563.99755859375</v>
      </c>
      <c r="BF23" s="12">
        <v>761.12060546875</v>
      </c>
      <c r="BG23" s="12">
        <v>1392.9710693359375</v>
      </c>
      <c r="BH23" s="12">
        <v>1090.803466796875</v>
      </c>
      <c r="BI23" s="12">
        <v>741.73828125</v>
      </c>
      <c r="BJ23" s="12">
        <v>585.72564697265625</v>
      </c>
      <c r="BK23" s="12">
        <v>319.34426879882812</v>
      </c>
      <c r="BL23" s="12">
        <v>860.28985595703125</v>
      </c>
      <c r="BM23" s="12">
        <v>887.8646240234375</v>
      </c>
      <c r="BN23" s="12">
        <v>788.422119140625</v>
      </c>
      <c r="BO23" s="12">
        <v>634.578125</v>
      </c>
      <c r="BP23" s="12">
        <v>1426.1849365234375</v>
      </c>
      <c r="BQ23" s="12"/>
      <c r="BR23" s="12"/>
    </row>
    <row r="24" spans="2:70" x14ac:dyDescent="0.2">
      <c r="B24">
        <v>1819</v>
      </c>
      <c r="C24" s="12">
        <v>760.63092041015625</v>
      </c>
      <c r="D24" s="12">
        <v>1478.9449462890625</v>
      </c>
      <c r="E24" s="12">
        <v>1689.2181396484375</v>
      </c>
      <c r="F24" s="12">
        <v>716.24285888671875</v>
      </c>
      <c r="G24" s="12">
        <v>701.0677490234375</v>
      </c>
      <c r="H24" s="12">
        <v>608.31170654296875</v>
      </c>
      <c r="I24" s="12">
        <v>638.80889892578125</v>
      </c>
      <c r="J24" s="12">
        <v>718.92413330078125</v>
      </c>
      <c r="K24" s="12">
        <v>735.75048828125</v>
      </c>
      <c r="L24" s="12">
        <v>1982.3377685546875</v>
      </c>
      <c r="M24" s="12">
        <v>1704.265869140625</v>
      </c>
      <c r="N24" s="12">
        <v>1866.9088134765625</v>
      </c>
      <c r="O24" s="12">
        <v>1266.712158203125</v>
      </c>
      <c r="P24" s="12">
        <v>3240.3232421875</v>
      </c>
      <c r="Q24" s="12">
        <v>2117.73828125</v>
      </c>
      <c r="R24" s="12">
        <v>2334.982177734375</v>
      </c>
      <c r="S24" s="12">
        <v>1676.586669921875</v>
      </c>
      <c r="T24" s="12">
        <v>1109.841796875</v>
      </c>
      <c r="U24" s="12">
        <v>1702.82666015625</v>
      </c>
      <c r="V24" s="12">
        <v>690.70306396484375</v>
      </c>
      <c r="W24" s="12">
        <v>2157.107666015625</v>
      </c>
      <c r="X24" s="12">
        <v>1047.1220703125</v>
      </c>
      <c r="Y24" s="12">
        <v>846.01458740234375</v>
      </c>
      <c r="Z24" s="12">
        <v>759.95068359375</v>
      </c>
      <c r="AA24" s="12">
        <v>382.62881469726562</v>
      </c>
      <c r="AB24" s="12">
        <v>1040.3927001953125</v>
      </c>
      <c r="AC24" s="12">
        <v>716.58642578125</v>
      </c>
      <c r="AD24" s="12">
        <v>543.2537841796875</v>
      </c>
      <c r="AE24" s="12">
        <v>919.4947509765625</v>
      </c>
      <c r="AF24" s="12">
        <v>812.923828125</v>
      </c>
      <c r="AG24" s="12">
        <v>426.24850463867188</v>
      </c>
      <c r="AH24" s="12">
        <v>495.37353515625</v>
      </c>
      <c r="AI24" s="12">
        <v>688.9541015625</v>
      </c>
      <c r="AJ24" s="12">
        <v>867.71099853515625</v>
      </c>
      <c r="AK24" s="12">
        <v>542.255859375</v>
      </c>
      <c r="AL24" s="12">
        <v>529.40533447265625</v>
      </c>
      <c r="AM24" s="12">
        <v>1297.1865234375</v>
      </c>
      <c r="AN24" s="12">
        <v>661.80615234375</v>
      </c>
      <c r="AO24" s="12">
        <v>1107.4111328125</v>
      </c>
      <c r="AP24" s="12">
        <v>916.5511474609375</v>
      </c>
      <c r="AQ24" s="12">
        <v>634.775634765625</v>
      </c>
      <c r="AR24" s="12">
        <v>516.8861083984375</v>
      </c>
      <c r="AS24" s="12">
        <v>739.107666015625</v>
      </c>
      <c r="AT24" s="12">
        <v>679.36871337890625</v>
      </c>
      <c r="AU24" s="12">
        <v>667.6153564453125</v>
      </c>
      <c r="AV24" s="12">
        <v>694.95477294921875</v>
      </c>
      <c r="AW24" s="12">
        <v>396.58917236328125</v>
      </c>
      <c r="AX24" s="12">
        <v>333.5518798828125</v>
      </c>
      <c r="AY24" s="12">
        <v>1605.6458740234375</v>
      </c>
      <c r="AZ24" s="12">
        <v>266.33248901367188</v>
      </c>
      <c r="BA24" s="12">
        <v>818.25677490234375</v>
      </c>
      <c r="BB24" s="12">
        <v>665.03057861328125</v>
      </c>
      <c r="BC24" s="12">
        <v>710.4388427734375</v>
      </c>
      <c r="BD24" s="12">
        <v>806.55560302734375</v>
      </c>
      <c r="BE24" s="12">
        <v>563.9971923828125</v>
      </c>
      <c r="BF24" s="12">
        <v>761.12030029296875</v>
      </c>
      <c r="BG24" s="12">
        <v>1390.384765625</v>
      </c>
      <c r="BH24" s="12">
        <v>1087.7672119140625</v>
      </c>
      <c r="BI24" s="12">
        <v>738.1903076171875</v>
      </c>
      <c r="BJ24" s="12">
        <v>584.09844970703125</v>
      </c>
      <c r="BK24" s="12">
        <v>319.34371948242188</v>
      </c>
      <c r="BL24" s="12">
        <v>857.89544677734375</v>
      </c>
      <c r="BM24" s="12">
        <v>884.13726806640625</v>
      </c>
      <c r="BN24" s="12">
        <v>788.42083740234375</v>
      </c>
      <c r="BO24" s="12">
        <v>634.57745361328125</v>
      </c>
      <c r="BP24" s="12">
        <v>1420.8035888671875</v>
      </c>
      <c r="BQ24" s="12"/>
      <c r="BR24" s="12"/>
    </row>
    <row r="25" spans="2:70" x14ac:dyDescent="0.2">
      <c r="B25">
        <v>1820</v>
      </c>
      <c r="C25" s="12">
        <v>778.57769775390625</v>
      </c>
      <c r="D25" s="12">
        <v>1552.457763671875</v>
      </c>
      <c r="E25" s="12">
        <v>1717.6068115234375</v>
      </c>
      <c r="F25" s="12">
        <v>718.14013671875</v>
      </c>
      <c r="G25" s="12">
        <v>704.51019287109375</v>
      </c>
      <c r="H25" s="12">
        <v>607.66656494140625</v>
      </c>
      <c r="I25" s="12">
        <v>637.970703125</v>
      </c>
      <c r="J25" s="12">
        <v>716.93890380859375</v>
      </c>
      <c r="K25" s="12">
        <v>732.9119873046875</v>
      </c>
      <c r="L25" s="12">
        <v>2066.7158203125</v>
      </c>
      <c r="M25" s="12">
        <v>1707.2412109375</v>
      </c>
      <c r="N25" s="12">
        <v>1869.734375</v>
      </c>
      <c r="O25" s="12">
        <v>1404.8778076171875</v>
      </c>
      <c r="P25" s="12">
        <v>3437.209716796875</v>
      </c>
      <c r="Q25" s="12">
        <v>2114.1474609375</v>
      </c>
      <c r="R25" s="12">
        <v>2574.633544921875</v>
      </c>
      <c r="S25" s="12">
        <v>1679.4024658203125</v>
      </c>
      <c r="T25" s="12">
        <v>1125.80224609375</v>
      </c>
      <c r="U25" s="12">
        <v>1783.7685546875</v>
      </c>
      <c r="V25" s="12">
        <v>723.5096435546875</v>
      </c>
      <c r="W25" s="12">
        <v>2183.849853515625</v>
      </c>
      <c r="X25" s="12">
        <v>1049.6497802734375</v>
      </c>
      <c r="Y25" s="12">
        <v>845.9700927734375</v>
      </c>
      <c r="Z25" s="12">
        <v>756.28155517578125</v>
      </c>
      <c r="AA25" s="12">
        <v>387.37945556640625</v>
      </c>
      <c r="AB25" s="12">
        <v>1043.9110107421875</v>
      </c>
      <c r="AC25" s="12">
        <v>694.22039794921875</v>
      </c>
      <c r="AD25" s="12">
        <v>562.690673828125</v>
      </c>
      <c r="AE25" s="12">
        <v>990.18988037109375</v>
      </c>
      <c r="AF25" s="12">
        <v>809.58636474609375</v>
      </c>
      <c r="AG25" s="12">
        <v>437.7490234375</v>
      </c>
      <c r="AH25" s="12">
        <v>497.96414184570312</v>
      </c>
      <c r="AI25" s="12">
        <v>691.53924560546875</v>
      </c>
      <c r="AJ25" s="12">
        <v>871.27764892578125</v>
      </c>
      <c r="AK25" s="12">
        <v>544.48480224609375</v>
      </c>
      <c r="AL25" s="12">
        <v>530.70953369140625</v>
      </c>
      <c r="AM25" s="12">
        <v>1312.9859619140625</v>
      </c>
      <c r="AN25" s="12">
        <v>665.11102294921875</v>
      </c>
      <c r="AO25" s="12">
        <v>1112.7069091796875</v>
      </c>
      <c r="AP25" s="12">
        <v>917.17523193359375</v>
      </c>
      <c r="AQ25" s="12">
        <v>635.20782470703125</v>
      </c>
      <c r="AR25" s="12">
        <v>517.23809814453125</v>
      </c>
      <c r="AS25" s="12">
        <v>739.6231689453125</v>
      </c>
      <c r="AT25" s="12">
        <v>679.831298828125</v>
      </c>
      <c r="AU25" s="12">
        <v>668.0699462890625</v>
      </c>
      <c r="AV25" s="12">
        <v>695.427978515625</v>
      </c>
      <c r="AW25" s="12">
        <v>396.85928344726562</v>
      </c>
      <c r="AX25" s="12">
        <v>333.7796630859375</v>
      </c>
      <c r="AY25" s="12">
        <v>1586.779052734375</v>
      </c>
      <c r="AZ25" s="12">
        <v>266.08602905273438</v>
      </c>
      <c r="BA25" s="12">
        <v>817.19097900390625</v>
      </c>
      <c r="BB25" s="12">
        <v>664.1644287109375</v>
      </c>
      <c r="BC25" s="12">
        <v>708.3087158203125</v>
      </c>
      <c r="BD25" s="12">
        <v>805.85247802734375</v>
      </c>
      <c r="BE25" s="12">
        <v>563.96746826171875</v>
      </c>
      <c r="BF25" s="12">
        <v>761.08026123046875</v>
      </c>
      <c r="BG25" s="12">
        <v>1387.6627197265625</v>
      </c>
      <c r="BH25" s="12">
        <v>1084.5716552734375</v>
      </c>
      <c r="BI25" s="12">
        <v>734.50738525390625</v>
      </c>
      <c r="BJ25" s="12">
        <v>575.9547119140625</v>
      </c>
      <c r="BK25" s="12">
        <v>319.29373168945312</v>
      </c>
      <c r="BL25" s="12">
        <v>855.37518310546875</v>
      </c>
      <c r="BM25" s="12">
        <v>884.0589599609375</v>
      </c>
      <c r="BN25" s="12">
        <v>788.29742431640625</v>
      </c>
      <c r="BO25" s="12">
        <v>634.51123046875</v>
      </c>
      <c r="BP25" s="12">
        <v>1414.0831298828125</v>
      </c>
      <c r="BQ25" s="12"/>
      <c r="BR25" s="12"/>
    </row>
    <row r="26" spans="2:70" x14ac:dyDescent="0.2">
      <c r="B26">
        <v>1821</v>
      </c>
      <c r="C26" s="12">
        <v>798.11737060546875</v>
      </c>
      <c r="D26" s="12">
        <v>1631.719482421875</v>
      </c>
      <c r="E26" s="12">
        <v>1709.366455078125</v>
      </c>
      <c r="F26" s="12">
        <v>722.8497314453125</v>
      </c>
      <c r="G26" s="12">
        <v>708.82965087890625</v>
      </c>
      <c r="H26" s="12">
        <v>622.41009521484375</v>
      </c>
      <c r="I26" s="12">
        <v>638.392578125</v>
      </c>
      <c r="J26" s="12">
        <v>714.4639892578125</v>
      </c>
      <c r="K26" s="12">
        <v>731.38726806640625</v>
      </c>
      <c r="L26" s="12">
        <v>2086.558349609375</v>
      </c>
      <c r="M26" s="12">
        <v>1768.6737060546875</v>
      </c>
      <c r="N26" s="12">
        <v>1894.07080078125</v>
      </c>
      <c r="O26" s="12">
        <v>1628.5794677734375</v>
      </c>
      <c r="P26" s="12">
        <v>3604.948486328125</v>
      </c>
      <c r="Q26" s="12">
        <v>2113.342529296875</v>
      </c>
      <c r="R26" s="12">
        <v>2530.202880859375</v>
      </c>
      <c r="S26" s="12">
        <v>1686.177734375</v>
      </c>
      <c r="T26" s="12">
        <v>1154.8912353515625</v>
      </c>
      <c r="U26" s="12">
        <v>1874.564453125</v>
      </c>
      <c r="V26" s="12">
        <v>760.260498046875</v>
      </c>
      <c r="W26" s="12">
        <v>2162.623046875</v>
      </c>
      <c r="X26" s="12">
        <v>1060.230712890625</v>
      </c>
      <c r="Y26" s="12">
        <v>854.11163330078125</v>
      </c>
      <c r="Z26" s="12">
        <v>776.50189208984375</v>
      </c>
      <c r="AA26" s="12">
        <v>384.33746337890625</v>
      </c>
      <c r="AB26" s="12">
        <v>1051.671142578125</v>
      </c>
      <c r="AC26" s="12">
        <v>693.33929443359375</v>
      </c>
      <c r="AD26" s="12">
        <v>557.85308837890625</v>
      </c>
      <c r="AE26" s="12">
        <v>1047.1756591796875</v>
      </c>
      <c r="AF26" s="12">
        <v>810.718505859375</v>
      </c>
      <c r="AG26" s="12">
        <v>439.13427734375</v>
      </c>
      <c r="AH26" s="12">
        <v>498.32623291015625</v>
      </c>
      <c r="AI26" s="12">
        <v>702.13018798828125</v>
      </c>
      <c r="AJ26" s="12">
        <v>877.65655517578125</v>
      </c>
      <c r="AK26" s="12">
        <v>545.9188232421875</v>
      </c>
      <c r="AL26" s="12">
        <v>533.5147705078125</v>
      </c>
      <c r="AM26" s="12">
        <v>1315.2874755859375</v>
      </c>
      <c r="AN26" s="12">
        <v>669.77777099609375</v>
      </c>
      <c r="AO26" s="12">
        <v>1119.9248046875</v>
      </c>
      <c r="AP26" s="12">
        <v>917.79425048828125</v>
      </c>
      <c r="AQ26" s="12">
        <v>635.63543701171875</v>
      </c>
      <c r="AR26" s="12">
        <v>517.58599853515625</v>
      </c>
      <c r="AS26" s="12">
        <v>740.15460205078125</v>
      </c>
      <c r="AT26" s="12">
        <v>680.28887939453125</v>
      </c>
      <c r="AU26" s="12">
        <v>668.51959228515625</v>
      </c>
      <c r="AV26" s="12">
        <v>695.89605712890625</v>
      </c>
      <c r="AW26" s="12">
        <v>397.12615966796875</v>
      </c>
      <c r="AX26" s="12">
        <v>334.003662109375</v>
      </c>
      <c r="AY26" s="12">
        <v>1873.721923828125</v>
      </c>
      <c r="AZ26" s="12">
        <v>272.2467041015625</v>
      </c>
      <c r="BA26" s="12">
        <v>817.73980712890625</v>
      </c>
      <c r="BB26" s="12">
        <v>664.6102294921875</v>
      </c>
      <c r="BC26" s="12">
        <v>705.30279541015625</v>
      </c>
      <c r="BD26" s="12">
        <v>808.1107177734375</v>
      </c>
      <c r="BE26" s="12">
        <v>563.99627685546875</v>
      </c>
      <c r="BF26" s="12">
        <v>761.06524658203125</v>
      </c>
      <c r="BG26" s="12">
        <v>1382.7559814453125</v>
      </c>
      <c r="BH26" s="12">
        <v>1081.3580322265625</v>
      </c>
      <c r="BI26" s="12">
        <v>730.81787109375</v>
      </c>
      <c r="BJ26" s="12">
        <v>582.63250732421875</v>
      </c>
      <c r="BK26" s="12">
        <v>319.23574829101562</v>
      </c>
      <c r="BL26" s="12">
        <v>852.840576171875</v>
      </c>
      <c r="BM26" s="12">
        <v>885.26226806640625</v>
      </c>
      <c r="BN26" s="12">
        <v>789.16229248046875</v>
      </c>
      <c r="BO26" s="12">
        <v>633.89495849609375</v>
      </c>
      <c r="BP26" s="12">
        <v>1409.6055908203125</v>
      </c>
      <c r="BQ26" s="12"/>
      <c r="BR26" s="12"/>
    </row>
    <row r="27" spans="2:70" x14ac:dyDescent="0.2">
      <c r="B27">
        <v>1822</v>
      </c>
      <c r="C27" s="12">
        <v>800.40264892578125</v>
      </c>
      <c r="D27" s="12">
        <v>1634.11181640625</v>
      </c>
      <c r="E27" s="12">
        <v>1699.97216796875</v>
      </c>
      <c r="F27" s="12">
        <v>728.00341796875</v>
      </c>
      <c r="G27" s="12">
        <v>712.9847412109375</v>
      </c>
      <c r="H27" s="12">
        <v>616.37725830078125</v>
      </c>
      <c r="I27" s="12">
        <v>638.66680908203125</v>
      </c>
      <c r="J27" s="12">
        <v>712.35150146484375</v>
      </c>
      <c r="K27" s="12">
        <v>731.041748046875</v>
      </c>
      <c r="L27" s="12">
        <v>2071.2607421875</v>
      </c>
      <c r="M27" s="12">
        <v>1777.80712890625</v>
      </c>
      <c r="N27" s="12">
        <v>1904.8646240234375</v>
      </c>
      <c r="O27" s="12">
        <v>1567.552001953125</v>
      </c>
      <c r="P27" s="12">
        <v>3720.407958984375</v>
      </c>
      <c r="Q27" s="12">
        <v>2113.20703125</v>
      </c>
      <c r="R27" s="12">
        <v>2521.38427734375</v>
      </c>
      <c r="S27" s="12">
        <v>1692.782470703125</v>
      </c>
      <c r="T27" s="12">
        <v>1160.727294921875</v>
      </c>
      <c r="U27" s="12">
        <v>1874.3206787109375</v>
      </c>
      <c r="V27" s="12">
        <v>760.10504150390625</v>
      </c>
      <c r="W27" s="12">
        <v>2139.424072265625</v>
      </c>
      <c r="X27" s="12">
        <v>1070.835693359375</v>
      </c>
      <c r="Y27" s="12">
        <v>878.5689697265625</v>
      </c>
      <c r="Z27" s="12">
        <v>797.06884765625</v>
      </c>
      <c r="AA27" s="12">
        <v>381.36019897460938</v>
      </c>
      <c r="AB27" s="12">
        <v>1059.3192138671875</v>
      </c>
      <c r="AC27" s="12">
        <v>691.34527587890625</v>
      </c>
      <c r="AD27" s="12">
        <v>604.16778564453125</v>
      </c>
      <c r="AE27" s="12">
        <v>1085.079833984375</v>
      </c>
      <c r="AF27" s="12">
        <v>811.7276611328125</v>
      </c>
      <c r="AG27" s="12">
        <v>438.81777954101562</v>
      </c>
      <c r="AH27" s="12">
        <v>498.65066528320312</v>
      </c>
      <c r="AI27" s="12">
        <v>712.77490234375</v>
      </c>
      <c r="AJ27" s="12">
        <v>883.74169921875</v>
      </c>
      <c r="AK27" s="12">
        <v>547.14569091796875</v>
      </c>
      <c r="AL27" s="12">
        <v>536.25274658203125</v>
      </c>
      <c r="AM27" s="12">
        <v>1317.4930419921875</v>
      </c>
      <c r="AN27" s="12">
        <v>674.32379150390625</v>
      </c>
      <c r="AO27" s="12">
        <v>1126.8997802734375</v>
      </c>
      <c r="AP27" s="12">
        <v>918.34197998046875</v>
      </c>
      <c r="AQ27" s="12">
        <v>636.01409912109375</v>
      </c>
      <c r="AR27" s="12">
        <v>517.89483642578125</v>
      </c>
      <c r="AS27" s="12">
        <v>740.59881591796875</v>
      </c>
      <c r="AT27" s="12">
        <v>680.69415283203125</v>
      </c>
      <c r="AU27" s="12">
        <v>668.9178466796875</v>
      </c>
      <c r="AV27" s="12">
        <v>696.31060791015625</v>
      </c>
      <c r="AW27" s="12">
        <v>397.3631591796875</v>
      </c>
      <c r="AX27" s="12">
        <v>334.20297241210938</v>
      </c>
      <c r="AY27" s="12">
        <v>1747.7060546875</v>
      </c>
      <c r="AZ27" s="12">
        <v>269.7606201171875</v>
      </c>
      <c r="BA27" s="12">
        <v>818.098388671875</v>
      </c>
      <c r="BB27" s="12">
        <v>664.90216064453125</v>
      </c>
      <c r="BC27" s="12">
        <v>702.234130859375</v>
      </c>
      <c r="BD27" s="12">
        <v>810.28753662109375</v>
      </c>
      <c r="BE27" s="12">
        <v>563.9818115234375</v>
      </c>
      <c r="BF27" s="12">
        <v>760.99176025390625</v>
      </c>
      <c r="BG27" s="12">
        <v>1377.8995361328125</v>
      </c>
      <c r="BH27" s="12">
        <v>1077.9068603515625</v>
      </c>
      <c r="BI27" s="12">
        <v>731.03765869140625</v>
      </c>
      <c r="BJ27" s="12">
        <v>580.59613037109375</v>
      </c>
      <c r="BK27" s="12">
        <v>319.10421752929688</v>
      </c>
      <c r="BL27" s="12">
        <v>850.1187744140625</v>
      </c>
      <c r="BM27" s="12">
        <v>883.03521728515625</v>
      </c>
      <c r="BN27" s="12">
        <v>789.846923828125</v>
      </c>
      <c r="BO27" s="12">
        <v>633.181884765625</v>
      </c>
      <c r="BP27" s="12">
        <v>1408.8642578125</v>
      </c>
      <c r="BQ27" s="12"/>
      <c r="BR27" s="12"/>
    </row>
    <row r="28" spans="2:70" x14ac:dyDescent="0.2">
      <c r="B28">
        <v>1823</v>
      </c>
      <c r="C28" s="12">
        <v>800.1787109375</v>
      </c>
      <c r="D28" s="12">
        <v>1629.8055419921875</v>
      </c>
      <c r="E28" s="12">
        <v>1690.598388671875</v>
      </c>
      <c r="F28" s="12">
        <v>729.61993408203125</v>
      </c>
      <c r="G28" s="12">
        <v>717.19384765625</v>
      </c>
      <c r="H28" s="12">
        <v>616.44677734375</v>
      </c>
      <c r="I28" s="12">
        <v>638.9476318359375</v>
      </c>
      <c r="J28" s="12">
        <v>709.7625732421875</v>
      </c>
      <c r="K28" s="12">
        <v>730.92327880859375</v>
      </c>
      <c r="L28" s="12">
        <v>2054.147216796875</v>
      </c>
      <c r="M28" s="12">
        <v>1752.487060546875</v>
      </c>
      <c r="N28" s="12">
        <v>1944.2095947265625</v>
      </c>
      <c r="O28" s="12">
        <v>1590.670166015625</v>
      </c>
      <c r="P28" s="12">
        <v>3626.084716796875</v>
      </c>
      <c r="Q28" s="12">
        <v>2112.192626953125</v>
      </c>
      <c r="R28" s="12">
        <v>2672.5947265625</v>
      </c>
      <c r="S28" s="12">
        <v>1699.432373046875</v>
      </c>
      <c r="T28" s="12">
        <v>1148.796630859375</v>
      </c>
      <c r="U28" s="12">
        <v>1869.83251953125</v>
      </c>
      <c r="V28" s="12">
        <v>758.2275390625</v>
      </c>
      <c r="W28" s="12">
        <v>2116.5947265625</v>
      </c>
      <c r="X28" s="12">
        <v>1081.5504150390625</v>
      </c>
      <c r="Y28" s="12">
        <v>907.11810302734375</v>
      </c>
      <c r="Z28" s="12">
        <v>818.19903564453125</v>
      </c>
      <c r="AA28" s="12">
        <v>378.3594970703125</v>
      </c>
      <c r="AB28" s="12">
        <v>1067.0374755859375</v>
      </c>
      <c r="AC28" s="12">
        <v>689.39813232421875</v>
      </c>
      <c r="AD28" s="12">
        <v>623.703857421875</v>
      </c>
      <c r="AE28" s="12">
        <v>1090.193359375</v>
      </c>
      <c r="AF28" s="12">
        <v>812.74346923828125</v>
      </c>
      <c r="AG28" s="12">
        <v>436.010986328125</v>
      </c>
      <c r="AH28" s="12">
        <v>498.97689819335938</v>
      </c>
      <c r="AI28" s="12">
        <v>723.5850830078125</v>
      </c>
      <c r="AJ28" s="12">
        <v>889.88421630859375</v>
      </c>
      <c r="AK28" s="12">
        <v>548.384765625</v>
      </c>
      <c r="AL28" s="12">
        <v>539.00836181640625</v>
      </c>
      <c r="AM28" s="12">
        <v>1319.7056884765625</v>
      </c>
      <c r="AN28" s="12">
        <v>678.90667724609375</v>
      </c>
      <c r="AO28" s="12">
        <v>1133.9429931640625</v>
      </c>
      <c r="AP28" s="12">
        <v>918.8922119140625</v>
      </c>
      <c r="AQ28" s="12">
        <v>636.39581298828125</v>
      </c>
      <c r="AR28" s="12">
        <v>518.2052001953125</v>
      </c>
      <c r="AS28" s="12">
        <v>741.05206298828125</v>
      </c>
      <c r="AT28" s="12">
        <v>681.1026611328125</v>
      </c>
      <c r="AU28" s="12">
        <v>669.31939697265625</v>
      </c>
      <c r="AV28" s="12">
        <v>696.72857666015625</v>
      </c>
      <c r="AW28" s="12">
        <v>397.60125732421875</v>
      </c>
      <c r="AX28" s="12">
        <v>334.40322875976562</v>
      </c>
      <c r="AY28" s="12">
        <v>1742.923583984375</v>
      </c>
      <c r="AZ28" s="12">
        <v>269.81121826171875</v>
      </c>
      <c r="BA28" s="12">
        <v>818.46612548828125</v>
      </c>
      <c r="BB28" s="12">
        <v>665.20062255859375</v>
      </c>
      <c r="BC28" s="12">
        <v>699.1815185546875</v>
      </c>
      <c r="BD28" s="12">
        <v>812.47357177734375</v>
      </c>
      <c r="BE28" s="12">
        <v>563.96875</v>
      </c>
      <c r="BF28" s="12">
        <v>760.9207763671875</v>
      </c>
      <c r="BG28" s="12">
        <v>1372.7935791015625</v>
      </c>
      <c r="BH28" s="12">
        <v>1074.476318359375</v>
      </c>
      <c r="BI28" s="12">
        <v>731.26629638671875</v>
      </c>
      <c r="BJ28" s="12">
        <v>581.35595703125</v>
      </c>
      <c r="BK28" s="12">
        <v>318.97622680664062</v>
      </c>
      <c r="BL28" s="12">
        <v>847.4130859375</v>
      </c>
      <c r="BM28" s="12">
        <v>884.0919189453125</v>
      </c>
      <c r="BN28" s="12">
        <v>790.53924560546875</v>
      </c>
      <c r="BO28" s="12">
        <v>632.4744873046875</v>
      </c>
      <c r="BP28" s="12">
        <v>1408.4981689453125</v>
      </c>
      <c r="BQ28" s="12"/>
      <c r="BR28" s="12"/>
    </row>
    <row r="29" spans="2:70" x14ac:dyDescent="0.2">
      <c r="B29">
        <v>1824</v>
      </c>
      <c r="C29" s="12">
        <v>798.05194091796875</v>
      </c>
      <c r="D29" s="12">
        <v>1622.044677734375</v>
      </c>
      <c r="E29" s="12">
        <v>1682.47314453125</v>
      </c>
      <c r="F29" s="12">
        <v>729.864990234375</v>
      </c>
      <c r="G29" s="12">
        <v>721.578369140625</v>
      </c>
      <c r="H29" s="12">
        <v>616.53729248046875</v>
      </c>
      <c r="I29" s="12">
        <v>639.335693359375</v>
      </c>
      <c r="J29" s="12">
        <v>706.86480712890625</v>
      </c>
      <c r="K29" s="12">
        <v>727.78387451171875</v>
      </c>
      <c r="L29" s="12">
        <v>2161.87158203125</v>
      </c>
      <c r="M29" s="12">
        <v>1779.403076171875</v>
      </c>
      <c r="N29" s="12">
        <v>1960.9976806640625</v>
      </c>
      <c r="O29" s="12">
        <v>1560.0968017578125</v>
      </c>
      <c r="P29" s="12">
        <v>3487.077392578125</v>
      </c>
      <c r="Q29" s="12">
        <v>2121.988037109375</v>
      </c>
      <c r="R29" s="12">
        <v>2644.73974609375</v>
      </c>
      <c r="S29" s="12">
        <v>1706.2547607421875</v>
      </c>
      <c r="T29" s="12">
        <v>1179.1878662109375</v>
      </c>
      <c r="U29" s="12">
        <v>1861.7889404296875</v>
      </c>
      <c r="V29" s="12">
        <v>754.8974609375</v>
      </c>
      <c r="W29" s="12">
        <v>2095.422119140625</v>
      </c>
      <c r="X29" s="12">
        <v>1092.4332275390625</v>
      </c>
      <c r="Y29" s="12">
        <v>958.2340087890625</v>
      </c>
      <c r="Z29" s="12">
        <v>840.04119873046875</v>
      </c>
      <c r="AA29" s="12">
        <v>375.4864501953125</v>
      </c>
      <c r="AB29" s="12">
        <v>1074.9268798828125</v>
      </c>
      <c r="AC29" s="12">
        <v>688.25732421875</v>
      </c>
      <c r="AD29" s="12">
        <v>604.4036865234375</v>
      </c>
      <c r="AE29" s="12">
        <v>1086.0054931640625</v>
      </c>
      <c r="AF29" s="12">
        <v>813.8516845703125</v>
      </c>
      <c r="AG29" s="12">
        <v>433.17401123046875</v>
      </c>
      <c r="AH29" s="12">
        <v>499.33078002929688</v>
      </c>
      <c r="AI29" s="12">
        <v>734.64080810546875</v>
      </c>
      <c r="AJ29" s="12">
        <v>896.3177490234375</v>
      </c>
      <c r="AK29" s="12">
        <v>549.77899169921875</v>
      </c>
      <c r="AL29" s="12">
        <v>541.83795166015625</v>
      </c>
      <c r="AM29" s="12">
        <v>1321.9957275390625</v>
      </c>
      <c r="AN29" s="12">
        <v>683.63494873046875</v>
      </c>
      <c r="AO29" s="12">
        <v>1141.2672119140625</v>
      </c>
      <c r="AP29" s="12">
        <v>919.49285888671875</v>
      </c>
      <c r="AQ29" s="12">
        <v>636.8123779296875</v>
      </c>
      <c r="AR29" s="12">
        <v>518.54461669921875</v>
      </c>
      <c r="AS29" s="12">
        <v>741.56610107421875</v>
      </c>
      <c r="AT29" s="12">
        <v>681.54852294921875</v>
      </c>
      <c r="AU29" s="12">
        <v>669.75750732421875</v>
      </c>
      <c r="AV29" s="12">
        <v>697.18463134765625</v>
      </c>
      <c r="AW29" s="12">
        <v>397.86172485351562</v>
      </c>
      <c r="AX29" s="12">
        <v>334.6224365234375</v>
      </c>
      <c r="AY29" s="12">
        <v>1738.3472900390625</v>
      </c>
      <c r="AZ29" s="12">
        <v>269.876708984375</v>
      </c>
      <c r="BA29" s="12">
        <v>818.9708251953125</v>
      </c>
      <c r="BB29" s="12">
        <v>665.61083984375</v>
      </c>
      <c r="BC29" s="12">
        <v>696.19696044921875</v>
      </c>
      <c r="BD29" s="12">
        <v>814.73016357421875</v>
      </c>
      <c r="BE29" s="12">
        <v>563.98760986328125</v>
      </c>
      <c r="BF29" s="12">
        <v>760.89202880859375</v>
      </c>
      <c r="BG29" s="12">
        <v>1367.6121826171875</v>
      </c>
      <c r="BH29" s="12">
        <v>1071.235107421875</v>
      </c>
      <c r="BI29" s="12">
        <v>731.65789794921875</v>
      </c>
      <c r="BJ29" s="12">
        <v>551.8330078125</v>
      </c>
      <c r="BK29" s="12">
        <v>318.90097045898438</v>
      </c>
      <c r="BL29" s="12">
        <v>844.85687255859375</v>
      </c>
      <c r="BM29" s="12">
        <v>885.19927978515625</v>
      </c>
      <c r="BN29" s="12">
        <v>791.3641357421875</v>
      </c>
      <c r="BO29" s="12">
        <v>631.83709716796875</v>
      </c>
      <c r="BP29" s="12">
        <v>1403.3310546875</v>
      </c>
      <c r="BQ29" s="12"/>
      <c r="BR29" s="12"/>
    </row>
    <row r="30" spans="2:70" x14ac:dyDescent="0.2">
      <c r="B30">
        <v>1825</v>
      </c>
      <c r="C30" s="12">
        <v>790.5369873046875</v>
      </c>
      <c r="D30" s="12">
        <v>1586.159912109375</v>
      </c>
      <c r="E30" s="12">
        <v>1672.8973388671875</v>
      </c>
      <c r="F30" s="12">
        <v>733.72607421875</v>
      </c>
      <c r="G30" s="12">
        <v>725.82318115234375</v>
      </c>
      <c r="H30" s="12">
        <v>616.6002197265625</v>
      </c>
      <c r="I30" s="12">
        <v>637.92181396484375</v>
      </c>
      <c r="J30" s="12">
        <v>704.1357421875</v>
      </c>
      <c r="K30" s="12">
        <v>729.10595703125</v>
      </c>
      <c r="L30" s="12">
        <v>2167.5869140625</v>
      </c>
      <c r="M30" s="12">
        <v>1770.8714599609375</v>
      </c>
      <c r="N30" s="12">
        <v>1767.1605224609375</v>
      </c>
      <c r="O30" s="12">
        <v>1553.836669921875</v>
      </c>
      <c r="P30" s="12">
        <v>3327.017578125</v>
      </c>
      <c r="Q30" s="12">
        <v>2129.827392578125</v>
      </c>
      <c r="R30" s="12">
        <v>2573.66748046875</v>
      </c>
      <c r="S30" s="12">
        <v>1712.9486083984375</v>
      </c>
      <c r="T30" s="12">
        <v>1208.96240234375</v>
      </c>
      <c r="U30" s="12">
        <v>1818.9984130859375</v>
      </c>
      <c r="V30" s="12">
        <v>737.49273681640625</v>
      </c>
      <c r="W30" s="12">
        <v>2072.486328125</v>
      </c>
      <c r="X30" s="12">
        <v>1103.352783203125</v>
      </c>
      <c r="Y30" s="12">
        <v>1005.1812744140625</v>
      </c>
      <c r="Z30" s="12">
        <v>862.3009033203125</v>
      </c>
      <c r="AA30" s="12">
        <v>372.482666015625</v>
      </c>
      <c r="AB30" s="12">
        <v>1082.7301025390625</v>
      </c>
      <c r="AC30" s="12">
        <v>686.16583251953125</v>
      </c>
      <c r="AD30" s="12">
        <v>693.661376953125</v>
      </c>
      <c r="AE30" s="12">
        <v>1069.705078125</v>
      </c>
      <c r="AF30" s="12">
        <v>814.85333251953125</v>
      </c>
      <c r="AG30" s="12">
        <v>431.19509887695312</v>
      </c>
      <c r="AH30" s="12">
        <v>499.65240478515625</v>
      </c>
      <c r="AI30" s="12">
        <v>745.7677001953125</v>
      </c>
      <c r="AJ30" s="12">
        <v>902.50128173828125</v>
      </c>
      <c r="AK30" s="12">
        <v>550.9957275390625</v>
      </c>
      <c r="AL30" s="12">
        <v>544.611328125</v>
      </c>
      <c r="AM30" s="12">
        <v>1324.202880859375</v>
      </c>
      <c r="AN30" s="12">
        <v>688.25994873046875</v>
      </c>
      <c r="AO30" s="12">
        <v>1148.3880615234375</v>
      </c>
      <c r="AP30" s="12">
        <v>920.0360107421875</v>
      </c>
      <c r="AQ30" s="12">
        <v>637.18804931640625</v>
      </c>
      <c r="AR30" s="12">
        <v>518.8502197265625</v>
      </c>
      <c r="AS30" s="12">
        <v>742.01519775390625</v>
      </c>
      <c r="AT30" s="12">
        <v>681.950439453125</v>
      </c>
      <c r="AU30" s="12">
        <v>670.1524658203125</v>
      </c>
      <c r="AV30" s="12">
        <v>697.59576416015625</v>
      </c>
      <c r="AW30" s="12">
        <v>398.09616088867188</v>
      </c>
      <c r="AX30" s="12">
        <v>334.81948852539062</v>
      </c>
      <c r="AY30" s="12">
        <v>1733.5556640625</v>
      </c>
      <c r="AZ30" s="12">
        <v>269.9246826171875</v>
      </c>
      <c r="BA30" s="12">
        <v>817.1673583984375</v>
      </c>
      <c r="BB30" s="12">
        <v>664.14501953125</v>
      </c>
      <c r="BC30" s="12">
        <v>693.160888671875</v>
      </c>
      <c r="BD30" s="12">
        <v>816.91668701171875</v>
      </c>
      <c r="BE30" s="12">
        <v>563.96893310546875</v>
      </c>
      <c r="BF30" s="12">
        <v>760.81329345703125</v>
      </c>
      <c r="BG30" s="12">
        <v>1362.3885498046875</v>
      </c>
      <c r="BH30" s="12">
        <v>1067.79345703125</v>
      </c>
      <c r="BI30" s="12">
        <v>731.8570556640625</v>
      </c>
      <c r="BJ30" s="12">
        <v>567.13525390625</v>
      </c>
      <c r="BK30" s="12">
        <v>318.76324462890625</v>
      </c>
      <c r="BL30" s="12">
        <v>842.14251708984375</v>
      </c>
      <c r="BM30" s="12">
        <v>883.96453857421875</v>
      </c>
      <c r="BN30" s="12">
        <v>792.033935546875</v>
      </c>
      <c r="BO30" s="12">
        <v>631.11822509765625</v>
      </c>
      <c r="BP30" s="12">
        <v>1405.3270263671875</v>
      </c>
      <c r="BQ30" s="12"/>
      <c r="BR30" s="12"/>
    </row>
    <row r="31" spans="2:70" x14ac:dyDescent="0.2">
      <c r="B31">
        <v>1826</v>
      </c>
      <c r="C31" s="12">
        <v>791.56561279296875</v>
      </c>
      <c r="D31" s="12">
        <v>1580.791748046875</v>
      </c>
      <c r="E31" s="12">
        <v>1665.2493896484375</v>
      </c>
      <c r="F31" s="12">
        <v>735.234130859375</v>
      </c>
      <c r="G31" s="12">
        <v>730.5289306640625</v>
      </c>
      <c r="H31" s="12">
        <v>620.60693359375</v>
      </c>
      <c r="I31" s="12">
        <v>638.522705078125</v>
      </c>
      <c r="J31" s="12">
        <v>702.03839111328125</v>
      </c>
      <c r="K31" s="12">
        <v>732.8333740234375</v>
      </c>
      <c r="L31" s="12">
        <v>2171.73291015625</v>
      </c>
      <c r="M31" s="12">
        <v>1773.6405029296875</v>
      </c>
      <c r="N31" s="12">
        <v>1904.627685546875</v>
      </c>
      <c r="O31" s="12">
        <v>1545.1617431640625</v>
      </c>
      <c r="P31" s="12">
        <v>3212.74658203125</v>
      </c>
      <c r="Q31" s="12">
        <v>2126.57373046875</v>
      </c>
      <c r="R31" s="12">
        <v>2653.84375</v>
      </c>
      <c r="S31" s="12">
        <v>1720.0777587890625</v>
      </c>
      <c r="T31" s="12">
        <v>1218.498779296875</v>
      </c>
      <c r="U31" s="12">
        <v>1816.7525634765625</v>
      </c>
      <c r="V31" s="12">
        <v>736.49603271484375</v>
      </c>
      <c r="W31" s="12">
        <v>2051.83447265625</v>
      </c>
      <c r="X31" s="12">
        <v>1114.569580078125</v>
      </c>
      <c r="Y31" s="12">
        <v>1022.6068115234375</v>
      </c>
      <c r="Z31" s="12">
        <v>885.59197998046875</v>
      </c>
      <c r="AA31" s="12">
        <v>369.54547119140625</v>
      </c>
      <c r="AB31" s="12">
        <v>1090.961669921875</v>
      </c>
      <c r="AC31" s="12">
        <v>686.5078125</v>
      </c>
      <c r="AD31" s="12">
        <v>613.5452880859375</v>
      </c>
      <c r="AE31" s="12">
        <v>1054.4151611328125</v>
      </c>
      <c r="AF31" s="12">
        <v>816.1319580078125</v>
      </c>
      <c r="AG31" s="12">
        <v>442.23855590820312</v>
      </c>
      <c r="AH31" s="12">
        <v>500.05776977539062</v>
      </c>
      <c r="AI31" s="12">
        <v>757.316650390625</v>
      </c>
      <c r="AJ31" s="12">
        <v>909.49322509765625</v>
      </c>
      <c r="AK31" s="12">
        <v>552.6805419921875</v>
      </c>
      <c r="AL31" s="12">
        <v>547.58203125</v>
      </c>
      <c r="AM31" s="12">
        <v>1326.6353759765625</v>
      </c>
      <c r="AN31" s="12">
        <v>693.26544189453125</v>
      </c>
      <c r="AO31" s="12">
        <v>1156.2540283203125</v>
      </c>
      <c r="AP31" s="12">
        <v>920.73211669921875</v>
      </c>
      <c r="AQ31" s="12">
        <v>637.67010498046875</v>
      </c>
      <c r="AR31" s="12">
        <v>519.2427978515625</v>
      </c>
      <c r="AS31" s="12">
        <v>742.63299560546875</v>
      </c>
      <c r="AT31" s="12">
        <v>682.46649169921875</v>
      </c>
      <c r="AU31" s="12">
        <v>670.65948486328125</v>
      </c>
      <c r="AV31" s="12">
        <v>698.12353515625</v>
      </c>
      <c r="AW31" s="12">
        <v>398.3973388671875</v>
      </c>
      <c r="AX31" s="12">
        <v>335.07281494140625</v>
      </c>
      <c r="AY31" s="12">
        <v>1805.252197265625</v>
      </c>
      <c r="AZ31" s="12">
        <v>271.62286376953125</v>
      </c>
      <c r="BA31" s="12">
        <v>817.944580078125</v>
      </c>
      <c r="BB31" s="12">
        <v>664.77667236328125</v>
      </c>
      <c r="BC31" s="12">
        <v>690.30133056640625</v>
      </c>
      <c r="BD31" s="12">
        <v>819.3026123046875</v>
      </c>
      <c r="BE31" s="12">
        <v>564.0455322265625</v>
      </c>
      <c r="BF31" s="12">
        <v>760.86285400390625</v>
      </c>
      <c r="BG31" s="12">
        <v>1357.9364013671875</v>
      </c>
      <c r="BH31" s="12">
        <v>1064.8988037109375</v>
      </c>
      <c r="BI31" s="12">
        <v>732.5489501953125</v>
      </c>
      <c r="BJ31" s="12">
        <v>601.2230224609375</v>
      </c>
      <c r="BK31" s="12">
        <v>318.78582763671875</v>
      </c>
      <c r="BL31" s="12">
        <v>839.85955810546875</v>
      </c>
      <c r="BM31" s="12">
        <v>885.1824951171875</v>
      </c>
      <c r="BN31" s="12">
        <v>793.10333251953125</v>
      </c>
      <c r="BO31" s="12">
        <v>630.61102294921875</v>
      </c>
      <c r="BP31" s="12">
        <v>1411.037841796875</v>
      </c>
      <c r="BQ31" s="12"/>
      <c r="BR31" s="12"/>
    </row>
    <row r="32" spans="2:70" x14ac:dyDescent="0.2">
      <c r="B32">
        <v>1827</v>
      </c>
      <c r="C32" s="12">
        <v>787.60516357421875</v>
      </c>
      <c r="D32" s="12">
        <v>1559.972900390625</v>
      </c>
      <c r="E32" s="12">
        <v>1656.4637451171875</v>
      </c>
      <c r="F32" s="12">
        <v>737.65692138671875</v>
      </c>
      <c r="G32" s="12">
        <v>735.14990234375</v>
      </c>
      <c r="H32" s="12">
        <v>620.738525390625</v>
      </c>
      <c r="I32" s="12">
        <v>638.9969482421875</v>
      </c>
      <c r="J32" s="12">
        <v>699.614501953125</v>
      </c>
      <c r="K32" s="12">
        <v>733.39080810546875</v>
      </c>
      <c r="L32" s="12">
        <v>2126.749755859375</v>
      </c>
      <c r="M32" s="12">
        <v>1807.4095458984375</v>
      </c>
      <c r="N32" s="12">
        <v>1940.3258056640625</v>
      </c>
      <c r="O32" s="12">
        <v>1490.3218994140625</v>
      </c>
      <c r="P32" s="12">
        <v>3157.474853515625</v>
      </c>
      <c r="Q32" s="12">
        <v>2120.528564453125</v>
      </c>
      <c r="R32" s="12">
        <v>2810.816650390625</v>
      </c>
      <c r="S32" s="12">
        <v>1727.11181640625</v>
      </c>
      <c r="T32" s="12">
        <v>1159.046630859375</v>
      </c>
      <c r="U32" s="12">
        <v>1793.476806640625</v>
      </c>
      <c r="V32" s="12">
        <v>726.9820556640625</v>
      </c>
      <c r="W32" s="12">
        <v>2029.7327880859375</v>
      </c>
      <c r="X32" s="12">
        <v>1125.8443603515625</v>
      </c>
      <c r="Y32" s="12">
        <v>1054.31201171875</v>
      </c>
      <c r="Z32" s="12">
        <v>909.37493896484375</v>
      </c>
      <c r="AA32" s="12">
        <v>366.50497436523438</v>
      </c>
      <c r="AB32" s="12">
        <v>1099.1466064453125</v>
      </c>
      <c r="AC32" s="12">
        <v>686.1378173828125</v>
      </c>
      <c r="AD32" s="12">
        <v>607.76605224609375</v>
      </c>
      <c r="AE32" s="12">
        <v>1043.3135986328125</v>
      </c>
      <c r="AF32" s="12">
        <v>817.331298828125</v>
      </c>
      <c r="AG32" s="12">
        <v>441.38812255859375</v>
      </c>
      <c r="AH32" s="12">
        <v>500.43890380859375</v>
      </c>
      <c r="AI32" s="12">
        <v>768.96875</v>
      </c>
      <c r="AJ32" s="12">
        <v>916.3125</v>
      </c>
      <c r="AK32" s="12">
        <v>554.233154296875</v>
      </c>
      <c r="AL32" s="12">
        <v>550.51483154296875</v>
      </c>
      <c r="AM32" s="12">
        <v>1329.007080078125</v>
      </c>
      <c r="AN32" s="12">
        <v>698.2041015625</v>
      </c>
      <c r="AO32" s="12">
        <v>1163.984375</v>
      </c>
      <c r="AP32" s="12">
        <v>921.38348388671875</v>
      </c>
      <c r="AQ32" s="12">
        <v>638.12115478515625</v>
      </c>
      <c r="AR32" s="12">
        <v>519.610107421875</v>
      </c>
      <c r="AS32" s="12">
        <v>743.2034912109375</v>
      </c>
      <c r="AT32" s="12">
        <v>682.94927978515625</v>
      </c>
      <c r="AU32" s="12">
        <v>671.13397216796875</v>
      </c>
      <c r="AV32" s="12">
        <v>698.61749267578125</v>
      </c>
      <c r="AW32" s="12">
        <v>398.67919921875</v>
      </c>
      <c r="AX32" s="12">
        <v>335.309814453125</v>
      </c>
      <c r="AY32" s="12">
        <v>1800.701904296875</v>
      </c>
      <c r="AZ32" s="12">
        <v>271.70208740234375</v>
      </c>
      <c r="BA32" s="12">
        <v>818.55902099609375</v>
      </c>
      <c r="BB32" s="12">
        <v>665.27618408203125</v>
      </c>
      <c r="BC32" s="12">
        <v>687.40570068359375</v>
      </c>
      <c r="BD32" s="12">
        <v>821.63916015625</v>
      </c>
      <c r="BE32" s="12">
        <v>564.0941162109375</v>
      </c>
      <c r="BF32" s="12">
        <v>760.874755859375</v>
      </c>
      <c r="BG32" s="12">
        <v>1353.18798828125</v>
      </c>
      <c r="BH32" s="12">
        <v>1061.8548583984375</v>
      </c>
      <c r="BI32" s="12">
        <v>733.09661865234375</v>
      </c>
      <c r="BJ32" s="12">
        <v>605.95135498046875</v>
      </c>
      <c r="BK32" s="12">
        <v>318.76132202148438</v>
      </c>
      <c r="BL32" s="12">
        <v>837.45892333984375</v>
      </c>
      <c r="BM32" s="12">
        <v>886.3148193359375</v>
      </c>
      <c r="BN32" s="12">
        <v>794.05670166015625</v>
      </c>
      <c r="BO32" s="12">
        <v>630.04217529296875</v>
      </c>
      <c r="BP32" s="12">
        <v>1411.723876953125</v>
      </c>
      <c r="BQ32" s="12"/>
      <c r="BR32" s="12"/>
    </row>
    <row r="33" spans="2:70" x14ac:dyDescent="0.2">
      <c r="B33">
        <v>1828</v>
      </c>
      <c r="C33" s="12">
        <v>780.33160400390625</v>
      </c>
      <c r="D33" s="12">
        <v>1532.2054443359375</v>
      </c>
      <c r="E33" s="12">
        <v>1589.45849609375</v>
      </c>
      <c r="F33" s="12">
        <v>739.71185302734375</v>
      </c>
      <c r="G33" s="12">
        <v>739.948974609375</v>
      </c>
      <c r="H33" s="12">
        <v>620.907958984375</v>
      </c>
      <c r="I33" s="12">
        <v>639.6119384765625</v>
      </c>
      <c r="J33" s="12">
        <v>697.28369140625</v>
      </c>
      <c r="K33" s="12">
        <v>732.38616943359375</v>
      </c>
      <c r="L33" s="12">
        <v>2072.250732421875</v>
      </c>
      <c r="M33" s="12">
        <v>1818.6312255859375</v>
      </c>
      <c r="N33" s="12">
        <v>1928.7052001953125</v>
      </c>
      <c r="O33" s="12">
        <v>1348.87158203125</v>
      </c>
      <c r="P33" s="12">
        <v>3228.01220703125</v>
      </c>
      <c r="Q33" s="12">
        <v>2115.54052734375</v>
      </c>
      <c r="R33" s="12">
        <v>2831.869384765625</v>
      </c>
      <c r="S33" s="12">
        <v>1734.296142578125</v>
      </c>
      <c r="T33" s="12">
        <v>1178.79296875</v>
      </c>
      <c r="U33" s="12">
        <v>1760.6209716796875</v>
      </c>
      <c r="V33" s="12">
        <v>713.568359375</v>
      </c>
      <c r="W33" s="12">
        <v>1932.9971923828125</v>
      </c>
      <c r="X33" s="12">
        <v>1137.295166015625</v>
      </c>
      <c r="Y33" s="12">
        <v>1081.9805908203125</v>
      </c>
      <c r="Z33" s="12">
        <v>933.9329833984375</v>
      </c>
      <c r="AA33" s="12">
        <v>350.25384521484375</v>
      </c>
      <c r="AB33" s="12">
        <v>1107.5164794921875</v>
      </c>
      <c r="AC33" s="12">
        <v>686.548583984375</v>
      </c>
      <c r="AD33" s="12">
        <v>578.5093994140625</v>
      </c>
      <c r="AE33" s="12">
        <v>1051.06982421875</v>
      </c>
      <c r="AF33" s="12">
        <v>818.62225341796875</v>
      </c>
      <c r="AG33" s="12">
        <v>442.07122802734375</v>
      </c>
      <c r="AH33" s="12">
        <v>500.84719848632812</v>
      </c>
      <c r="AI33" s="12">
        <v>780.8846435546875</v>
      </c>
      <c r="AJ33" s="12">
        <v>923.43359375</v>
      </c>
      <c r="AK33" s="12">
        <v>555.941162109375</v>
      </c>
      <c r="AL33" s="12">
        <v>553.52301025390625</v>
      </c>
      <c r="AM33" s="12">
        <v>1331.455078125</v>
      </c>
      <c r="AN33" s="12">
        <v>703.2926025390625</v>
      </c>
      <c r="AO33" s="12">
        <v>1172.0057373046875</v>
      </c>
      <c r="AP33" s="12">
        <v>922.0838623046875</v>
      </c>
      <c r="AQ33" s="12">
        <v>638.6068115234375</v>
      </c>
      <c r="AR33" s="12">
        <v>520.00579833984375</v>
      </c>
      <c r="AS33" s="12">
        <v>743.8360595703125</v>
      </c>
      <c r="AT33" s="12">
        <v>683.468994140625</v>
      </c>
      <c r="AU33" s="12">
        <v>671.644775390625</v>
      </c>
      <c r="AV33" s="12">
        <v>699.14910888671875</v>
      </c>
      <c r="AW33" s="12">
        <v>398.98281860351562</v>
      </c>
      <c r="AX33" s="12">
        <v>335.56533813476562</v>
      </c>
      <c r="AY33" s="12">
        <v>1796.357421875</v>
      </c>
      <c r="AZ33" s="12">
        <v>271.79592895507812</v>
      </c>
      <c r="BA33" s="12">
        <v>819.35333251953125</v>
      </c>
      <c r="BB33" s="12">
        <v>665.92181396484375</v>
      </c>
      <c r="BC33" s="12">
        <v>684.57464599609375</v>
      </c>
      <c r="BD33" s="12">
        <v>824.04461669921875</v>
      </c>
      <c r="BE33" s="12">
        <v>564.173583984375</v>
      </c>
      <c r="BF33" s="12">
        <v>760.927978515625</v>
      </c>
      <c r="BG33" s="12">
        <v>1348.6180419921875</v>
      </c>
      <c r="BH33" s="12">
        <v>1058.9918212890625</v>
      </c>
      <c r="BI33" s="12">
        <v>733.803955078125</v>
      </c>
      <c r="BJ33" s="12">
        <v>594.995849609375</v>
      </c>
      <c r="BK33" s="12">
        <v>318.78842163085938</v>
      </c>
      <c r="BL33" s="12">
        <v>835.2008056640625</v>
      </c>
      <c r="BM33" s="12">
        <v>887.544677734375</v>
      </c>
      <c r="BN33" s="12">
        <v>793.1007080078125</v>
      </c>
      <c r="BO33" s="12">
        <v>629.54168701171875</v>
      </c>
      <c r="BP33" s="12">
        <v>1409.982421875</v>
      </c>
      <c r="BQ33" s="12"/>
      <c r="BR33" s="12"/>
    </row>
    <row r="34" spans="2:70" x14ac:dyDescent="0.2">
      <c r="B34">
        <v>1829</v>
      </c>
      <c r="C34" s="12">
        <v>784.17913818359375</v>
      </c>
      <c r="D34" s="12">
        <v>1543.6143798828125</v>
      </c>
      <c r="E34" s="12">
        <v>1606.21875</v>
      </c>
      <c r="F34" s="12">
        <v>742.54107666015625</v>
      </c>
      <c r="G34" s="12">
        <v>744.70709228515625</v>
      </c>
      <c r="H34" s="12">
        <v>623.03448486328125</v>
      </c>
      <c r="I34" s="12">
        <v>640.156494140625</v>
      </c>
      <c r="J34" s="12">
        <v>694.9381103515625</v>
      </c>
      <c r="K34" s="12">
        <v>730.74114990234375</v>
      </c>
      <c r="L34" s="12">
        <v>2095.770263671875</v>
      </c>
      <c r="M34" s="12">
        <v>1774.2989501953125</v>
      </c>
      <c r="N34" s="12">
        <v>1963.7100830078125</v>
      </c>
      <c r="O34" s="12">
        <v>1390.5479736328125</v>
      </c>
      <c r="P34" s="12">
        <v>3199.572998046875</v>
      </c>
      <c r="Q34" s="12">
        <v>2109.59619140625</v>
      </c>
      <c r="R34" s="12">
        <v>2871.07177734375</v>
      </c>
      <c r="S34" s="12">
        <v>1741.439453125</v>
      </c>
      <c r="T34" s="12">
        <v>1195.82470703125</v>
      </c>
      <c r="U34" s="12">
        <v>1774.6063232421875</v>
      </c>
      <c r="V34" s="12">
        <v>719.14300537109375</v>
      </c>
      <c r="W34" s="12">
        <v>1944.530517578125</v>
      </c>
      <c r="X34" s="12">
        <v>1148.8309326171875</v>
      </c>
      <c r="Y34" s="12">
        <v>1140.328857421875</v>
      </c>
      <c r="Z34" s="12">
        <v>959.0728759765625</v>
      </c>
      <c r="AA34" s="12">
        <v>353.24484252929688</v>
      </c>
      <c r="AB34" s="12">
        <v>1115.8851318359375</v>
      </c>
      <c r="AC34" s="12">
        <v>686.56494140625</v>
      </c>
      <c r="AD34" s="12">
        <v>583.55767822265625</v>
      </c>
      <c r="AE34" s="12">
        <v>1048.8162841796875</v>
      </c>
      <c r="AF34" s="12">
        <v>819.869873046875</v>
      </c>
      <c r="AG34" s="12">
        <v>442.64764404296875</v>
      </c>
      <c r="AH34" s="12">
        <v>501.24212646484375</v>
      </c>
      <c r="AI34" s="12">
        <v>792.94171142578125</v>
      </c>
      <c r="AJ34" s="12">
        <v>930.481689453125</v>
      </c>
      <c r="AK34" s="12">
        <v>557.5775146484375</v>
      </c>
      <c r="AL34" s="12">
        <v>556.51715087890625</v>
      </c>
      <c r="AM34" s="12">
        <v>1333.8709716796875</v>
      </c>
      <c r="AN34" s="12">
        <v>708.35906982421875</v>
      </c>
      <c r="AO34" s="12">
        <v>1179.9842529296875</v>
      </c>
      <c r="AP34" s="12">
        <v>922.7603759765625</v>
      </c>
      <c r="AQ34" s="12">
        <v>639.07537841796875</v>
      </c>
      <c r="AR34" s="12">
        <v>520.3875732421875</v>
      </c>
      <c r="AS34" s="12">
        <v>744.44293212890625</v>
      </c>
      <c r="AT34" s="12">
        <v>683.970458984375</v>
      </c>
      <c r="AU34" s="12">
        <v>672.13751220703125</v>
      </c>
      <c r="AV34" s="12">
        <v>699.662109375</v>
      </c>
      <c r="AW34" s="12">
        <v>399.27569580078125</v>
      </c>
      <c r="AX34" s="12">
        <v>335.81155395507812</v>
      </c>
      <c r="AY34" s="12">
        <v>1830.617431640625</v>
      </c>
      <c r="AZ34" s="12">
        <v>272.70584106445312</v>
      </c>
      <c r="BA34" s="12">
        <v>820.05718994140625</v>
      </c>
      <c r="BB34" s="12">
        <v>666.494140625</v>
      </c>
      <c r="BC34" s="12">
        <v>681.72882080078125</v>
      </c>
      <c r="BD34" s="12">
        <v>826.42510986328125</v>
      </c>
      <c r="BE34" s="12">
        <v>564.23748779296875</v>
      </c>
      <c r="BF34" s="12">
        <v>760.960205078125</v>
      </c>
      <c r="BG34" s="12">
        <v>1343.989990234375</v>
      </c>
      <c r="BH34" s="12">
        <v>1056.04931640625</v>
      </c>
      <c r="BI34" s="12">
        <v>734.43115234375</v>
      </c>
      <c r="BJ34" s="12">
        <v>578.35723876953125</v>
      </c>
      <c r="BK34" s="12">
        <v>318.78924560546875</v>
      </c>
      <c r="BL34" s="12">
        <v>832.8802490234375</v>
      </c>
      <c r="BM34" s="12">
        <v>888.7275390625</v>
      </c>
      <c r="BN34" s="12">
        <v>794.11859130859375</v>
      </c>
      <c r="BO34" s="12">
        <v>629.007080078125</v>
      </c>
      <c r="BP34" s="12">
        <v>1407.1864013671875</v>
      </c>
      <c r="BQ34" s="12"/>
      <c r="BR34" s="12"/>
    </row>
    <row r="35" spans="2:70" x14ac:dyDescent="0.2">
      <c r="B35">
        <v>1830</v>
      </c>
      <c r="C35" s="12">
        <v>783.93572998046875</v>
      </c>
      <c r="D35" s="12">
        <v>1527.7484130859375</v>
      </c>
      <c r="E35" s="12">
        <v>1721.4744873046875</v>
      </c>
      <c r="F35" s="12">
        <v>741.78839111328125</v>
      </c>
      <c r="G35" s="12">
        <v>749.61444091796875</v>
      </c>
      <c r="H35" s="12">
        <v>623.210693359375</v>
      </c>
      <c r="I35" s="12">
        <v>640.80914306640625</v>
      </c>
      <c r="J35" s="12">
        <v>692.65472412109375</v>
      </c>
      <c r="K35" s="12">
        <v>730.2852783203125</v>
      </c>
      <c r="L35" s="12">
        <v>2068.672607421875</v>
      </c>
      <c r="M35" s="12">
        <v>1783.074462890625</v>
      </c>
      <c r="N35" s="12">
        <v>1987.1392822265625</v>
      </c>
      <c r="O35" s="12">
        <v>1354.9666748046875</v>
      </c>
      <c r="P35" s="12">
        <v>3182.50732421875</v>
      </c>
      <c r="Q35" s="12">
        <v>2107.367919921875</v>
      </c>
      <c r="R35" s="12">
        <v>2592.056396484375</v>
      </c>
      <c r="S35" s="12">
        <v>1748.6978759765625</v>
      </c>
      <c r="T35" s="12">
        <v>1166.978515625</v>
      </c>
      <c r="U35" s="12">
        <v>1757.88330078125</v>
      </c>
      <c r="V35" s="12">
        <v>712.24871826171875</v>
      </c>
      <c r="W35" s="12">
        <v>2078.02587890625</v>
      </c>
      <c r="X35" s="12">
        <v>1160.531982421875</v>
      </c>
      <c r="Y35" s="12">
        <v>1384.0123291015625</v>
      </c>
      <c r="Z35" s="12">
        <v>984.990966796875</v>
      </c>
      <c r="AA35" s="12">
        <v>377.00927734375</v>
      </c>
      <c r="AB35" s="12">
        <v>1115.835693359375</v>
      </c>
      <c r="AC35" s="12">
        <v>650.5743408203125</v>
      </c>
      <c r="AD35" s="12">
        <v>573.74249267578125</v>
      </c>
      <c r="AE35" s="12">
        <v>1050.3856201171875</v>
      </c>
      <c r="AF35" s="12">
        <v>821.187744140625</v>
      </c>
      <c r="AG35" s="12">
        <v>444.11831665039062</v>
      </c>
      <c r="AH35" s="12">
        <v>501.658203125</v>
      </c>
      <c r="AI35" s="12">
        <v>805.25115966796875</v>
      </c>
      <c r="AJ35" s="12">
        <v>937.77923583984375</v>
      </c>
      <c r="AK35" s="12">
        <v>559.33538818359375</v>
      </c>
      <c r="AL35" s="12">
        <v>559.5738525390625</v>
      </c>
      <c r="AM35" s="12">
        <v>1336.345703125</v>
      </c>
      <c r="AN35" s="12">
        <v>713.5511474609375</v>
      </c>
      <c r="AO35" s="12">
        <v>1188.206298828125</v>
      </c>
      <c r="AP35" s="12">
        <v>923.47772216796875</v>
      </c>
      <c r="AQ35" s="12">
        <v>639.5709228515625</v>
      </c>
      <c r="AR35" s="12">
        <v>520.79083251953125</v>
      </c>
      <c r="AS35" s="12">
        <v>745.10662841796875</v>
      </c>
      <c r="AT35" s="12">
        <v>684.5008544921875</v>
      </c>
      <c r="AU35" s="12">
        <v>672.65869140625</v>
      </c>
      <c r="AV35" s="12">
        <v>700.2047119140625</v>
      </c>
      <c r="AW35" s="12">
        <v>399.58517456054688</v>
      </c>
      <c r="AX35" s="12">
        <v>336.07196044921875</v>
      </c>
      <c r="AY35" s="12">
        <v>1826.2508544921875</v>
      </c>
      <c r="AZ35" s="12">
        <v>272.80325317382812</v>
      </c>
      <c r="BA35" s="12">
        <v>820.89984130859375</v>
      </c>
      <c r="BB35" s="12">
        <v>667.17889404296875</v>
      </c>
      <c r="BC35" s="12">
        <v>678.9342041015625</v>
      </c>
      <c r="BD35" s="12">
        <v>828.86151123046875</v>
      </c>
      <c r="BE35" s="12">
        <v>564.3245849609375</v>
      </c>
      <c r="BF35" s="12">
        <v>761.0242919921875</v>
      </c>
      <c r="BG35" s="12">
        <v>1339.5087890625</v>
      </c>
      <c r="BH35" s="12">
        <v>1053.24560546875</v>
      </c>
      <c r="BI35" s="12">
        <v>735.1806640625</v>
      </c>
      <c r="BJ35" s="12">
        <v>570.231689453125</v>
      </c>
      <c r="BK35" s="12">
        <v>318.82992553710938</v>
      </c>
      <c r="BL35" s="12">
        <v>830.6689453125</v>
      </c>
      <c r="BM35" s="12">
        <v>889.98516845703125</v>
      </c>
      <c r="BN35" s="12">
        <v>795.26959228515625</v>
      </c>
      <c r="BO35" s="12">
        <v>628.5252685546875</v>
      </c>
      <c r="BP35" s="12">
        <v>1406.09619140625</v>
      </c>
      <c r="BQ35" s="12"/>
      <c r="BR35" s="12"/>
    </row>
    <row r="36" spans="2:70" x14ac:dyDescent="0.2">
      <c r="B36">
        <v>1831</v>
      </c>
      <c r="C36" s="12">
        <v>789.01611328125</v>
      </c>
      <c r="D36" s="12">
        <v>1542.290283203125</v>
      </c>
      <c r="E36" s="12">
        <v>1740.8795166015625</v>
      </c>
      <c r="F36" s="12">
        <v>746.59039306640625</v>
      </c>
      <c r="G36" s="12">
        <v>756.893310546875</v>
      </c>
      <c r="H36" s="12">
        <v>615.09613037109375</v>
      </c>
      <c r="I36" s="12">
        <v>639.899658203125</v>
      </c>
      <c r="J36" s="12">
        <v>693.134033203125</v>
      </c>
      <c r="K36" s="12">
        <v>729.8592529296875</v>
      </c>
      <c r="L36" s="12">
        <v>2049.967041015625</v>
      </c>
      <c r="M36" s="12">
        <v>1767.53857421875</v>
      </c>
      <c r="N36" s="12">
        <v>1979.427001953125</v>
      </c>
      <c r="O36" s="12">
        <v>1364.024169921875</v>
      </c>
      <c r="P36" s="12">
        <v>3275.4423828125</v>
      </c>
      <c r="Q36" s="12">
        <v>2106.123046875</v>
      </c>
      <c r="R36" s="12">
        <v>2603.36962890625</v>
      </c>
      <c r="S36" s="12">
        <v>1644.559326171875</v>
      </c>
      <c r="T36" s="12">
        <v>1191.9429931640625</v>
      </c>
      <c r="U36" s="12">
        <v>1774.366943359375</v>
      </c>
      <c r="V36" s="12">
        <v>718.78558349609375</v>
      </c>
      <c r="W36" s="12">
        <v>2094.11767578125</v>
      </c>
      <c r="X36" s="12">
        <v>1178.1407470703125</v>
      </c>
      <c r="Y36" s="12">
        <v>1431.1837158203125</v>
      </c>
      <c r="Z36" s="12">
        <v>1011.6370849609375</v>
      </c>
      <c r="AA36" s="12">
        <v>379.37689208984375</v>
      </c>
      <c r="AB36" s="12">
        <v>1124.5914306640625</v>
      </c>
      <c r="AC36" s="12">
        <v>652.2261962890625</v>
      </c>
      <c r="AD36" s="12">
        <v>594.89959716796875</v>
      </c>
      <c r="AE36" s="12">
        <v>1066.615234375</v>
      </c>
      <c r="AF36" s="12">
        <v>822.53155517578125</v>
      </c>
      <c r="AG36" s="12">
        <v>460.2451171875</v>
      </c>
      <c r="AH36" s="12">
        <v>502.08169555664062</v>
      </c>
      <c r="AI36" s="12">
        <v>817.775634765625</v>
      </c>
      <c r="AJ36" s="12">
        <v>945.2027587890625</v>
      </c>
      <c r="AK36" s="12">
        <v>561.1395263671875</v>
      </c>
      <c r="AL36" s="12">
        <v>562.6634521484375</v>
      </c>
      <c r="AM36" s="12">
        <v>1338.8450927734375</v>
      </c>
      <c r="AN36" s="12">
        <v>718.81170654296875</v>
      </c>
      <c r="AO36" s="12">
        <v>1196.1851806640625</v>
      </c>
      <c r="AP36" s="12">
        <v>924.20440673828125</v>
      </c>
      <c r="AQ36" s="12">
        <v>640.0760498046875</v>
      </c>
      <c r="AR36" s="12">
        <v>521.20220947265625</v>
      </c>
      <c r="AS36" s="12">
        <v>745.80267333984375</v>
      </c>
      <c r="AT36" s="12">
        <v>685.04150390625</v>
      </c>
      <c r="AU36" s="12">
        <v>673.19000244140625</v>
      </c>
      <c r="AV36" s="12">
        <v>700.7578125</v>
      </c>
      <c r="AW36" s="12">
        <v>399.9007568359375</v>
      </c>
      <c r="AX36" s="12">
        <v>336.33706665039062</v>
      </c>
      <c r="AY36" s="12">
        <v>1658.8251953125</v>
      </c>
      <c r="AZ36" s="12">
        <v>269.43502807617188</v>
      </c>
      <c r="BA36" s="12">
        <v>819.7398681640625</v>
      </c>
      <c r="BB36" s="12">
        <v>666.236083984375</v>
      </c>
      <c r="BC36" s="12">
        <v>679.2291259765625</v>
      </c>
      <c r="BD36" s="12">
        <v>831.32147216796875</v>
      </c>
      <c r="BE36" s="12">
        <v>564.42022705078125</v>
      </c>
      <c r="BF36" s="12">
        <v>761.0992431640625</v>
      </c>
      <c r="BG36" s="12">
        <v>1340.4404296875</v>
      </c>
      <c r="BH36" s="12">
        <v>1050.495361328125</v>
      </c>
      <c r="BI36" s="12">
        <v>735.97393798828125</v>
      </c>
      <c r="BJ36" s="12">
        <v>562.8597412109375</v>
      </c>
      <c r="BK36" s="12">
        <v>318.8843994140625</v>
      </c>
      <c r="BL36" s="12">
        <v>828.49981689453125</v>
      </c>
      <c r="BM36" s="12">
        <v>889.079833984375</v>
      </c>
      <c r="BN36" s="12">
        <v>796.4686279296875</v>
      </c>
      <c r="BO36" s="12">
        <v>626.51806640625</v>
      </c>
      <c r="BP36" s="12">
        <v>1405.185546875</v>
      </c>
      <c r="BQ36" s="12"/>
      <c r="BR36" s="12"/>
    </row>
    <row r="37" spans="2:70" x14ac:dyDescent="0.2">
      <c r="B37">
        <v>1832</v>
      </c>
      <c r="C37" s="12">
        <v>804.70037841796875</v>
      </c>
      <c r="D37" s="12">
        <v>1594.72021484375</v>
      </c>
      <c r="E37" s="12">
        <v>1823.37646484375</v>
      </c>
      <c r="F37" s="12">
        <v>744.13116455078125</v>
      </c>
      <c r="G37" s="12">
        <v>761.60321044921875</v>
      </c>
      <c r="H37" s="12">
        <v>615.26507568359375</v>
      </c>
      <c r="I37" s="12">
        <v>640.1751708984375</v>
      </c>
      <c r="J37" s="12">
        <v>693.4539794921875</v>
      </c>
      <c r="K37" s="12">
        <v>729.863037109375</v>
      </c>
      <c r="L37" s="12">
        <v>2094.495361328125</v>
      </c>
      <c r="M37" s="12">
        <v>1815.4888916015625</v>
      </c>
      <c r="N37" s="12">
        <v>1855.39892578125</v>
      </c>
      <c r="O37" s="12">
        <v>1502.89892578125</v>
      </c>
      <c r="P37" s="12">
        <v>3428.626953125</v>
      </c>
      <c r="Q37" s="12">
        <v>2102.56298828125</v>
      </c>
      <c r="R37" s="12">
        <v>2775.072509765625</v>
      </c>
      <c r="S37" s="12">
        <v>1690.614990234375</v>
      </c>
      <c r="T37" s="12">
        <v>1161.33251953125</v>
      </c>
      <c r="U37" s="12">
        <v>1830.85986328125</v>
      </c>
      <c r="V37" s="12">
        <v>741.61004638671875</v>
      </c>
      <c r="W37" s="12">
        <v>2190.559814453125</v>
      </c>
      <c r="X37" s="12">
        <v>1195.849365234375</v>
      </c>
      <c r="Y37" s="12">
        <v>1461.7747802734375</v>
      </c>
      <c r="Z37" s="12">
        <v>1038.62353515625</v>
      </c>
      <c r="AA37" s="12">
        <v>396.607177734375</v>
      </c>
      <c r="AB37" s="12">
        <v>1132.6131591796875</v>
      </c>
      <c r="AC37" s="12">
        <v>649.8365478515625</v>
      </c>
      <c r="AD37" s="12">
        <v>605.82659912109375</v>
      </c>
      <c r="AE37" s="12">
        <v>1091.604248046875</v>
      </c>
      <c r="AF37" s="12">
        <v>823.64642333984375</v>
      </c>
      <c r="AG37" s="12">
        <v>460.83871459960938</v>
      </c>
      <c r="AH37" s="12">
        <v>502.43606567382812</v>
      </c>
      <c r="AI37" s="12">
        <v>830.2642822265625</v>
      </c>
      <c r="AJ37" s="12">
        <v>952.01904296875</v>
      </c>
      <c r="AK37" s="12">
        <v>562.55596923828125</v>
      </c>
      <c r="AL37" s="12">
        <v>565.61309814453125</v>
      </c>
      <c r="AM37" s="12">
        <v>1341.163330078125</v>
      </c>
      <c r="AN37" s="12">
        <v>723.81024169921875</v>
      </c>
      <c r="AO37" s="12">
        <v>1204.023681640625</v>
      </c>
      <c r="AP37" s="12">
        <v>924.805419921875</v>
      </c>
      <c r="AQ37" s="12">
        <v>640.49298095703125</v>
      </c>
      <c r="AR37" s="12">
        <v>521.5416259765625</v>
      </c>
      <c r="AS37" s="12">
        <v>746.306884765625</v>
      </c>
      <c r="AT37" s="12">
        <v>685.4876708984375</v>
      </c>
      <c r="AU37" s="12">
        <v>673.62841796875</v>
      </c>
      <c r="AV37" s="12">
        <v>701.214111328125</v>
      </c>
      <c r="AW37" s="12">
        <v>400.16119384765625</v>
      </c>
      <c r="AX37" s="12">
        <v>336.55645751953125</v>
      </c>
      <c r="AY37" s="12">
        <v>1654.457275390625</v>
      </c>
      <c r="AZ37" s="12">
        <v>269.51608276367188</v>
      </c>
      <c r="BA37" s="12">
        <v>820.09844970703125</v>
      </c>
      <c r="BB37" s="12">
        <v>666.52734375</v>
      </c>
      <c r="BC37" s="12">
        <v>679.39093017578125</v>
      </c>
      <c r="BD37" s="12">
        <v>833.62548828125</v>
      </c>
      <c r="BE37" s="12">
        <v>564.43682861328125</v>
      </c>
      <c r="BF37" s="12">
        <v>761.06781005859375</v>
      </c>
      <c r="BG37" s="12">
        <v>1340.9830322265625</v>
      </c>
      <c r="BH37" s="12">
        <v>1047.3148193359375</v>
      </c>
      <c r="BI37" s="12">
        <v>735.6534423828125</v>
      </c>
      <c r="BJ37" s="12">
        <v>562.4853515625</v>
      </c>
      <c r="BK37" s="12">
        <v>318.80572509765625</v>
      </c>
      <c r="BL37" s="12">
        <v>825.99151611328125</v>
      </c>
      <c r="BM37" s="12">
        <v>890.043212890625</v>
      </c>
      <c r="BN37" s="12">
        <v>797.224609375</v>
      </c>
      <c r="BO37" s="12">
        <v>625.83056640625</v>
      </c>
      <c r="BP37" s="12">
        <v>1403.85400390625</v>
      </c>
      <c r="BQ37" s="12"/>
      <c r="BR37" s="12"/>
    </row>
    <row r="38" spans="2:70" x14ac:dyDescent="0.2">
      <c r="B38">
        <v>1833</v>
      </c>
      <c r="C38" s="12">
        <v>815.4254150390625</v>
      </c>
      <c r="D38" s="12">
        <v>1633.091064453125</v>
      </c>
      <c r="E38" s="12">
        <v>1830.1082763671875</v>
      </c>
      <c r="F38" s="12">
        <v>743.89337158203125</v>
      </c>
      <c r="G38" s="12">
        <v>766.2294921875</v>
      </c>
      <c r="H38" s="12">
        <v>615.4161376953125</v>
      </c>
      <c r="I38" s="12">
        <v>640.3009033203125</v>
      </c>
      <c r="J38" s="12">
        <v>693.6820068359375</v>
      </c>
      <c r="K38" s="12">
        <v>731.77288818359375</v>
      </c>
      <c r="L38" s="12">
        <v>2163.78515625</v>
      </c>
      <c r="M38" s="12">
        <v>1791.7779541015625</v>
      </c>
      <c r="N38" s="12">
        <v>1900.49365234375</v>
      </c>
      <c r="O38" s="12">
        <v>1528.716796875</v>
      </c>
      <c r="P38" s="12">
        <v>3553.388671875</v>
      </c>
      <c r="Q38" s="12">
        <v>2107.7138671875</v>
      </c>
      <c r="R38" s="12">
        <v>2766.404541015625</v>
      </c>
      <c r="S38" s="12">
        <v>1830.0166015625</v>
      </c>
      <c r="T38" s="12">
        <v>1196.3450927734375</v>
      </c>
      <c r="U38" s="12">
        <v>1872.6107177734375</v>
      </c>
      <c r="V38" s="12">
        <v>758.48956298828125</v>
      </c>
      <c r="W38" s="12">
        <v>2191.311279296875</v>
      </c>
      <c r="X38" s="12">
        <v>1213.7684326171875</v>
      </c>
      <c r="Y38" s="12">
        <v>1468.7508544921875</v>
      </c>
      <c r="Z38" s="12">
        <v>1066.2103271484375</v>
      </c>
      <c r="AA38" s="12">
        <v>397.22402954101562</v>
      </c>
      <c r="AB38" s="12">
        <v>1140.4234619140625</v>
      </c>
      <c r="AC38" s="12">
        <v>646.11126708984375</v>
      </c>
      <c r="AD38" s="12">
        <v>615.6436767578125</v>
      </c>
      <c r="AE38" s="12">
        <v>1114.716796875</v>
      </c>
      <c r="AF38" s="12">
        <v>824.6868896484375</v>
      </c>
      <c r="AG38" s="12">
        <v>460.3896484375</v>
      </c>
      <c r="AH38" s="12">
        <v>502.767578125</v>
      </c>
      <c r="AI38" s="12">
        <v>842.86614990234375</v>
      </c>
      <c r="AJ38" s="12">
        <v>958.66204833984375</v>
      </c>
      <c r="AK38" s="12">
        <v>563.84527587890625</v>
      </c>
      <c r="AL38" s="12">
        <v>568.52593994140625</v>
      </c>
      <c r="AM38" s="12">
        <v>1343.423828125</v>
      </c>
      <c r="AN38" s="12">
        <v>728.74188232421875</v>
      </c>
      <c r="AO38" s="12">
        <v>1211.72802734375</v>
      </c>
      <c r="AP38" s="12">
        <v>925.366943359375</v>
      </c>
      <c r="AQ38" s="12">
        <v>640.880615234375</v>
      </c>
      <c r="AR38" s="12">
        <v>521.8572998046875</v>
      </c>
      <c r="AS38" s="12">
        <v>746.7501220703125</v>
      </c>
      <c r="AT38" s="12">
        <v>685.9024658203125</v>
      </c>
      <c r="AU38" s="12">
        <v>674.0361328125</v>
      </c>
      <c r="AV38" s="12">
        <v>701.63848876953125</v>
      </c>
      <c r="AW38" s="12">
        <v>400.40338134765625</v>
      </c>
      <c r="AX38" s="12">
        <v>336.7601318359375</v>
      </c>
      <c r="AY38" s="12">
        <v>1649.9490966796875</v>
      </c>
      <c r="AZ38" s="12">
        <v>269.58480834960938</v>
      </c>
      <c r="BA38" s="12">
        <v>820.26483154296875</v>
      </c>
      <c r="BB38" s="12">
        <v>666.66265869140625</v>
      </c>
      <c r="BC38" s="12">
        <v>679.508544921875</v>
      </c>
      <c r="BD38" s="12">
        <v>835.88153076171875</v>
      </c>
      <c r="BE38" s="12">
        <v>564.42724609375</v>
      </c>
      <c r="BF38" s="12">
        <v>761.0010986328125</v>
      </c>
      <c r="BG38" s="12">
        <v>1341.3792724609375</v>
      </c>
      <c r="BH38" s="12">
        <v>1043.99951171875</v>
      </c>
      <c r="BI38" s="12">
        <v>735.19696044921875</v>
      </c>
      <c r="BJ38" s="12">
        <v>581.9931640625</v>
      </c>
      <c r="BK38" s="12">
        <v>318.6829833984375</v>
      </c>
      <c r="BL38" s="12">
        <v>823.3768310546875</v>
      </c>
      <c r="BM38" s="12">
        <v>890.88433837890625</v>
      </c>
      <c r="BN38" s="12">
        <v>797.83367919921875</v>
      </c>
      <c r="BO38" s="12">
        <v>625.057373046875</v>
      </c>
      <c r="BP38" s="12">
        <v>1402.0166015625</v>
      </c>
      <c r="BQ38" s="12"/>
      <c r="BR38" s="12"/>
    </row>
    <row r="39" spans="2:70" x14ac:dyDescent="0.2">
      <c r="B39">
        <v>1834</v>
      </c>
      <c r="C39" s="12">
        <v>824.42864990234375</v>
      </c>
      <c r="D39" s="12">
        <v>1656.4869384765625</v>
      </c>
      <c r="E39" s="12">
        <v>1882.2598876953125</v>
      </c>
      <c r="F39" s="12">
        <v>744.6856689453125</v>
      </c>
      <c r="G39" s="12">
        <v>770.82720947265625</v>
      </c>
      <c r="H39" s="12">
        <v>615.52777099609375</v>
      </c>
      <c r="I39" s="12">
        <v>640.34625244140625</v>
      </c>
      <c r="J39" s="12">
        <v>693.86407470703125</v>
      </c>
      <c r="K39" s="12">
        <v>733.6807861328125</v>
      </c>
      <c r="L39" s="12">
        <v>2190.656982421875</v>
      </c>
      <c r="M39" s="12">
        <v>1873.1434326171875</v>
      </c>
      <c r="N39" s="12">
        <v>1869.7911376953125</v>
      </c>
      <c r="O39" s="12">
        <v>1530.0244140625</v>
      </c>
      <c r="P39" s="12">
        <v>3684.060302734375</v>
      </c>
      <c r="Q39" s="12">
        <v>2113.673828125</v>
      </c>
      <c r="R39" s="12">
        <v>2794.455322265625</v>
      </c>
      <c r="S39" s="12">
        <v>1852.8572998046875</v>
      </c>
      <c r="T39" s="12">
        <v>1208.78125</v>
      </c>
      <c r="U39" s="12">
        <v>1895.650390625</v>
      </c>
      <c r="V39" s="12">
        <v>767.7994384765625</v>
      </c>
      <c r="W39" s="12">
        <v>2247.9140625</v>
      </c>
      <c r="X39" s="12">
        <v>1231.9251708984375</v>
      </c>
      <c r="Y39" s="12">
        <v>1543.23046875</v>
      </c>
      <c r="Z39" s="12">
        <v>1094.47216796875</v>
      </c>
      <c r="AA39" s="12">
        <v>408.03378295898438</v>
      </c>
      <c r="AB39" s="12">
        <v>1148.14697265625</v>
      </c>
      <c r="AC39" s="12">
        <v>641.6734619140625</v>
      </c>
      <c r="AD39" s="12">
        <v>643.33331298828125</v>
      </c>
      <c r="AE39" s="12">
        <v>1136.4249267578125</v>
      </c>
      <c r="AF39" s="12">
        <v>825.6865234375</v>
      </c>
      <c r="AG39" s="12">
        <v>459.9991455078125</v>
      </c>
      <c r="AH39" s="12">
        <v>503.08700561523438</v>
      </c>
      <c r="AI39" s="12">
        <v>855.6173095703125</v>
      </c>
      <c r="AJ39" s="12">
        <v>965.23248291015625</v>
      </c>
      <c r="AK39" s="12">
        <v>565.06781005859375</v>
      </c>
      <c r="AL39" s="12">
        <v>571.426025390625</v>
      </c>
      <c r="AM39" s="12">
        <v>1345.655029296875</v>
      </c>
      <c r="AN39" s="12">
        <v>733.65338134765625</v>
      </c>
      <c r="AO39" s="12">
        <v>1219.387451171875</v>
      </c>
      <c r="AP39" s="12">
        <v>925.90478515625</v>
      </c>
      <c r="AQ39" s="12">
        <v>641.25311279296875</v>
      </c>
      <c r="AR39" s="12">
        <v>522.16033935546875</v>
      </c>
      <c r="AS39" s="12">
        <v>747.16864013671875</v>
      </c>
      <c r="AT39" s="12">
        <v>686.30120849609375</v>
      </c>
      <c r="AU39" s="12">
        <v>674.42791748046875</v>
      </c>
      <c r="AV39" s="12">
        <v>702.04632568359375</v>
      </c>
      <c r="AW39" s="12">
        <v>400.63592529296875</v>
      </c>
      <c r="AX39" s="12">
        <v>336.95584106445312</v>
      </c>
      <c r="AY39" s="12">
        <v>1645.37255859375</v>
      </c>
      <c r="AZ39" s="12">
        <v>269.64700317382812</v>
      </c>
      <c r="BA39" s="12">
        <v>820.32904052734375</v>
      </c>
      <c r="BB39" s="12">
        <v>666.71453857421875</v>
      </c>
      <c r="BC39" s="12">
        <v>679.6026611328125</v>
      </c>
      <c r="BD39" s="12">
        <v>838.11456298828125</v>
      </c>
      <c r="BE39" s="12">
        <v>564.40362548828125</v>
      </c>
      <c r="BF39" s="12">
        <v>760.91552734375</v>
      </c>
      <c r="BG39" s="12">
        <v>1341.6895751953125</v>
      </c>
      <c r="BH39" s="12">
        <v>1040.617919921875</v>
      </c>
      <c r="BI39" s="12">
        <v>734.6683349609375</v>
      </c>
      <c r="BJ39" s="12">
        <v>599.95556640625</v>
      </c>
      <c r="BK39" s="12">
        <v>318.53695678710938</v>
      </c>
      <c r="BL39" s="12">
        <v>820.709716796875</v>
      </c>
      <c r="BM39" s="12">
        <v>891.660400390625</v>
      </c>
      <c r="BN39" s="12">
        <v>798.3642578125</v>
      </c>
      <c r="BO39" s="12">
        <v>624.2393798828125</v>
      </c>
      <c r="BP39" s="12">
        <v>1403.476318359375</v>
      </c>
      <c r="BQ39" s="12"/>
      <c r="BR39" s="12"/>
    </row>
    <row r="40" spans="2:70" x14ac:dyDescent="0.2">
      <c r="B40">
        <v>1835</v>
      </c>
      <c r="C40" s="12">
        <v>838.15277099609375</v>
      </c>
      <c r="D40" s="12">
        <v>1691.0284423828125</v>
      </c>
      <c r="E40" s="12">
        <v>2023.2681884765625</v>
      </c>
      <c r="F40" s="12">
        <v>743.73016357421875</v>
      </c>
      <c r="G40" s="12">
        <v>781.8026123046875</v>
      </c>
      <c r="H40" s="12">
        <v>615.6092529296875</v>
      </c>
      <c r="I40" s="12">
        <v>640.2557373046875</v>
      </c>
      <c r="J40" s="12">
        <v>694.11883544921875</v>
      </c>
      <c r="K40" s="12">
        <v>730.56121826171875</v>
      </c>
      <c r="L40" s="12">
        <v>2191.902099609375</v>
      </c>
      <c r="M40" s="12">
        <v>1845.8907470703125</v>
      </c>
      <c r="N40" s="12">
        <v>1880.2122802734375</v>
      </c>
      <c r="O40" s="12">
        <v>1635.990966796875</v>
      </c>
      <c r="P40" s="12">
        <v>3741.241455078125</v>
      </c>
      <c r="Q40" s="12">
        <v>2122.17138671875</v>
      </c>
      <c r="R40" s="12">
        <v>2794.74169921875</v>
      </c>
      <c r="S40" s="12">
        <v>1823.441650390625</v>
      </c>
      <c r="T40" s="12">
        <v>1205.1783447265625</v>
      </c>
      <c r="U40" s="12">
        <v>1933.8719482421875</v>
      </c>
      <c r="V40" s="12">
        <v>783.27020263671875</v>
      </c>
      <c r="W40" s="12">
        <v>2411.119873046875</v>
      </c>
      <c r="X40" s="12">
        <v>1250.299560546875</v>
      </c>
      <c r="Y40" s="12">
        <v>1867.269287109375</v>
      </c>
      <c r="Z40" s="12">
        <v>1123.3782958984375</v>
      </c>
      <c r="AA40" s="12">
        <v>437.93612670898438</v>
      </c>
      <c r="AB40" s="12">
        <v>1155.6715087890625</v>
      </c>
      <c r="AC40" s="12">
        <v>635.9932861328125</v>
      </c>
      <c r="AD40" s="12">
        <v>664.5059814453125</v>
      </c>
      <c r="AE40" s="12">
        <v>1147.610107421875</v>
      </c>
      <c r="AF40" s="12">
        <v>826.616943359375</v>
      </c>
      <c r="AG40" s="12">
        <v>457.99655151367188</v>
      </c>
      <c r="AH40" s="12">
        <v>503.38519287109375</v>
      </c>
      <c r="AI40" s="12">
        <v>868.48724365234375</v>
      </c>
      <c r="AJ40" s="12">
        <v>971.63714599609375</v>
      </c>
      <c r="AK40" s="12">
        <v>566.170166015625</v>
      </c>
      <c r="AL40" s="12">
        <v>574.29144287109375</v>
      </c>
      <c r="AM40" s="12">
        <v>1347.8331298828125</v>
      </c>
      <c r="AN40" s="12">
        <v>738.50244140625</v>
      </c>
      <c r="AO40" s="12">
        <v>1225.743408203125</v>
      </c>
      <c r="AP40" s="12">
        <v>926.40106201171875</v>
      </c>
      <c r="AQ40" s="12">
        <v>641.5980224609375</v>
      </c>
      <c r="AR40" s="12">
        <v>522.4415283203125</v>
      </c>
      <c r="AS40" s="12">
        <v>747.5474853515625</v>
      </c>
      <c r="AT40" s="12">
        <v>686.67034912109375</v>
      </c>
      <c r="AU40" s="12">
        <v>674.79071044921875</v>
      </c>
      <c r="AV40" s="12">
        <v>702.4239501953125</v>
      </c>
      <c r="AW40" s="12">
        <v>400.85162353515625</v>
      </c>
      <c r="AX40" s="12">
        <v>337.13711547851562</v>
      </c>
      <c r="AY40" s="12">
        <v>1640.6689453125</v>
      </c>
      <c r="AZ40" s="12">
        <v>269.69775390625</v>
      </c>
      <c r="BA40" s="12">
        <v>820.21337890625</v>
      </c>
      <c r="BB40" s="12">
        <v>666.6207275390625</v>
      </c>
      <c r="BC40" s="12">
        <v>679.65594482421875</v>
      </c>
      <c r="BD40" s="12">
        <v>840.30328369140625</v>
      </c>
      <c r="BE40" s="12">
        <v>564.35601806640625</v>
      </c>
      <c r="BF40" s="12">
        <v>760.79730224609375</v>
      </c>
      <c r="BG40" s="12">
        <v>1341.9649658203125</v>
      </c>
      <c r="BH40" s="12">
        <v>1033.973388671875</v>
      </c>
      <c r="BI40" s="12">
        <v>734.01373291015625</v>
      </c>
      <c r="BJ40" s="12">
        <v>578.96630859375</v>
      </c>
      <c r="BK40" s="12">
        <v>317.38577270507812</v>
      </c>
      <c r="BL40" s="12">
        <v>815.46942138671875</v>
      </c>
      <c r="BM40" s="12">
        <v>892.32257080078125</v>
      </c>
      <c r="BN40" s="12">
        <v>798.75787353515625</v>
      </c>
      <c r="BO40" s="12">
        <v>623.3416748046875</v>
      </c>
      <c r="BP40" s="12">
        <v>1397.79296875</v>
      </c>
      <c r="BQ40" s="12"/>
      <c r="BR40" s="12"/>
    </row>
    <row r="41" spans="2:70" x14ac:dyDescent="0.2">
      <c r="B41">
        <v>1836</v>
      </c>
      <c r="C41" s="12">
        <v>845.0130615234375</v>
      </c>
      <c r="D41" s="12">
        <v>1691.1343994140625</v>
      </c>
      <c r="E41" s="12">
        <v>2174.87646484375</v>
      </c>
      <c r="F41" s="12">
        <v>743.914306640625</v>
      </c>
      <c r="G41" s="12">
        <v>786.6405029296875</v>
      </c>
      <c r="H41" s="12">
        <v>615.7432861328125</v>
      </c>
      <c r="I41" s="12">
        <v>640.44036865234375</v>
      </c>
      <c r="J41" s="12">
        <v>693.9688720703125</v>
      </c>
      <c r="K41" s="12">
        <v>728.8861083984375</v>
      </c>
      <c r="L41" s="12">
        <v>2194.672119140625</v>
      </c>
      <c r="M41" s="12">
        <v>1832.353271484375</v>
      </c>
      <c r="N41" s="12">
        <v>1836.7623291015625</v>
      </c>
      <c r="O41" s="12">
        <v>1642.177978515625</v>
      </c>
      <c r="P41" s="12">
        <v>3736.726806640625</v>
      </c>
      <c r="Q41" s="12">
        <v>2116.743896484375</v>
      </c>
      <c r="R41" s="12">
        <v>2881.857666015625</v>
      </c>
      <c r="S41" s="12">
        <v>1778.443603515625</v>
      </c>
      <c r="T41" s="12">
        <v>1243.18408203125</v>
      </c>
      <c r="U41" s="12">
        <v>1931.6904296875</v>
      </c>
      <c r="V41" s="12">
        <v>782.33355712890625</v>
      </c>
      <c r="W41" s="12">
        <v>2596.345703125</v>
      </c>
      <c r="X41" s="12">
        <v>1269.0545654296875</v>
      </c>
      <c r="Y41" s="12">
        <v>1834.3211669921875</v>
      </c>
      <c r="Z41" s="12">
        <v>1153.28857421875</v>
      </c>
      <c r="AA41" s="12">
        <v>469.9869384765625</v>
      </c>
      <c r="AB41" s="12">
        <v>1163.732421875</v>
      </c>
      <c r="AC41" s="12">
        <v>632.7314453125</v>
      </c>
      <c r="AD41" s="12">
        <v>702.435546875</v>
      </c>
      <c r="AE41" s="12">
        <v>1136.074951171875</v>
      </c>
      <c r="AF41" s="12">
        <v>827.68756103515625</v>
      </c>
      <c r="AG41" s="12">
        <v>457.26690673828125</v>
      </c>
      <c r="AH41" s="12">
        <v>503.72531127929688</v>
      </c>
      <c r="AI41" s="12">
        <v>881.697021484375</v>
      </c>
      <c r="AJ41" s="12">
        <v>978.49420166015625</v>
      </c>
      <c r="AK41" s="12">
        <v>567.51239013671875</v>
      </c>
      <c r="AL41" s="12">
        <v>577.26739501953125</v>
      </c>
      <c r="AM41" s="12">
        <v>1350.1259765625</v>
      </c>
      <c r="AN41" s="12">
        <v>743.570068359375</v>
      </c>
      <c r="AO41" s="12">
        <v>1233.6759033203125</v>
      </c>
      <c r="AP41" s="12">
        <v>926.9771728515625</v>
      </c>
      <c r="AQ41" s="12">
        <v>641.99639892578125</v>
      </c>
      <c r="AR41" s="12">
        <v>522.76580810546875</v>
      </c>
      <c r="AS41" s="12">
        <v>748.02752685546875</v>
      </c>
      <c r="AT41" s="12">
        <v>687.09674072265625</v>
      </c>
      <c r="AU41" s="12">
        <v>675.20965576171875</v>
      </c>
      <c r="AV41" s="12">
        <v>702.86004638671875</v>
      </c>
      <c r="AW41" s="12">
        <v>401.10052490234375</v>
      </c>
      <c r="AX41" s="12">
        <v>337.34677124023438</v>
      </c>
      <c r="AY41" s="12">
        <v>1636.2496337890625</v>
      </c>
      <c r="AZ41" s="12">
        <v>269.77090454101562</v>
      </c>
      <c r="BA41" s="12">
        <v>820.4451904296875</v>
      </c>
      <c r="BB41" s="12">
        <v>666.80926513671875</v>
      </c>
      <c r="BC41" s="12">
        <v>679.7886962890625</v>
      </c>
      <c r="BD41" s="12">
        <v>842.595947265625</v>
      </c>
      <c r="BE41" s="12">
        <v>564.35528564453125</v>
      </c>
      <c r="BF41" s="12">
        <v>760.7427978515625</v>
      </c>
      <c r="BG41" s="12">
        <v>1342.04638671875</v>
      </c>
      <c r="BH41" s="12">
        <v>1030.631591796875</v>
      </c>
      <c r="BI41" s="12">
        <v>733.6046142578125</v>
      </c>
      <c r="BJ41" s="12">
        <v>566.70330810546875</v>
      </c>
      <c r="BK41" s="12">
        <v>317.242431640625</v>
      </c>
      <c r="BL41" s="12">
        <v>812.8338623046875</v>
      </c>
      <c r="BM41" s="12">
        <v>893.2081298828125</v>
      </c>
      <c r="BN41" s="12">
        <v>799.41845703125</v>
      </c>
      <c r="BO41" s="12">
        <v>622.60101318359375</v>
      </c>
      <c r="BP41" s="12">
        <v>1393.9356689453125</v>
      </c>
      <c r="BQ41" s="12"/>
      <c r="BR41" s="12"/>
    </row>
    <row r="42" spans="2:70" x14ac:dyDescent="0.2">
      <c r="B42">
        <v>1837</v>
      </c>
      <c r="C42" s="12">
        <v>845.94622802734375</v>
      </c>
      <c r="D42" s="12">
        <v>1673.216796875</v>
      </c>
      <c r="E42" s="12">
        <v>2236.726806640625</v>
      </c>
      <c r="F42" s="12">
        <v>741.96240234375</v>
      </c>
      <c r="G42" s="12">
        <v>791.7767333984375</v>
      </c>
      <c r="H42" s="12">
        <v>615.9349365234375</v>
      </c>
      <c r="I42" s="12">
        <v>640.9464111328125</v>
      </c>
      <c r="J42" s="12">
        <v>694.09674072265625</v>
      </c>
      <c r="K42" s="12">
        <v>731.9654541015625</v>
      </c>
      <c r="L42" s="12">
        <v>2190.590087890625</v>
      </c>
      <c r="M42" s="12">
        <v>1866.1866455078125</v>
      </c>
      <c r="N42" s="12">
        <v>1851.3427734375</v>
      </c>
      <c r="O42" s="12">
        <v>1620.696044921875</v>
      </c>
      <c r="P42" s="12">
        <v>3616.036865234375</v>
      </c>
      <c r="Q42" s="12">
        <v>2117.857421875</v>
      </c>
      <c r="R42" s="12">
        <v>2968.03564453125</v>
      </c>
      <c r="S42" s="12">
        <v>1774.8916015625</v>
      </c>
      <c r="T42" s="12">
        <v>1234.87255859375</v>
      </c>
      <c r="U42" s="12">
        <v>1912.9599609375</v>
      </c>
      <c r="V42" s="12">
        <v>774.65386962890625</v>
      </c>
      <c r="W42" s="12">
        <v>2664.2265625</v>
      </c>
      <c r="X42" s="12">
        <v>1288.218505859375</v>
      </c>
      <c r="Y42" s="12">
        <v>1924.322021484375</v>
      </c>
      <c r="Z42" s="12">
        <v>1184.2711181640625</v>
      </c>
      <c r="AA42" s="12">
        <v>481.92483520507812</v>
      </c>
      <c r="AB42" s="12">
        <v>1172.445068359375</v>
      </c>
      <c r="AC42" s="12">
        <v>632.3311767578125</v>
      </c>
      <c r="AD42" s="12">
        <v>679.167724609375</v>
      </c>
      <c r="AE42" s="12">
        <v>1109.489990234375</v>
      </c>
      <c r="AF42" s="12">
        <v>828.9239501953125</v>
      </c>
      <c r="AG42" s="12">
        <v>455.6259765625</v>
      </c>
      <c r="AH42" s="12">
        <v>504.115234375</v>
      </c>
      <c r="AI42" s="12">
        <v>895.28399658203125</v>
      </c>
      <c r="AJ42" s="12">
        <v>985.8895263671875</v>
      </c>
      <c r="AK42" s="12">
        <v>569.14068603515625</v>
      </c>
      <c r="AL42" s="12">
        <v>580.37274169921875</v>
      </c>
      <c r="AM42" s="12">
        <v>1352.555419921875</v>
      </c>
      <c r="AN42" s="12">
        <v>748.8931884765625</v>
      </c>
      <c r="AO42" s="12">
        <v>1242.1051025390625</v>
      </c>
      <c r="AP42" s="12">
        <v>927.64337158203125</v>
      </c>
      <c r="AQ42" s="12">
        <v>642.45843505859375</v>
      </c>
      <c r="AR42" s="12">
        <v>523.141845703125</v>
      </c>
      <c r="AS42" s="12">
        <v>748.61651611328125</v>
      </c>
      <c r="AT42" s="12">
        <v>687.5911865234375</v>
      </c>
      <c r="AU42" s="12">
        <v>675.695556640625</v>
      </c>
      <c r="AV42" s="12">
        <v>703.36590576171875</v>
      </c>
      <c r="AW42" s="12">
        <v>401.38894653320312</v>
      </c>
      <c r="AX42" s="12">
        <v>337.5892333984375</v>
      </c>
      <c r="AY42" s="12">
        <v>1632.163818359375</v>
      </c>
      <c r="AZ42" s="12">
        <v>269.87057495117188</v>
      </c>
      <c r="BA42" s="12">
        <v>821.08929443359375</v>
      </c>
      <c r="BB42" s="12">
        <v>667.33251953125</v>
      </c>
      <c r="BC42" s="12">
        <v>680.01605224609375</v>
      </c>
      <c r="BD42" s="12">
        <v>845.012451171875</v>
      </c>
      <c r="BE42" s="12">
        <v>564.41058349609375</v>
      </c>
      <c r="BF42" s="12">
        <v>760.7637939453125</v>
      </c>
      <c r="BG42" s="12">
        <v>1342.522216796875</v>
      </c>
      <c r="BH42" s="12">
        <v>1027.70751953125</v>
      </c>
      <c r="BI42" s="12">
        <v>733.486083984375</v>
      </c>
      <c r="BJ42" s="12">
        <v>594.93658447265625</v>
      </c>
      <c r="BK42" s="12">
        <v>317.22491455078125</v>
      </c>
      <c r="BL42" s="12">
        <v>810.5277099609375</v>
      </c>
      <c r="BM42" s="12">
        <v>894.35931396484375</v>
      </c>
      <c r="BN42" s="12">
        <v>800.39654541015625</v>
      </c>
      <c r="BO42" s="12">
        <v>622.045654296875</v>
      </c>
      <c r="BP42" s="12">
        <v>1397.6671142578125</v>
      </c>
      <c r="BQ42" s="12"/>
      <c r="BR42" s="12"/>
    </row>
    <row r="43" spans="2:70" x14ac:dyDescent="0.2">
      <c r="B43">
        <v>1838</v>
      </c>
      <c r="C43" s="12">
        <v>843.7908935546875</v>
      </c>
      <c r="D43" s="12">
        <v>1651.677490234375</v>
      </c>
      <c r="E43" s="12">
        <v>2252.46875</v>
      </c>
      <c r="F43" s="12">
        <v>740.0277099609375</v>
      </c>
      <c r="G43" s="12">
        <v>796.9517822265625</v>
      </c>
      <c r="H43" s="12">
        <v>616.1202392578125</v>
      </c>
      <c r="I43" s="12">
        <v>641.43719482421875</v>
      </c>
      <c r="J43" s="12">
        <v>694.044189453125</v>
      </c>
      <c r="K43" s="12">
        <v>731.6278076171875</v>
      </c>
      <c r="L43" s="12">
        <v>2137.079833984375</v>
      </c>
      <c r="M43" s="12">
        <v>1863.8526611328125</v>
      </c>
      <c r="N43" s="12">
        <v>1834.8597412109375</v>
      </c>
      <c r="O43" s="12">
        <v>1630.8824462890625</v>
      </c>
      <c r="P43" s="12">
        <v>3509.68212890625</v>
      </c>
      <c r="Q43" s="12">
        <v>2108.294677734375</v>
      </c>
      <c r="R43" s="12">
        <v>3017.38720703125</v>
      </c>
      <c r="S43" s="12">
        <v>1798.0191650390625</v>
      </c>
      <c r="T43" s="12">
        <v>1218.5054931640625</v>
      </c>
      <c r="U43" s="12">
        <v>1890.217529296875</v>
      </c>
      <c r="V43" s="12">
        <v>765.3515625</v>
      </c>
      <c r="W43" s="12">
        <v>2677.549560546875</v>
      </c>
      <c r="X43" s="12">
        <v>1307.6656494140625</v>
      </c>
      <c r="Y43" s="12">
        <v>1899.7342529296875</v>
      </c>
      <c r="Z43" s="12">
        <v>1216.069091796875</v>
      </c>
      <c r="AA43" s="12">
        <v>484.42608642578125</v>
      </c>
      <c r="AB43" s="12">
        <v>1181.1888427734375</v>
      </c>
      <c r="AC43" s="12">
        <v>631.79327392578125</v>
      </c>
      <c r="AD43" s="12">
        <v>658.8201904296875</v>
      </c>
      <c r="AE43" s="12">
        <v>1085.687255859375</v>
      </c>
      <c r="AF43" s="12">
        <v>830.154296875</v>
      </c>
      <c r="AG43" s="12">
        <v>454.0863037109375</v>
      </c>
      <c r="AH43" s="12">
        <v>504.50289916992188</v>
      </c>
      <c r="AI43" s="12">
        <v>909.072021484375</v>
      </c>
      <c r="AJ43" s="12">
        <v>993.316162109375</v>
      </c>
      <c r="AK43" s="12">
        <v>570.75946044921875</v>
      </c>
      <c r="AL43" s="12">
        <v>583.48931884765625</v>
      </c>
      <c r="AM43" s="12">
        <v>1354.9835205078125</v>
      </c>
      <c r="AN43" s="12">
        <v>754.24432373046875</v>
      </c>
      <c r="AO43" s="12">
        <v>1250.581787109375</v>
      </c>
      <c r="AP43" s="12">
        <v>928.3082275390625</v>
      </c>
      <c r="AQ43" s="12">
        <v>642.9171142578125</v>
      </c>
      <c r="AR43" s="12">
        <v>523.51580810546875</v>
      </c>
      <c r="AS43" s="12">
        <v>749.202392578125</v>
      </c>
      <c r="AT43" s="12">
        <v>688.08203125</v>
      </c>
      <c r="AU43" s="12">
        <v>676.177978515625</v>
      </c>
      <c r="AV43" s="12">
        <v>703.8680419921875</v>
      </c>
      <c r="AW43" s="12">
        <v>401.67593383789062</v>
      </c>
      <c r="AX43" s="12">
        <v>337.83053588867188</v>
      </c>
      <c r="AY43" s="12">
        <v>1628.0733642578125</v>
      </c>
      <c r="AZ43" s="12">
        <v>269.968994140625</v>
      </c>
      <c r="BA43" s="12">
        <v>821.71331787109375</v>
      </c>
      <c r="BB43" s="12">
        <v>667.84014892578125</v>
      </c>
      <c r="BC43" s="12">
        <v>680.23919677734375</v>
      </c>
      <c r="BD43" s="12">
        <v>847.43084716796875</v>
      </c>
      <c r="BE43" s="12">
        <v>564.4635009765625</v>
      </c>
      <c r="BF43" s="12">
        <v>760.7808837890625</v>
      </c>
      <c r="BG43" s="12">
        <v>1342.8541259765625</v>
      </c>
      <c r="BH43" s="12">
        <v>1024.772705078125</v>
      </c>
      <c r="BI43" s="12">
        <v>733.35400390625</v>
      </c>
      <c r="BJ43" s="12">
        <v>592.77667236328125</v>
      </c>
      <c r="BK43" s="12">
        <v>317.2010498046875</v>
      </c>
      <c r="BL43" s="12">
        <v>808.21307373046875</v>
      </c>
      <c r="BM43" s="12">
        <v>895.4996337890625</v>
      </c>
      <c r="BN43" s="12">
        <v>801.36090087890625</v>
      </c>
      <c r="BO43" s="12">
        <v>621.48138427734375</v>
      </c>
      <c r="BP43" s="12">
        <v>1396.0164794921875</v>
      </c>
      <c r="BQ43" s="12"/>
      <c r="BR43" s="12"/>
    </row>
    <row r="44" spans="2:70" x14ac:dyDescent="0.2">
      <c r="B44">
        <v>1839</v>
      </c>
      <c r="C44" s="12">
        <v>846.76434326171875</v>
      </c>
      <c r="D44" s="12">
        <v>1649.466796875</v>
      </c>
      <c r="E44" s="12">
        <v>2286.380126953125</v>
      </c>
      <c r="F44" s="12">
        <v>741.1436767578125</v>
      </c>
      <c r="G44" s="12">
        <v>802.2032470703125</v>
      </c>
      <c r="H44" s="12">
        <v>616.3203125</v>
      </c>
      <c r="I44" s="12">
        <v>641.978515625</v>
      </c>
      <c r="J44" s="12">
        <v>694.1177978515625</v>
      </c>
      <c r="K44" s="12">
        <v>730.31719970703125</v>
      </c>
      <c r="L44" s="12">
        <v>2140.160888671875</v>
      </c>
      <c r="M44" s="12">
        <v>1870.8251953125</v>
      </c>
      <c r="N44" s="12">
        <v>1882.399169921875</v>
      </c>
      <c r="O44" s="12">
        <v>1608.854248046875</v>
      </c>
      <c r="P44" s="12">
        <v>3482.074462890625</v>
      </c>
      <c r="Q44" s="12">
        <v>2106.794921875</v>
      </c>
      <c r="R44" s="12">
        <v>2948.80859375</v>
      </c>
      <c r="S44" s="12">
        <v>1813.8966064453125</v>
      </c>
      <c r="T44" s="12">
        <v>1231.1541748046875</v>
      </c>
      <c r="U44" s="12">
        <v>1886.1397705078125</v>
      </c>
      <c r="V44" s="12">
        <v>763.59771728515625</v>
      </c>
      <c r="W44" s="12">
        <v>2716.464111328125</v>
      </c>
      <c r="X44" s="12">
        <v>1327.4268798828125</v>
      </c>
      <c r="Y44" s="12">
        <v>1772.8753662109375</v>
      </c>
      <c r="Z44" s="12">
        <v>1248.7596435546875</v>
      </c>
      <c r="AA44" s="12">
        <v>491.75479125976562</v>
      </c>
      <c r="AB44" s="12">
        <v>1190.094482421875</v>
      </c>
      <c r="AC44" s="12">
        <v>631.70782470703125</v>
      </c>
      <c r="AD44" s="12">
        <v>711.13372802734375</v>
      </c>
      <c r="AE44" s="12">
        <v>1077.4588623046875</v>
      </c>
      <c r="AF44" s="12">
        <v>831.4122314453125</v>
      </c>
      <c r="AG44" s="12">
        <v>456.29220581054688</v>
      </c>
      <c r="AH44" s="12">
        <v>504.89877319335938</v>
      </c>
      <c r="AI44" s="12">
        <v>923.100830078125</v>
      </c>
      <c r="AJ44" s="12">
        <v>1000.8779907226562</v>
      </c>
      <c r="AK44" s="12">
        <v>572.42822265625</v>
      </c>
      <c r="AL44" s="12">
        <v>586.64105224609375</v>
      </c>
      <c r="AM44" s="12">
        <v>1357.4365234375</v>
      </c>
      <c r="AN44" s="12">
        <v>759.6690673828125</v>
      </c>
      <c r="AO44" s="12">
        <v>1259.20166015625</v>
      </c>
      <c r="AP44" s="12">
        <v>928.98590087890625</v>
      </c>
      <c r="AQ44" s="12">
        <v>643.3863525390625</v>
      </c>
      <c r="AR44" s="12">
        <v>523.89794921875</v>
      </c>
      <c r="AS44" s="12">
        <v>749.80810546875</v>
      </c>
      <c r="AT44" s="12">
        <v>688.58428955078125</v>
      </c>
      <c r="AU44" s="12">
        <v>676.67156982421875</v>
      </c>
      <c r="AV44" s="12">
        <v>704.3818359375</v>
      </c>
      <c r="AW44" s="12">
        <v>401.96914672851562</v>
      </c>
      <c r="AX44" s="12">
        <v>338.0771484375</v>
      </c>
      <c r="AY44" s="12">
        <v>1624.043212890625</v>
      </c>
      <c r="AZ44" s="12">
        <v>270.07171630859375</v>
      </c>
      <c r="BA44" s="12">
        <v>822.40380859375</v>
      </c>
      <c r="BB44" s="12">
        <v>668.40142822265625</v>
      </c>
      <c r="BC44" s="12">
        <v>680.47711181640625</v>
      </c>
      <c r="BD44" s="12">
        <v>849.87457275390625</v>
      </c>
      <c r="BE44" s="12">
        <v>564.5250244140625</v>
      </c>
      <c r="BF44" s="12">
        <v>760.8101806640625</v>
      </c>
      <c r="BG44" s="12">
        <v>1343.2984619140625</v>
      </c>
      <c r="BH44" s="12">
        <v>1021.9100341796875</v>
      </c>
      <c r="BI44" s="12">
        <v>733.26763916015625</v>
      </c>
      <c r="BJ44" s="12">
        <v>581.7215576171875</v>
      </c>
      <c r="BK44" s="12">
        <v>317.19729614257812</v>
      </c>
      <c r="BL44" s="12">
        <v>805.95538330078125</v>
      </c>
      <c r="BM44" s="12">
        <v>896.68316650390625</v>
      </c>
      <c r="BN44" s="12">
        <v>802.37646484375</v>
      </c>
      <c r="BO44" s="12">
        <v>620.94708251953125</v>
      </c>
      <c r="BP44" s="12">
        <v>1392.8353271484375</v>
      </c>
      <c r="BQ44" s="12"/>
      <c r="BR44" s="12"/>
    </row>
    <row r="45" spans="2:70" x14ac:dyDescent="0.2">
      <c r="B45">
        <v>1840</v>
      </c>
      <c r="C45" s="12">
        <v>856.57958984375</v>
      </c>
      <c r="D45" s="12">
        <v>1699.2119140625</v>
      </c>
      <c r="E45" s="12">
        <v>2143.805419921875</v>
      </c>
      <c r="F45" s="12">
        <v>747.8017578125</v>
      </c>
      <c r="G45" s="12">
        <v>807.59088134765625</v>
      </c>
      <c r="H45" s="12">
        <v>611.3363037109375</v>
      </c>
      <c r="I45" s="12">
        <v>642.671630859375</v>
      </c>
      <c r="J45" s="12">
        <v>694.03411865234375</v>
      </c>
      <c r="K45" s="12">
        <v>733.56256103515625</v>
      </c>
      <c r="L45" s="12">
        <v>2187.3974609375</v>
      </c>
      <c r="M45" s="12">
        <v>1914.987548828125</v>
      </c>
      <c r="N45" s="12">
        <v>1979.56494140625</v>
      </c>
      <c r="O45" s="12">
        <v>1727.4093017578125</v>
      </c>
      <c r="P45" s="12">
        <v>3527.96240234375</v>
      </c>
      <c r="Q45" s="12">
        <v>2102.68603515625</v>
      </c>
      <c r="R45" s="12">
        <v>3003.045654296875</v>
      </c>
      <c r="S45" s="12">
        <v>1949.990966796875</v>
      </c>
      <c r="T45" s="12">
        <v>1248.804443359375</v>
      </c>
      <c r="U45" s="12">
        <v>1943.6708984375</v>
      </c>
      <c r="V45" s="12">
        <v>784.2598876953125</v>
      </c>
      <c r="W45" s="12">
        <v>2519.388671875</v>
      </c>
      <c r="X45" s="12">
        <v>1347.550048828125</v>
      </c>
      <c r="Y45" s="12">
        <v>2233.438232421875</v>
      </c>
      <c r="Z45" s="12">
        <v>1282.455078125</v>
      </c>
      <c r="AA45" s="12">
        <v>459.94039916992188</v>
      </c>
      <c r="AB45" s="12">
        <v>1199.3492431640625</v>
      </c>
      <c r="AC45" s="12">
        <v>655.67706298828125</v>
      </c>
      <c r="AD45" s="12">
        <v>764.99908447265625</v>
      </c>
      <c r="AE45" s="12">
        <v>1077.1888427734375</v>
      </c>
      <c r="AF45" s="12">
        <v>832.75048828125</v>
      </c>
      <c r="AG45" s="12">
        <v>459.99130249023438</v>
      </c>
      <c r="AH45" s="12">
        <v>505.318359375</v>
      </c>
      <c r="AI45" s="12">
        <v>936.92425537109375</v>
      </c>
      <c r="AJ45" s="12">
        <v>1008.7340698242188</v>
      </c>
      <c r="AK45" s="12">
        <v>574.23651123046875</v>
      </c>
      <c r="AL45" s="12">
        <v>589.8643798828125</v>
      </c>
      <c r="AM45" s="12">
        <v>1359.957275390625</v>
      </c>
      <c r="AN45" s="12">
        <v>765.239990234375</v>
      </c>
      <c r="AO45" s="12">
        <v>1268.109130859375</v>
      </c>
      <c r="AP45" s="12">
        <v>929.70550537109375</v>
      </c>
      <c r="AQ45" s="12">
        <v>643.885986328125</v>
      </c>
      <c r="AR45" s="12">
        <v>524.30474853515625</v>
      </c>
      <c r="AS45" s="12">
        <v>750.475341796875</v>
      </c>
      <c r="AT45" s="12">
        <v>689.11907958984375</v>
      </c>
      <c r="AU45" s="12">
        <v>677.197021484375</v>
      </c>
      <c r="AV45" s="12">
        <v>704.9288330078125</v>
      </c>
      <c r="AW45" s="12">
        <v>402.28125</v>
      </c>
      <c r="AX45" s="12">
        <v>338.33969116210938</v>
      </c>
      <c r="AY45" s="12">
        <v>1568.220703125</v>
      </c>
      <c r="AZ45" s="12">
        <v>266.44027709960938</v>
      </c>
      <c r="BA45" s="12">
        <v>823.28997802734375</v>
      </c>
      <c r="BB45" s="12">
        <v>669.12158203125</v>
      </c>
      <c r="BC45" s="12">
        <v>680.5455322265625</v>
      </c>
      <c r="BD45" s="12">
        <v>852.3807373046875</v>
      </c>
      <c r="BE45" s="12">
        <v>564.613037109375</v>
      </c>
      <c r="BF45" s="12">
        <v>760.87493896484375</v>
      </c>
      <c r="BG45" s="12">
        <v>1343.8607177734375</v>
      </c>
      <c r="BH45" s="12">
        <v>1019.2461547851562</v>
      </c>
      <c r="BI45" s="12">
        <v>733.31854248046875</v>
      </c>
      <c r="BJ45" s="12">
        <v>609.540283203125</v>
      </c>
      <c r="BK45" s="12">
        <v>317.25289916992188</v>
      </c>
      <c r="BL45" s="12">
        <v>803.8543701171875</v>
      </c>
      <c r="BM45" s="12">
        <v>897.9940185546875</v>
      </c>
      <c r="BN45" s="12">
        <v>803.543701171875</v>
      </c>
      <c r="BO45" s="12">
        <v>620.50006103515625</v>
      </c>
      <c r="BP45" s="12">
        <v>1396.8896484375</v>
      </c>
      <c r="BQ45" s="12"/>
      <c r="BR45" s="12"/>
    </row>
    <row r="46" spans="2:70" x14ac:dyDescent="0.2">
      <c r="B46">
        <v>1841</v>
      </c>
      <c r="C46" s="12">
        <v>866.605224609375</v>
      </c>
      <c r="D46" s="12">
        <v>1718.97900390625</v>
      </c>
      <c r="E46" s="12">
        <v>2223.05908203125</v>
      </c>
      <c r="F46" s="12">
        <v>748.18841552734375</v>
      </c>
      <c r="G46" s="12">
        <v>812.7962646484375</v>
      </c>
      <c r="H46" s="12">
        <v>611.4638671875</v>
      </c>
      <c r="I46" s="12">
        <v>643.0533447265625</v>
      </c>
      <c r="J46" s="12">
        <v>694.5809326171875</v>
      </c>
      <c r="K46" s="12">
        <v>732.991455078125</v>
      </c>
      <c r="L46" s="12">
        <v>2255.0390625</v>
      </c>
      <c r="M46" s="12">
        <v>1896.5760498046875</v>
      </c>
      <c r="N46" s="12">
        <v>1983.259765625</v>
      </c>
      <c r="O46" s="12">
        <v>1695.8499755859375</v>
      </c>
      <c r="P46" s="12">
        <v>3616.806884765625</v>
      </c>
      <c r="Q46" s="12">
        <v>2103.678955078125</v>
      </c>
      <c r="R46" s="12">
        <v>3116.4150390625</v>
      </c>
      <c r="S46" s="12">
        <v>1931.7930908203125</v>
      </c>
      <c r="T46" s="12">
        <v>1232.152099609375</v>
      </c>
      <c r="U46" s="12">
        <v>1964.2044677734375</v>
      </c>
      <c r="V46" s="12">
        <v>792.419677734375</v>
      </c>
      <c r="W46" s="12">
        <v>2621.793701171875</v>
      </c>
      <c r="X46" s="12">
        <v>1365.8148193359375</v>
      </c>
      <c r="Y46" s="12">
        <v>1904.852294921875</v>
      </c>
      <c r="Z46" s="12">
        <v>1316.778564453125</v>
      </c>
      <c r="AA46" s="12">
        <v>474.2022705078125</v>
      </c>
      <c r="AB46" s="12">
        <v>1208.0904541015625</v>
      </c>
      <c r="AC46" s="12">
        <v>654.54827880859375</v>
      </c>
      <c r="AD46" s="12">
        <v>748.259765625</v>
      </c>
      <c r="AE46" s="12">
        <v>1108.9671630859375</v>
      </c>
      <c r="AF46" s="12">
        <v>833.93072509765625</v>
      </c>
      <c r="AG46" s="12">
        <v>460.87112426757812</v>
      </c>
      <c r="AH46" s="12">
        <v>505.69024658203125</v>
      </c>
      <c r="AI46" s="12">
        <v>951.393798828125</v>
      </c>
      <c r="AJ46" s="12">
        <v>1016.1636352539062</v>
      </c>
      <c r="AK46" s="12">
        <v>575.77392578125</v>
      </c>
      <c r="AL46" s="12">
        <v>592.99273681640625</v>
      </c>
      <c r="AM46" s="12">
        <v>1362.3531494140625</v>
      </c>
      <c r="AN46" s="12">
        <v>770.63037109375</v>
      </c>
      <c r="AO46" s="12">
        <v>1276.6983642578125</v>
      </c>
      <c r="AP46" s="12">
        <v>930.33868408203125</v>
      </c>
      <c r="AQ46" s="12">
        <v>644.3250732421875</v>
      </c>
      <c r="AR46" s="12">
        <v>524.66204833984375</v>
      </c>
      <c r="AS46" s="12">
        <v>751.02569580078125</v>
      </c>
      <c r="AT46" s="12">
        <v>689.5889892578125</v>
      </c>
      <c r="AU46" s="12">
        <v>677.65887451171875</v>
      </c>
      <c r="AV46" s="12">
        <v>705.40948486328125</v>
      </c>
      <c r="AW46" s="12">
        <v>402.555419921875</v>
      </c>
      <c r="AX46" s="12">
        <v>338.570068359375</v>
      </c>
      <c r="AY46" s="12">
        <v>1564.267333984375</v>
      </c>
      <c r="AZ46" s="12">
        <v>266.48641967773438</v>
      </c>
      <c r="BA46" s="12">
        <v>823.777099609375</v>
      </c>
      <c r="BB46" s="12">
        <v>669.5172119140625</v>
      </c>
      <c r="BC46" s="12">
        <v>681.210205078125</v>
      </c>
      <c r="BD46" s="12">
        <v>854.77984619140625</v>
      </c>
      <c r="BE46" s="12">
        <v>564.64691162109375</v>
      </c>
      <c r="BF46" s="12">
        <v>760.8668212890625</v>
      </c>
      <c r="BG46" s="12">
        <v>1345.064208984375</v>
      </c>
      <c r="BH46" s="12">
        <v>1016.1993408203125</v>
      </c>
      <c r="BI46" s="12">
        <v>733.0882568359375</v>
      </c>
      <c r="BJ46" s="12">
        <v>605.1429443359375</v>
      </c>
      <c r="BK46" s="12">
        <v>317.18701171875</v>
      </c>
      <c r="BL46" s="12">
        <v>801.45147705078125</v>
      </c>
      <c r="BM46" s="12">
        <v>899.048828125</v>
      </c>
      <c r="BN46" s="12">
        <v>804.4041748046875</v>
      </c>
      <c r="BO46" s="12">
        <v>619.87591552734375</v>
      </c>
      <c r="BP46" s="12">
        <v>1394.865234375</v>
      </c>
      <c r="BQ46" s="12"/>
      <c r="BR46" s="12"/>
    </row>
    <row r="47" spans="2:70" x14ac:dyDescent="0.2">
      <c r="B47">
        <v>1842</v>
      </c>
      <c r="C47" s="12">
        <v>868.65386962890625</v>
      </c>
      <c r="D47" s="12">
        <v>1727.4794921875</v>
      </c>
      <c r="E47" s="12">
        <v>2156.96240234375</v>
      </c>
      <c r="F47" s="12">
        <v>750.05242919921875</v>
      </c>
      <c r="G47" s="12">
        <v>818.130859375</v>
      </c>
      <c r="H47" s="12">
        <v>611.57281494140625</v>
      </c>
      <c r="I47" s="12">
        <v>645.6353759765625</v>
      </c>
      <c r="J47" s="12">
        <v>695.51983642578125</v>
      </c>
      <c r="K47" s="12">
        <v>732.6636962890625</v>
      </c>
      <c r="L47" s="12">
        <v>2216.81982421875</v>
      </c>
      <c r="M47" s="12">
        <v>1887.5302734375</v>
      </c>
      <c r="N47" s="12">
        <v>1918.5294189453125</v>
      </c>
      <c r="O47" s="12">
        <v>1678.82080078125</v>
      </c>
      <c r="P47" s="12">
        <v>3776.779541015625</v>
      </c>
      <c r="Q47" s="12">
        <v>2097.646728515625</v>
      </c>
      <c r="R47" s="12">
        <v>3028.566650390625</v>
      </c>
      <c r="S47" s="12">
        <v>1917.296630859375</v>
      </c>
      <c r="T47" s="12">
        <v>1175.4544677734375</v>
      </c>
      <c r="U47" s="12">
        <v>1970.7158203125</v>
      </c>
      <c r="V47" s="12">
        <v>794.92413330078125</v>
      </c>
      <c r="W47" s="12">
        <v>2536.15625</v>
      </c>
      <c r="X47" s="12">
        <v>1384.3699951171875</v>
      </c>
      <c r="Y47" s="12">
        <v>1737.544189453125</v>
      </c>
      <c r="Z47" s="12">
        <v>1352.109130859375</v>
      </c>
      <c r="AA47" s="12">
        <v>459.23175048828125</v>
      </c>
      <c r="AB47" s="12">
        <v>1217.09033203125</v>
      </c>
      <c r="AC47" s="12">
        <v>654.09417724609375</v>
      </c>
      <c r="AD47" s="12">
        <v>723.14251708984375</v>
      </c>
      <c r="AE47" s="12">
        <v>1148.080322265625</v>
      </c>
      <c r="AF47" s="12">
        <v>835.16461181640625</v>
      </c>
      <c r="AG47" s="12">
        <v>462.50955200195312</v>
      </c>
      <c r="AH47" s="12">
        <v>506.078125</v>
      </c>
      <c r="AI47" s="12">
        <v>966.14935302734375</v>
      </c>
      <c r="AJ47" s="12">
        <v>1023.8062744140625</v>
      </c>
      <c r="AK47" s="12">
        <v>577.40478515625</v>
      </c>
      <c r="AL47" s="12">
        <v>596.17431640625</v>
      </c>
      <c r="AM47" s="12">
        <v>1364.795166015625</v>
      </c>
      <c r="AN47" s="12">
        <v>776.13153076171875</v>
      </c>
      <c r="AO47" s="12">
        <v>1285.4996337890625</v>
      </c>
      <c r="AP47" s="12">
        <v>931.00341796875</v>
      </c>
      <c r="AQ47" s="12">
        <v>644.78369140625</v>
      </c>
      <c r="AR47" s="12">
        <v>525.0357666015625</v>
      </c>
      <c r="AS47" s="12">
        <v>751.61651611328125</v>
      </c>
      <c r="AT47" s="12">
        <v>690.07977294921875</v>
      </c>
      <c r="AU47" s="12">
        <v>678.14111328125</v>
      </c>
      <c r="AV47" s="12">
        <v>705.91162109375</v>
      </c>
      <c r="AW47" s="12">
        <v>402.84210205078125</v>
      </c>
      <c r="AX47" s="12">
        <v>338.81134033203125</v>
      </c>
      <c r="AY47" s="12">
        <v>1560.3719482421875</v>
      </c>
      <c r="AZ47" s="12">
        <v>266.56576538085938</v>
      </c>
      <c r="BA47" s="12">
        <v>827.08270263671875</v>
      </c>
      <c r="BB47" s="12">
        <v>672.2041015625</v>
      </c>
      <c r="BC47" s="12">
        <v>681.9073486328125</v>
      </c>
      <c r="BD47" s="12">
        <v>857.22259521484375</v>
      </c>
      <c r="BE47" s="12">
        <v>564.69830322265625</v>
      </c>
      <c r="BF47" s="12">
        <v>760.8824462890625</v>
      </c>
      <c r="BG47" s="12">
        <v>1346.72607421875</v>
      </c>
      <c r="BH47" s="12">
        <v>1013.2874755859375</v>
      </c>
      <c r="BI47" s="12">
        <v>733.28515625</v>
      </c>
      <c r="BJ47" s="12">
        <v>605.73016357421875</v>
      </c>
      <c r="BK47" s="12">
        <v>317.16021728515625</v>
      </c>
      <c r="BL47" s="12">
        <v>799.155029296875</v>
      </c>
      <c r="BM47" s="12">
        <v>900.1884765625</v>
      </c>
      <c r="BN47" s="12">
        <v>805.365478515625</v>
      </c>
      <c r="BO47" s="12">
        <v>619.309326171875</v>
      </c>
      <c r="BP47" s="12">
        <v>1394.53662109375</v>
      </c>
      <c r="BQ47" s="12"/>
      <c r="BR47" s="12"/>
    </row>
    <row r="48" spans="2:70" x14ac:dyDescent="0.2">
      <c r="B48">
        <v>1843</v>
      </c>
      <c r="C48" s="12">
        <v>874.44940185546875</v>
      </c>
      <c r="D48" s="12">
        <v>1759.7506103515625</v>
      </c>
      <c r="E48" s="12">
        <v>2083.0009765625</v>
      </c>
      <c r="F48" s="12">
        <v>754.10400390625</v>
      </c>
      <c r="G48" s="12">
        <v>823.35009765625</v>
      </c>
      <c r="H48" s="12">
        <v>606.59429931640625</v>
      </c>
      <c r="I48" s="12">
        <v>645.997802734375</v>
      </c>
      <c r="J48" s="12">
        <v>696.2996826171875</v>
      </c>
      <c r="K48" s="12">
        <v>730.82366943359375</v>
      </c>
      <c r="L48" s="12">
        <v>2125.790283203125</v>
      </c>
      <c r="M48" s="12">
        <v>1980.1192626953125</v>
      </c>
      <c r="N48" s="12">
        <v>1917.836181640625</v>
      </c>
      <c r="O48" s="12">
        <v>1761.7457275390625</v>
      </c>
      <c r="P48" s="12">
        <v>3941.71044921875</v>
      </c>
      <c r="Q48" s="12">
        <v>2098.592041015625</v>
      </c>
      <c r="R48" s="12">
        <v>2928.951416015625</v>
      </c>
      <c r="S48" s="12">
        <v>1845.666015625</v>
      </c>
      <c r="T48" s="12">
        <v>1199.473876953125</v>
      </c>
      <c r="U48" s="12">
        <v>2003.10986328125</v>
      </c>
      <c r="V48" s="12">
        <v>807.8609619140625</v>
      </c>
      <c r="W48" s="12">
        <v>2429.69287109375</v>
      </c>
      <c r="X48" s="12">
        <v>1403.103515625</v>
      </c>
      <c r="Y48" s="12">
        <v>2013.580322265625</v>
      </c>
      <c r="Z48" s="12">
        <v>1388.2322998046875</v>
      </c>
      <c r="AA48" s="12">
        <v>442.66018676757812</v>
      </c>
      <c r="AB48" s="12">
        <v>1225.825439453125</v>
      </c>
      <c r="AC48" s="12">
        <v>652.4986572265625</v>
      </c>
      <c r="AD48" s="12">
        <v>734.59222412109375</v>
      </c>
      <c r="AE48" s="12">
        <v>1185.8880615234375</v>
      </c>
      <c r="AF48" s="12">
        <v>836.31134033203125</v>
      </c>
      <c r="AG48" s="12">
        <v>464.31866455078125</v>
      </c>
      <c r="AH48" s="12">
        <v>506.439697265625</v>
      </c>
      <c r="AI48" s="12">
        <v>981.02508544921875</v>
      </c>
      <c r="AJ48" s="12">
        <v>1031.235107421875</v>
      </c>
      <c r="AK48" s="12">
        <v>578.887939453125</v>
      </c>
      <c r="AL48" s="12">
        <v>599.31036376953125</v>
      </c>
      <c r="AM48" s="12">
        <v>1367.1700439453125</v>
      </c>
      <c r="AN48" s="12">
        <v>781.5474853515625</v>
      </c>
      <c r="AO48" s="12">
        <v>1294.1370849609375</v>
      </c>
      <c r="AP48" s="12">
        <v>931.6168212890625</v>
      </c>
      <c r="AQ48" s="12">
        <v>645.209716796875</v>
      </c>
      <c r="AR48" s="12">
        <v>525.38214111328125</v>
      </c>
      <c r="AS48" s="12">
        <v>752.13946533203125</v>
      </c>
      <c r="AT48" s="12">
        <v>690.5357666015625</v>
      </c>
      <c r="AU48" s="12">
        <v>678.5892333984375</v>
      </c>
      <c r="AV48" s="12">
        <v>706.37799072265625</v>
      </c>
      <c r="AW48" s="12">
        <v>403.10787963867188</v>
      </c>
      <c r="AX48" s="12">
        <v>339.03460693359375</v>
      </c>
      <c r="AY48" s="12">
        <v>1459.7166748046875</v>
      </c>
      <c r="AZ48" s="12">
        <v>264.50515747070312</v>
      </c>
      <c r="BA48" s="12">
        <v>827.5440673828125</v>
      </c>
      <c r="BB48" s="12">
        <v>672.57861328125</v>
      </c>
      <c r="BC48" s="12">
        <v>682.551025390625</v>
      </c>
      <c r="BD48" s="12">
        <v>859.609375</v>
      </c>
      <c r="BE48" s="12">
        <v>564.7198486328125</v>
      </c>
      <c r="BF48" s="12">
        <v>760.85760498046875</v>
      </c>
      <c r="BG48" s="12">
        <v>1348.1632080078125</v>
      </c>
      <c r="BH48" s="12">
        <v>1010.1708984375</v>
      </c>
      <c r="BI48" s="12">
        <v>733.327392578125</v>
      </c>
      <c r="BJ48" s="12">
        <v>593.646484375</v>
      </c>
      <c r="BK48" s="12">
        <v>317.06698608398438</v>
      </c>
      <c r="BL48" s="12">
        <v>796.697021484375</v>
      </c>
      <c r="BM48" s="12">
        <v>901.1875</v>
      </c>
      <c r="BN48" s="12">
        <v>806.157958984375</v>
      </c>
      <c r="BO48" s="12">
        <v>618.64654541015625</v>
      </c>
      <c r="BP48" s="12">
        <v>1391.6387939453125</v>
      </c>
      <c r="BQ48" s="12"/>
      <c r="BR48" s="12"/>
    </row>
    <row r="49" spans="2:70" x14ac:dyDescent="0.2">
      <c r="B49">
        <v>1844</v>
      </c>
      <c r="C49" s="12">
        <v>888.58740234375</v>
      </c>
      <c r="D49" s="12">
        <v>1791.7152099609375</v>
      </c>
      <c r="E49" s="12">
        <v>2236.17236328125</v>
      </c>
      <c r="F49" s="12">
        <v>759.073974609375</v>
      </c>
      <c r="G49" s="12">
        <v>828.45050048828125</v>
      </c>
      <c r="H49" s="12">
        <v>606.62017822265625</v>
      </c>
      <c r="I49" s="12">
        <v>643.969482421875</v>
      </c>
      <c r="J49" s="12">
        <v>697.041015625</v>
      </c>
      <c r="K49" s="12">
        <v>727.9454345703125</v>
      </c>
      <c r="L49" s="12">
        <v>2162.82861328125</v>
      </c>
      <c r="M49" s="12">
        <v>2048.085693359375</v>
      </c>
      <c r="N49" s="12">
        <v>1859.6004638671875</v>
      </c>
      <c r="O49" s="12">
        <v>1784.3546142578125</v>
      </c>
      <c r="P49" s="12">
        <v>4065.76025390625</v>
      </c>
      <c r="Q49" s="12">
        <v>2126.006591796875</v>
      </c>
      <c r="R49" s="12">
        <v>2942.080322265625</v>
      </c>
      <c r="S49" s="12">
        <v>1901.3455810546875</v>
      </c>
      <c r="T49" s="12">
        <v>1248.0400390625</v>
      </c>
      <c r="U49" s="12">
        <v>2034.359619140625</v>
      </c>
      <c r="V49" s="12">
        <v>820.32611083984375</v>
      </c>
      <c r="W49" s="12">
        <v>2607.921630859375</v>
      </c>
      <c r="X49" s="12">
        <v>1422.007080078125</v>
      </c>
      <c r="Y49" s="12">
        <v>2289.268310546875</v>
      </c>
      <c r="Z49" s="12">
        <v>1425.1533203125</v>
      </c>
      <c r="AA49" s="12">
        <v>474.142822265625</v>
      </c>
      <c r="AB49" s="12">
        <v>1234.26123046875</v>
      </c>
      <c r="AC49" s="12">
        <v>649.64227294921875</v>
      </c>
      <c r="AD49" s="12">
        <v>783.99212646484375</v>
      </c>
      <c r="AE49" s="12">
        <v>1204.533935546875</v>
      </c>
      <c r="AF49" s="12">
        <v>837.362548828125</v>
      </c>
      <c r="AG49" s="12">
        <v>465.347900390625</v>
      </c>
      <c r="AH49" s="12">
        <v>506.77243041992188</v>
      </c>
      <c r="AI49" s="12">
        <v>996.01434326171875</v>
      </c>
      <c r="AJ49" s="12">
        <v>1038.4134521484375</v>
      </c>
      <c r="AK49" s="12">
        <v>580.2049560546875</v>
      </c>
      <c r="AL49" s="12">
        <v>602.39312744140625</v>
      </c>
      <c r="AM49" s="12">
        <v>1369.47021484375</v>
      </c>
      <c r="AN49" s="12">
        <v>786.86590576171875</v>
      </c>
      <c r="AO49" s="12">
        <v>1302.5804443359375</v>
      </c>
      <c r="AP49" s="12">
        <v>932.17877197265625</v>
      </c>
      <c r="AQ49" s="12">
        <v>645.59832763671875</v>
      </c>
      <c r="AR49" s="12">
        <v>525.69854736328125</v>
      </c>
      <c r="AS49" s="12">
        <v>752.59002685546875</v>
      </c>
      <c r="AT49" s="12">
        <v>690.95166015625</v>
      </c>
      <c r="AU49" s="12">
        <v>678.99786376953125</v>
      </c>
      <c r="AV49" s="12">
        <v>706.803466796875</v>
      </c>
      <c r="AW49" s="12">
        <v>403.35064697265625</v>
      </c>
      <c r="AX49" s="12">
        <v>339.23910522460938</v>
      </c>
      <c r="AY49" s="12">
        <v>1455.921875</v>
      </c>
      <c r="AZ49" s="12">
        <v>264.46893310546875</v>
      </c>
      <c r="BA49" s="12">
        <v>824.94439697265625</v>
      </c>
      <c r="BB49" s="12">
        <v>670.4656982421875</v>
      </c>
      <c r="BC49" s="12">
        <v>683.1356201171875</v>
      </c>
      <c r="BD49" s="12">
        <v>861.93231201171875</v>
      </c>
      <c r="BE49" s="12">
        <v>564.70855712890625</v>
      </c>
      <c r="BF49" s="12">
        <v>760.788818359375</v>
      </c>
      <c r="BG49" s="12">
        <v>1349.49169921875</v>
      </c>
      <c r="BH49" s="12">
        <v>1006.829345703125</v>
      </c>
      <c r="BI49" s="12">
        <v>733.1988525390625</v>
      </c>
      <c r="BJ49" s="12">
        <v>573.03863525390625</v>
      </c>
      <c r="BK49" s="12">
        <v>316.89968872070312</v>
      </c>
      <c r="BL49" s="12">
        <v>794.06170654296875</v>
      </c>
      <c r="BM49" s="12">
        <v>902.03057861328125</v>
      </c>
      <c r="BN49" s="12">
        <v>806.76324462890625</v>
      </c>
      <c r="BO49" s="12">
        <v>617.8763427734375</v>
      </c>
      <c r="BP49" s="12">
        <v>1386.9095458984375</v>
      </c>
      <c r="BQ49" s="12"/>
      <c r="BR49" s="12"/>
    </row>
    <row r="50" spans="2:70" x14ac:dyDescent="0.2">
      <c r="B50">
        <v>1845</v>
      </c>
      <c r="C50" s="12">
        <v>898.38916015625</v>
      </c>
      <c r="D50" s="12">
        <v>1803.950439453125</v>
      </c>
      <c r="E50" s="12">
        <v>2404.840087890625</v>
      </c>
      <c r="F50" s="12">
        <v>760.2923583984375</v>
      </c>
      <c r="G50" s="12">
        <v>833.52923583984375</v>
      </c>
      <c r="H50" s="12">
        <v>606.64990234375</v>
      </c>
      <c r="I50" s="12">
        <v>646.3555908203125</v>
      </c>
      <c r="J50" s="12">
        <v>697.7860107421875</v>
      </c>
      <c r="K50" s="12">
        <v>723.5146484375</v>
      </c>
      <c r="L50" s="12">
        <v>2181.787109375</v>
      </c>
      <c r="M50" s="12">
        <v>2079.78857421875</v>
      </c>
      <c r="N50" s="12">
        <v>1945.8585205078125</v>
      </c>
      <c r="O50" s="12">
        <v>1820.6346435546875</v>
      </c>
      <c r="P50" s="12">
        <v>4012.972900390625</v>
      </c>
      <c r="Q50" s="12">
        <v>2127.639404296875</v>
      </c>
      <c r="R50" s="12">
        <v>2885.682861328125</v>
      </c>
      <c r="S50" s="12">
        <v>1978.813232421875</v>
      </c>
      <c r="T50" s="12">
        <v>1278.3951416015625</v>
      </c>
      <c r="U50" s="12">
        <v>2047.7598876953125</v>
      </c>
      <c r="V50" s="12">
        <v>825.5811767578125</v>
      </c>
      <c r="W50" s="12">
        <v>2809.78369140625</v>
      </c>
      <c r="X50" s="12">
        <v>1441.1331787109375</v>
      </c>
      <c r="Y50" s="12">
        <v>2353.77001953125</v>
      </c>
      <c r="Z50" s="12">
        <v>1462.996826171875</v>
      </c>
      <c r="AA50" s="12">
        <v>509.3179931640625</v>
      </c>
      <c r="AB50" s="12">
        <v>1242.60693359375</v>
      </c>
      <c r="AC50" s="12">
        <v>646.2933349609375</v>
      </c>
      <c r="AD50" s="12">
        <v>812.8861083984375</v>
      </c>
      <c r="AE50" s="12">
        <v>1200.69970703125</v>
      </c>
      <c r="AF50" s="12">
        <v>838.37652587890625</v>
      </c>
      <c r="AG50" s="12">
        <v>463.8541259765625</v>
      </c>
      <c r="AH50" s="12">
        <v>507.09390258789062</v>
      </c>
      <c r="AI50" s="12">
        <v>1011.1919555664062</v>
      </c>
      <c r="AJ50" s="12">
        <v>1045.5213623046875</v>
      </c>
      <c r="AK50" s="12">
        <v>581.45794677734375</v>
      </c>
      <c r="AL50" s="12">
        <v>605.46429443359375</v>
      </c>
      <c r="AM50" s="12">
        <v>1371.743408203125</v>
      </c>
      <c r="AN50" s="12">
        <v>792.1654052734375</v>
      </c>
      <c r="AO50" s="12">
        <v>1310.9873046875</v>
      </c>
      <c r="AP50" s="12">
        <v>932.72052001953125</v>
      </c>
      <c r="AQ50" s="12">
        <v>645.9722900390625</v>
      </c>
      <c r="AR50" s="12">
        <v>526.00335693359375</v>
      </c>
      <c r="AS50" s="12">
        <v>753.01837158203125</v>
      </c>
      <c r="AT50" s="12">
        <v>691.3519287109375</v>
      </c>
      <c r="AU50" s="12">
        <v>679.39117431640625</v>
      </c>
      <c r="AV50" s="12">
        <v>707.212890625</v>
      </c>
      <c r="AW50" s="12">
        <v>403.58453369140625</v>
      </c>
      <c r="AX50" s="12">
        <v>339.43563842773438</v>
      </c>
      <c r="AY50" s="12">
        <v>1452.10400390625</v>
      </c>
      <c r="AZ50" s="12">
        <v>264.40850830078125</v>
      </c>
      <c r="BA50" s="12">
        <v>827.99951171875</v>
      </c>
      <c r="BB50" s="12">
        <v>672.94915771484375</v>
      </c>
      <c r="BC50" s="12">
        <v>683.6973876953125</v>
      </c>
      <c r="BD50" s="12">
        <v>864.233642578125</v>
      </c>
      <c r="BE50" s="12">
        <v>564.68438720703125</v>
      </c>
      <c r="BF50" s="12">
        <v>760.7025146484375</v>
      </c>
      <c r="BG50" s="12">
        <v>1350.77783203125</v>
      </c>
      <c r="BH50" s="12">
        <v>1003.407470703125</v>
      </c>
      <c r="BI50" s="12">
        <v>733.00347900390625</v>
      </c>
      <c r="BJ50" s="12">
        <v>538.6129150390625</v>
      </c>
      <c r="BK50" s="12">
        <v>316.70343017578125</v>
      </c>
      <c r="BL50" s="12">
        <v>791.36285400390625</v>
      </c>
      <c r="BM50" s="12">
        <v>899.59033203125</v>
      </c>
      <c r="BN50" s="12">
        <v>807.29534912109375</v>
      </c>
      <c r="BO50" s="12">
        <v>617.06475830078125</v>
      </c>
      <c r="BP50" s="12">
        <v>1379.6356201171875</v>
      </c>
      <c r="BQ50" s="12"/>
      <c r="BR50" s="12"/>
    </row>
    <row r="51" spans="2:70" x14ac:dyDescent="0.2">
      <c r="B51">
        <v>1846</v>
      </c>
      <c r="C51" s="12">
        <v>911.41021728515625</v>
      </c>
      <c r="D51" s="12">
        <v>1815.33056640625</v>
      </c>
      <c r="E51" s="12">
        <v>2631.778076171875</v>
      </c>
      <c r="F51" s="12">
        <v>761.80072021484375</v>
      </c>
      <c r="G51" s="12">
        <v>838.836669921875</v>
      </c>
      <c r="H51" s="12">
        <v>606.73297119140625</v>
      </c>
      <c r="I51" s="12">
        <v>646.67633056640625</v>
      </c>
      <c r="J51" s="12">
        <v>698.61175537109375</v>
      </c>
      <c r="K51" s="12">
        <v>721.17529296875</v>
      </c>
      <c r="L51" s="12">
        <v>2109.494384765625</v>
      </c>
      <c r="M51" s="12">
        <v>2104.15673828125</v>
      </c>
      <c r="N51" s="12">
        <v>1979.1572265625</v>
      </c>
      <c r="O51" s="12">
        <v>1938.8448486328125</v>
      </c>
      <c r="P51" s="12">
        <v>3963.347900390625</v>
      </c>
      <c r="Q51" s="12">
        <v>2124.10302734375</v>
      </c>
      <c r="R51" s="12">
        <v>2862.61376953125</v>
      </c>
      <c r="S51" s="12">
        <v>1964.1827392578125</v>
      </c>
      <c r="T51" s="12">
        <v>1234.727783203125</v>
      </c>
      <c r="U51" s="12">
        <v>2060.26513671875</v>
      </c>
      <c r="V51" s="12">
        <v>830.48541259765625</v>
      </c>
      <c r="W51" s="12">
        <v>3078.699951171875</v>
      </c>
      <c r="X51" s="12">
        <v>1460.61181640625</v>
      </c>
      <c r="Y51" s="12">
        <v>2601.92578125</v>
      </c>
      <c r="Z51" s="12">
        <v>1502.04931640625</v>
      </c>
      <c r="AA51" s="12">
        <v>555.8048095703125</v>
      </c>
      <c r="AB51" s="12">
        <v>1251.4285888671875</v>
      </c>
      <c r="AC51" s="12">
        <v>644.36126708984375</v>
      </c>
      <c r="AD51" s="12">
        <v>828.42724609375</v>
      </c>
      <c r="AE51" s="12">
        <v>1209.4364013671875</v>
      </c>
      <c r="AF51" s="12">
        <v>839.50164794921875</v>
      </c>
      <c r="AG51" s="12">
        <v>463.92617797851562</v>
      </c>
      <c r="AH51" s="12">
        <v>507.44845581054688</v>
      </c>
      <c r="AI51" s="12">
        <v>1026.73876953125</v>
      </c>
      <c r="AJ51" s="12">
        <v>1053.0245361328125</v>
      </c>
      <c r="AK51" s="12">
        <v>582.9053955078125</v>
      </c>
      <c r="AL51" s="12">
        <v>608.630126953125</v>
      </c>
      <c r="AM51" s="12">
        <v>1374.1097412109375</v>
      </c>
      <c r="AN51" s="12">
        <v>797.6563720703125</v>
      </c>
      <c r="AO51" s="12">
        <v>1319.764892578125</v>
      </c>
      <c r="AP51" s="12">
        <v>933.3193359375</v>
      </c>
      <c r="AQ51" s="12">
        <v>646.3887939453125</v>
      </c>
      <c r="AR51" s="12">
        <v>526.342529296875</v>
      </c>
      <c r="AS51" s="12">
        <v>753.52685546875</v>
      </c>
      <c r="AT51" s="12">
        <v>691.79766845703125</v>
      </c>
      <c r="AU51" s="12">
        <v>679.829345703125</v>
      </c>
      <c r="AV51" s="12">
        <v>707.6689453125</v>
      </c>
      <c r="AW51" s="12">
        <v>403.84475708007812</v>
      </c>
      <c r="AX51" s="12">
        <v>339.6541748046875</v>
      </c>
      <c r="AY51" s="12">
        <v>1448.390380859375</v>
      </c>
      <c r="AZ51" s="12">
        <v>264.4173583984375</v>
      </c>
      <c r="BA51" s="12">
        <v>828.40869140625</v>
      </c>
      <c r="BB51" s="12">
        <v>673.281494140625</v>
      </c>
      <c r="BC51" s="12">
        <v>684.3270263671875</v>
      </c>
      <c r="BD51" s="12">
        <v>866.620361328125</v>
      </c>
      <c r="BE51" s="12">
        <v>564.69732666015625</v>
      </c>
      <c r="BF51" s="12">
        <v>760.66607666015625</v>
      </c>
      <c r="BG51" s="12">
        <v>1352.259033203125</v>
      </c>
      <c r="BH51" s="12">
        <v>1000.2590942382812</v>
      </c>
      <c r="BI51" s="12">
        <v>733.00018310546875</v>
      </c>
      <c r="BJ51" s="12">
        <v>521.724853515625</v>
      </c>
      <c r="BK51" s="12">
        <v>316.59033203125</v>
      </c>
      <c r="BL51" s="12">
        <v>788.87982177734375</v>
      </c>
      <c r="BM51" s="12">
        <v>900.4656982421875</v>
      </c>
      <c r="BN51" s="12">
        <v>808.0394287109375</v>
      </c>
      <c r="BO51" s="12">
        <v>616.3753662109375</v>
      </c>
      <c r="BP51" s="12">
        <v>1375.96484375</v>
      </c>
      <c r="BQ51" s="12"/>
      <c r="BR51" s="12"/>
    </row>
    <row r="52" spans="2:70" x14ac:dyDescent="0.2">
      <c r="B52">
        <v>1847</v>
      </c>
      <c r="C52" s="12">
        <v>936.14788818359375</v>
      </c>
      <c r="D52" s="12">
        <v>1858.46533203125</v>
      </c>
      <c r="E52" s="12">
        <v>3014.419189453125</v>
      </c>
      <c r="F52" s="12">
        <v>768.5146484375</v>
      </c>
      <c r="G52" s="12">
        <v>844.0721435546875</v>
      </c>
      <c r="H52" s="12">
        <v>596.63909912109375</v>
      </c>
      <c r="I52" s="12">
        <v>646.8653564453125</v>
      </c>
      <c r="J52" s="12">
        <v>699.3868408203125</v>
      </c>
      <c r="K52" s="12">
        <v>720.36376953125</v>
      </c>
      <c r="L52" s="12">
        <v>2086.99609375</v>
      </c>
      <c r="M52" s="12">
        <v>2074.510009765625</v>
      </c>
      <c r="N52" s="12">
        <v>1902.585693359375</v>
      </c>
      <c r="O52" s="12">
        <v>2149.90625</v>
      </c>
      <c r="P52" s="12">
        <v>3996.615234375</v>
      </c>
      <c r="Q52" s="12">
        <v>2122.215576171875</v>
      </c>
      <c r="R52" s="12">
        <v>2888.689697265625</v>
      </c>
      <c r="S52" s="12">
        <v>2025.9085693359375</v>
      </c>
      <c r="T52" s="12">
        <v>1267.527587890625</v>
      </c>
      <c r="U52" s="12">
        <v>2107.6396484375</v>
      </c>
      <c r="V52" s="12">
        <v>849.42529296875</v>
      </c>
      <c r="W52" s="12">
        <v>3535.552490234375</v>
      </c>
      <c r="X52" s="12">
        <v>1480.2789306640625</v>
      </c>
      <c r="Y52" s="12">
        <v>3008.5888671875</v>
      </c>
      <c r="Z52" s="12">
        <v>1541.99560546875</v>
      </c>
      <c r="AA52" s="12">
        <v>634.61419677734375</v>
      </c>
      <c r="AB52" s="12">
        <v>1259.986572265625</v>
      </c>
      <c r="AC52" s="12">
        <v>641.33636474609375</v>
      </c>
      <c r="AD52" s="12">
        <v>909.73406982421875</v>
      </c>
      <c r="AE52" s="12">
        <v>1227.89501953125</v>
      </c>
      <c r="AF52" s="12">
        <v>840.54345703125</v>
      </c>
      <c r="AG52" s="12">
        <v>465.96310424804688</v>
      </c>
      <c r="AH52" s="12">
        <v>507.77789306640625</v>
      </c>
      <c r="AI52" s="12">
        <v>1042.4251708984375</v>
      </c>
      <c r="AJ52" s="12">
        <v>1060.3116455078125</v>
      </c>
      <c r="AK52" s="12">
        <v>584.20782470703125</v>
      </c>
      <c r="AL52" s="12">
        <v>611.75128173828125</v>
      </c>
      <c r="AM52" s="12">
        <v>1376.4111328125</v>
      </c>
      <c r="AN52" s="12">
        <v>803.065185546875</v>
      </c>
      <c r="AO52" s="12">
        <v>1328.372802734375</v>
      </c>
      <c r="AP52" s="12">
        <v>933.87646484375</v>
      </c>
      <c r="AQ52" s="12">
        <v>646.77288818359375</v>
      </c>
      <c r="AR52" s="12">
        <v>526.655517578125</v>
      </c>
      <c r="AS52" s="12">
        <v>753.9798583984375</v>
      </c>
      <c r="AT52" s="12">
        <v>692.20867919921875</v>
      </c>
      <c r="AU52" s="12">
        <v>680.233154296875</v>
      </c>
      <c r="AV52" s="12">
        <v>708.08935546875</v>
      </c>
      <c r="AW52" s="12">
        <v>404.08489990234375</v>
      </c>
      <c r="AX52" s="12">
        <v>339.85629272460938</v>
      </c>
      <c r="AY52" s="12">
        <v>1251.8834228515625</v>
      </c>
      <c r="AZ52" s="12">
        <v>260.19659423828125</v>
      </c>
      <c r="BA52" s="12">
        <v>828.648193359375</v>
      </c>
      <c r="BB52" s="12">
        <v>673.4764404296875</v>
      </c>
      <c r="BC52" s="12">
        <v>684.90509033203125</v>
      </c>
      <c r="BD52" s="12">
        <v>868.95269775390625</v>
      </c>
      <c r="BE52" s="12">
        <v>564.6817626953125</v>
      </c>
      <c r="BF52" s="12">
        <v>760.5911865234375</v>
      </c>
      <c r="BG52" s="12">
        <v>1353.595947265625</v>
      </c>
      <c r="BH52" s="12">
        <v>996.9188232421875</v>
      </c>
      <c r="BI52" s="12">
        <v>732.8485107421875</v>
      </c>
      <c r="BJ52" s="12">
        <v>513.5802001953125</v>
      </c>
      <c r="BK52" s="12">
        <v>316.41311645507812</v>
      </c>
      <c r="BL52" s="12">
        <v>786.2454833984375</v>
      </c>
      <c r="BM52" s="12">
        <v>897.72161865234375</v>
      </c>
      <c r="BN52" s="12">
        <v>805.53582763671875</v>
      </c>
      <c r="BO52" s="12">
        <v>615.59320068359375</v>
      </c>
      <c r="BP52" s="12">
        <v>1373.9439697265625</v>
      </c>
      <c r="BQ52" s="12"/>
      <c r="BR52" s="12"/>
    </row>
    <row r="53" spans="2:70" x14ac:dyDescent="0.2">
      <c r="B53">
        <v>1848</v>
      </c>
      <c r="C53" s="12">
        <v>924.44512939453125</v>
      </c>
      <c r="D53" s="12">
        <v>1800.888916015625</v>
      </c>
      <c r="E53" s="12">
        <v>3000.06591796875</v>
      </c>
      <c r="F53" s="12">
        <v>768.0460205078125</v>
      </c>
      <c r="G53" s="12">
        <v>850.01434326171875</v>
      </c>
      <c r="H53" s="12">
        <v>597.16363525390625</v>
      </c>
      <c r="I53" s="12">
        <v>647.9825439453125</v>
      </c>
      <c r="J53" s="12">
        <v>700.39080810546875</v>
      </c>
      <c r="K53" s="12">
        <v>723.261962890625</v>
      </c>
      <c r="L53" s="12">
        <v>2227.347900390625</v>
      </c>
      <c r="M53" s="12">
        <v>2163.129638671875</v>
      </c>
      <c r="N53" s="12">
        <v>1931.2772216796875</v>
      </c>
      <c r="O53" s="12">
        <v>1681.8004150390625</v>
      </c>
      <c r="P53" s="12">
        <v>4113.98046875</v>
      </c>
      <c r="Q53" s="12">
        <v>2122.98046875</v>
      </c>
      <c r="R53" s="12">
        <v>2930.388427734375</v>
      </c>
      <c r="S53" s="12">
        <v>1860.289306640625</v>
      </c>
      <c r="T53" s="12">
        <v>1281.7225341796875</v>
      </c>
      <c r="U53" s="12">
        <v>2038.6488037109375</v>
      </c>
      <c r="V53" s="12">
        <v>821.54193115234375</v>
      </c>
      <c r="W53" s="12">
        <v>3498.045166015625</v>
      </c>
      <c r="X53" s="12">
        <v>1500.7431640625</v>
      </c>
      <c r="Y53" s="12">
        <v>3444.964111328125</v>
      </c>
      <c r="Z53" s="12">
        <v>1584.087158203125</v>
      </c>
      <c r="AA53" s="12">
        <v>630.84442138671875</v>
      </c>
      <c r="AB53" s="12">
        <v>1270.890380859375</v>
      </c>
      <c r="AC53" s="12">
        <v>645.98651123046875</v>
      </c>
      <c r="AD53" s="12">
        <v>809.1090087890625</v>
      </c>
      <c r="AE53" s="12">
        <v>1255.7908935546875</v>
      </c>
      <c r="AF53" s="12">
        <v>842.1854248046875</v>
      </c>
      <c r="AG53" s="12">
        <v>469.1766357421875</v>
      </c>
      <c r="AH53" s="12">
        <v>508.28594970703125</v>
      </c>
      <c r="AI53" s="12">
        <v>1059.06787109375</v>
      </c>
      <c r="AJ53" s="12">
        <v>1069.5537109375</v>
      </c>
      <c r="AK53" s="12">
        <v>586.55767822265625</v>
      </c>
      <c r="AL53" s="12">
        <v>615.322021484375</v>
      </c>
      <c r="AM53" s="12">
        <v>1379.2003173828125</v>
      </c>
      <c r="AN53" s="12">
        <v>809.36810302734375</v>
      </c>
      <c r="AO53" s="12">
        <v>1338.7967529296875</v>
      </c>
      <c r="AP53" s="12">
        <v>934.75970458984375</v>
      </c>
      <c r="AQ53" s="12">
        <v>647.3851318359375</v>
      </c>
      <c r="AR53" s="12">
        <v>527.153564453125</v>
      </c>
      <c r="AS53" s="12">
        <v>754.8492431640625</v>
      </c>
      <c r="AT53" s="12">
        <v>692.864013671875</v>
      </c>
      <c r="AU53" s="12">
        <v>680.8770751953125</v>
      </c>
      <c r="AV53" s="12">
        <v>708.7596435546875</v>
      </c>
      <c r="AW53" s="12">
        <v>404.467041015625</v>
      </c>
      <c r="AX53" s="12">
        <v>340.17770385742188</v>
      </c>
      <c r="AY53" s="12">
        <v>1249.057373046875</v>
      </c>
      <c r="AZ53" s="12">
        <v>260.52691650390625</v>
      </c>
      <c r="BA53" s="12">
        <v>830.0787353515625</v>
      </c>
      <c r="BB53" s="12">
        <v>674.6385498046875</v>
      </c>
      <c r="BC53" s="12">
        <v>685.8489990234375</v>
      </c>
      <c r="BD53" s="12">
        <v>871.72491455078125</v>
      </c>
      <c r="BE53" s="12">
        <v>564.86627197265625</v>
      </c>
      <c r="BF53" s="12">
        <v>760.78619384765625</v>
      </c>
      <c r="BG53" s="12">
        <v>1355.7591552734375</v>
      </c>
      <c r="BH53" s="12">
        <v>995.0009765625</v>
      </c>
      <c r="BI53" s="12">
        <v>733.73760986328125</v>
      </c>
      <c r="BJ53" s="12">
        <v>533.04833984375</v>
      </c>
      <c r="BK53" s="12">
        <v>316.68560791015625</v>
      </c>
      <c r="BL53" s="12">
        <v>784.73284912109375</v>
      </c>
      <c r="BM53" s="12">
        <v>899.88653564453125</v>
      </c>
      <c r="BN53" s="12">
        <v>807.43682861328125</v>
      </c>
      <c r="BO53" s="12">
        <v>615.46533203125</v>
      </c>
      <c r="BP53" s="12">
        <v>1378.5997314453125</v>
      </c>
      <c r="BQ53" s="12"/>
      <c r="BR53" s="12"/>
    </row>
    <row r="54" spans="2:70" x14ac:dyDescent="0.2">
      <c r="B54">
        <v>1849</v>
      </c>
      <c r="C54" s="12">
        <v>937.53033447265625</v>
      </c>
      <c r="D54" s="12">
        <v>1858.0042724609375</v>
      </c>
      <c r="E54" s="12">
        <v>2946.974365234375</v>
      </c>
      <c r="F54" s="12">
        <v>772.17266845703125</v>
      </c>
      <c r="G54" s="12">
        <v>855.07855224609375</v>
      </c>
      <c r="H54" s="12">
        <v>597.20343017578125</v>
      </c>
      <c r="I54" s="12">
        <v>648.2728271484375</v>
      </c>
      <c r="J54" s="12">
        <v>701.0777587890625</v>
      </c>
      <c r="K54" s="12">
        <v>720.06512451171875</v>
      </c>
      <c r="L54" s="12">
        <v>2314.005615234375</v>
      </c>
      <c r="M54" s="12">
        <v>2268.24658203125</v>
      </c>
      <c r="N54" s="12">
        <v>1957.8125</v>
      </c>
      <c r="O54" s="12">
        <v>1734.17919921875</v>
      </c>
      <c r="P54" s="12">
        <v>4299.5791015625</v>
      </c>
      <c r="Q54" s="12">
        <v>2124.732421875</v>
      </c>
      <c r="R54" s="12">
        <v>3062.729248046875</v>
      </c>
      <c r="S54" s="12">
        <v>1891.873779296875</v>
      </c>
      <c r="T54" s="12">
        <v>1326.482421875</v>
      </c>
      <c r="U54" s="12">
        <v>2100.219970703125</v>
      </c>
      <c r="V54" s="12">
        <v>846.2174072265625</v>
      </c>
      <c r="W54" s="12">
        <v>3423.836669921875</v>
      </c>
      <c r="X54" s="12">
        <v>1521.0101318359375</v>
      </c>
      <c r="Y54" s="12">
        <v>3401.48193359375</v>
      </c>
      <c r="Z54" s="12">
        <v>1626.334228515625</v>
      </c>
      <c r="AA54" s="12">
        <v>618.66009521484375</v>
      </c>
      <c r="AB54" s="12">
        <v>1279.84033203125</v>
      </c>
      <c r="AC54" s="12">
        <v>643.8046875</v>
      </c>
      <c r="AD54" s="12">
        <v>822.2362060546875</v>
      </c>
      <c r="AE54" s="12">
        <v>1296.9283447265625</v>
      </c>
      <c r="AF54" s="12">
        <v>843.2967529296875</v>
      </c>
      <c r="AG54" s="12">
        <v>470.75393676757812</v>
      </c>
      <c r="AH54" s="12">
        <v>508.63546752929688</v>
      </c>
      <c r="AI54" s="12">
        <v>1075.3260498046875</v>
      </c>
      <c r="AJ54" s="12">
        <v>1077.166748046875</v>
      </c>
      <c r="AK54" s="12">
        <v>587.98370361328125</v>
      </c>
      <c r="AL54" s="12">
        <v>618.52532958984375</v>
      </c>
      <c r="AM54" s="12">
        <v>1381.56396484375</v>
      </c>
      <c r="AN54" s="12">
        <v>814.95166015625</v>
      </c>
      <c r="AO54" s="12">
        <v>1347.8232421875</v>
      </c>
      <c r="AP54" s="12">
        <v>935.3505859375</v>
      </c>
      <c r="AQ54" s="12">
        <v>647.79498291015625</v>
      </c>
      <c r="AR54" s="12">
        <v>527.487548828125</v>
      </c>
      <c r="AS54" s="12">
        <v>755.3411865234375</v>
      </c>
      <c r="AT54" s="12">
        <v>693.30267333984375</v>
      </c>
      <c r="AU54" s="12">
        <v>681.3082275390625</v>
      </c>
      <c r="AV54" s="12">
        <v>709.2083740234375</v>
      </c>
      <c r="AW54" s="12">
        <v>404.7232666015625</v>
      </c>
      <c r="AX54" s="12">
        <v>340.39337158203125</v>
      </c>
      <c r="AY54" s="12">
        <v>1245.8489990234375</v>
      </c>
      <c r="AZ54" s="12">
        <v>260.5284423828125</v>
      </c>
      <c r="BA54" s="12">
        <v>830.449951171875</v>
      </c>
      <c r="BB54" s="12">
        <v>674.9404296875</v>
      </c>
      <c r="BC54" s="12">
        <v>686.46893310546875</v>
      </c>
      <c r="BD54" s="12">
        <v>874.11834716796875</v>
      </c>
      <c r="BE54" s="12">
        <v>564.872802734375</v>
      </c>
      <c r="BF54" s="12">
        <v>760.74090576171875</v>
      </c>
      <c r="BG54" s="12">
        <v>1357.0745849609375</v>
      </c>
      <c r="BH54" s="12">
        <v>991.83355712890625</v>
      </c>
      <c r="BI54" s="12">
        <v>733.7005615234375</v>
      </c>
      <c r="BJ54" s="12">
        <v>512.6826171875</v>
      </c>
      <c r="BK54" s="12">
        <v>316.55789184570312</v>
      </c>
      <c r="BL54" s="12">
        <v>782.23480224609375</v>
      </c>
      <c r="BM54" s="12">
        <v>897.28448486328125</v>
      </c>
      <c r="BN54" s="12">
        <v>808.06109619140625</v>
      </c>
      <c r="BO54" s="12">
        <v>614.75628662109375</v>
      </c>
      <c r="BP54" s="12">
        <v>1373.997802734375</v>
      </c>
      <c r="BQ54" s="12"/>
      <c r="BR54" s="12"/>
    </row>
    <row r="55" spans="2:70" x14ac:dyDescent="0.2">
      <c r="B55">
        <v>1850</v>
      </c>
      <c r="C55" s="12">
        <v>965.9930419921875</v>
      </c>
      <c r="D55" s="12">
        <v>1944.96435546875</v>
      </c>
      <c r="E55" s="12">
        <v>3078.7216796875</v>
      </c>
      <c r="F55" s="12">
        <v>786.31146240234375</v>
      </c>
      <c r="G55" s="12">
        <v>862.6700439453125</v>
      </c>
      <c r="H55" s="12">
        <v>604.93414306640625</v>
      </c>
      <c r="I55" s="12">
        <v>648.16400146484375</v>
      </c>
      <c r="J55" s="12">
        <v>701.8521728515625</v>
      </c>
      <c r="K55" s="12">
        <v>717.3992919921875</v>
      </c>
      <c r="L55" s="12">
        <v>2309.541748046875</v>
      </c>
      <c r="M55" s="12">
        <v>2370.19482421875</v>
      </c>
      <c r="N55" s="12">
        <v>2031.3770751953125</v>
      </c>
      <c r="O55" s="12">
        <v>1883.8931884765625</v>
      </c>
      <c r="P55" s="12">
        <v>4636.2880859375</v>
      </c>
      <c r="Q55" s="12">
        <v>2126.092041015625</v>
      </c>
      <c r="R55" s="12">
        <v>3064.774169921875</v>
      </c>
      <c r="S55" s="12">
        <v>1969.1995849609375</v>
      </c>
      <c r="T55" s="12">
        <v>1360.93115234375</v>
      </c>
      <c r="U55" s="12">
        <v>2194.949951171875</v>
      </c>
      <c r="V55" s="12">
        <v>880.68402099609375</v>
      </c>
      <c r="W55" s="12">
        <v>3584.346435546875</v>
      </c>
      <c r="X55" s="12">
        <v>1541.31591796875</v>
      </c>
      <c r="Y55" s="12">
        <v>3128.9833984375</v>
      </c>
      <c r="Z55" s="12">
        <v>1669.2386474609375</v>
      </c>
      <c r="AA55" s="12">
        <v>645.371337890625</v>
      </c>
      <c r="AB55" s="12">
        <v>1236.1453857421875</v>
      </c>
      <c r="AC55" s="12">
        <v>652.570068359375</v>
      </c>
      <c r="AD55" s="12">
        <v>919.9842529296875</v>
      </c>
      <c r="AE55" s="12">
        <v>1355.6051025390625</v>
      </c>
      <c r="AF55" s="12">
        <v>844.14996337890625</v>
      </c>
      <c r="AG55" s="12">
        <v>495.35366821289062</v>
      </c>
      <c r="AH55" s="12">
        <v>508.90850830078125</v>
      </c>
      <c r="AI55" s="12">
        <v>1091.5301513671875</v>
      </c>
      <c r="AJ55" s="12">
        <v>1084.002197265625</v>
      </c>
      <c r="AK55" s="12">
        <v>588.96124267578125</v>
      </c>
      <c r="AL55" s="12">
        <v>621.5570068359375</v>
      </c>
      <c r="AM55" s="12">
        <v>1383.7222900390625</v>
      </c>
      <c r="AN55" s="12">
        <v>826.66278076171875</v>
      </c>
      <c r="AO55" s="12">
        <v>1361.1278076171875</v>
      </c>
      <c r="AP55" s="12">
        <v>935.8011474609375</v>
      </c>
      <c r="AQ55" s="12">
        <v>648.1070556640625</v>
      </c>
      <c r="AR55" s="12">
        <v>527.74188232421875</v>
      </c>
      <c r="AS55" s="12">
        <v>755.65545654296875</v>
      </c>
      <c r="AT55" s="12">
        <v>693.63665771484375</v>
      </c>
      <c r="AU55" s="12">
        <v>681.636474609375</v>
      </c>
      <c r="AV55" s="12">
        <v>709.54998779296875</v>
      </c>
      <c r="AW55" s="12">
        <v>404.91845703125</v>
      </c>
      <c r="AX55" s="12">
        <v>340.557373046875</v>
      </c>
      <c r="AY55" s="12">
        <v>1391.9776611328125</v>
      </c>
      <c r="AZ55" s="12">
        <v>263.62625122070312</v>
      </c>
      <c r="BA55" s="12">
        <v>830.308349609375</v>
      </c>
      <c r="BB55" s="12">
        <v>674.82562255859375</v>
      </c>
      <c r="BC55" s="12">
        <v>686.93157958984375</v>
      </c>
      <c r="BD55" s="12">
        <v>880.4251708984375</v>
      </c>
      <c r="BE55" s="12">
        <v>564.79302978515625</v>
      </c>
      <c r="BF55" s="12">
        <v>760.57965087890625</v>
      </c>
      <c r="BG55" s="12">
        <v>1357.993896484375</v>
      </c>
      <c r="BH55" s="12">
        <v>988.072021484375</v>
      </c>
      <c r="BI55" s="12">
        <v>733.21533203125</v>
      </c>
      <c r="BJ55" s="12">
        <v>496.53912353515625</v>
      </c>
      <c r="BK55" s="12">
        <v>316.23687744140625</v>
      </c>
      <c r="BL55" s="12">
        <v>779.2681884765625</v>
      </c>
      <c r="BM55" s="12">
        <v>897.10205078125</v>
      </c>
      <c r="BN55" s="12">
        <v>804.85595703125</v>
      </c>
      <c r="BO55" s="12">
        <v>613.7677001953125</v>
      </c>
      <c r="BP55" s="12">
        <v>1370.157958984375</v>
      </c>
      <c r="BQ55" s="12"/>
      <c r="BR55" s="12"/>
    </row>
    <row r="56" spans="2:70" x14ac:dyDescent="0.2">
      <c r="B56">
        <v>1851</v>
      </c>
      <c r="C56" s="12">
        <v>972.61846923828125</v>
      </c>
      <c r="D56" s="12">
        <v>1948.258056640625</v>
      </c>
      <c r="E56" s="12">
        <v>3118.287109375</v>
      </c>
      <c r="F56" s="12">
        <v>805.5274658203125</v>
      </c>
      <c r="G56" s="12">
        <v>867.423583984375</v>
      </c>
      <c r="H56" s="12">
        <v>618.6572265625</v>
      </c>
      <c r="I56" s="12">
        <v>647.56170654296875</v>
      </c>
      <c r="J56" s="12">
        <v>704.662353515625</v>
      </c>
      <c r="K56" s="12">
        <v>716.8701171875</v>
      </c>
      <c r="L56" s="12">
        <v>2275.64306640625</v>
      </c>
      <c r="M56" s="12">
        <v>2227.619140625</v>
      </c>
      <c r="N56" s="12">
        <v>2047.5601806640625</v>
      </c>
      <c r="O56" s="12">
        <v>1808.3900146484375</v>
      </c>
      <c r="P56" s="12">
        <v>4810.74609375</v>
      </c>
      <c r="Q56" s="12">
        <v>2127.014892578125</v>
      </c>
      <c r="R56" s="12">
        <v>3091.950927734375</v>
      </c>
      <c r="S56" s="12">
        <v>2016.9271240234375</v>
      </c>
      <c r="T56" s="12">
        <v>1333.593994140625</v>
      </c>
      <c r="U56" s="12">
        <v>2190.78466796875</v>
      </c>
      <c r="V56" s="12">
        <v>878.32037353515625</v>
      </c>
      <c r="W56" s="12">
        <v>3611.7783203125</v>
      </c>
      <c r="X56" s="12">
        <v>1554.1170654296875</v>
      </c>
      <c r="Y56" s="12">
        <v>3699.942626953125</v>
      </c>
      <c r="Z56" s="12">
        <v>1781.7196044921875</v>
      </c>
      <c r="AA56" s="12">
        <v>653.28204345703125</v>
      </c>
      <c r="AB56" s="12">
        <v>1237.33056640625</v>
      </c>
      <c r="AC56" s="12">
        <v>732.9736328125</v>
      </c>
      <c r="AD56" s="12">
        <v>884.4532470703125</v>
      </c>
      <c r="AE56" s="12">
        <v>1349.9205322265625</v>
      </c>
      <c r="AF56" s="12">
        <v>832.10198974609375</v>
      </c>
      <c r="AG56" s="12">
        <v>503.64285278320312</v>
      </c>
      <c r="AH56" s="12">
        <v>509.08685302734375</v>
      </c>
      <c r="AI56" s="12">
        <v>1107.61181640625</v>
      </c>
      <c r="AJ56" s="12">
        <v>1089.8465576171875</v>
      </c>
      <c r="AK56" s="12">
        <v>589.381103515625</v>
      </c>
      <c r="AL56" s="12">
        <v>624.3697509765625</v>
      </c>
      <c r="AM56" s="12">
        <v>1385.625244140625</v>
      </c>
      <c r="AN56" s="12">
        <v>832.2529296875</v>
      </c>
      <c r="AO56" s="12">
        <v>1369.2510986328125</v>
      </c>
      <c r="AP56" s="12">
        <v>936.07891845703125</v>
      </c>
      <c r="AQ56" s="12">
        <v>648.29876708984375</v>
      </c>
      <c r="AR56" s="12">
        <v>527.89776611328125</v>
      </c>
      <c r="AS56" s="12">
        <v>755.8037109375</v>
      </c>
      <c r="AT56" s="12">
        <v>693.84185791015625</v>
      </c>
      <c r="AU56" s="12">
        <v>681.83807373046875</v>
      </c>
      <c r="AV56" s="12">
        <v>709.7598876953125</v>
      </c>
      <c r="AW56" s="12">
        <v>406.23385620117188</v>
      </c>
      <c r="AX56" s="12">
        <v>341.66421508789062</v>
      </c>
      <c r="AY56" s="12">
        <v>1647.7440185546875</v>
      </c>
      <c r="AZ56" s="12">
        <v>269.12716674804688</v>
      </c>
      <c r="BA56" s="12">
        <v>829.533203125</v>
      </c>
      <c r="BB56" s="12">
        <v>674.195556640625</v>
      </c>
      <c r="BC56" s="12">
        <v>689.7984619140625</v>
      </c>
      <c r="BD56" s="12">
        <v>884.163330078125</v>
      </c>
      <c r="BE56" s="12">
        <v>564.606689453125</v>
      </c>
      <c r="BF56" s="12">
        <v>760.2752685546875</v>
      </c>
      <c r="BG56" s="12">
        <v>1363.1612548828125</v>
      </c>
      <c r="BH56" s="12">
        <v>983.58062744140625</v>
      </c>
      <c r="BI56" s="12">
        <v>731.91839599609375</v>
      </c>
      <c r="BJ56" s="12">
        <v>508.42251586914062</v>
      </c>
      <c r="BK56" s="12">
        <v>315.6776123046875</v>
      </c>
      <c r="BL56" s="12">
        <v>775.7259521484375</v>
      </c>
      <c r="BM56" s="12">
        <v>895.8934326171875</v>
      </c>
      <c r="BN56" s="12">
        <v>803.7303466796875</v>
      </c>
      <c r="BO56" s="12">
        <v>609.74859619140625</v>
      </c>
      <c r="BP56" s="12">
        <v>1369.6607666015625</v>
      </c>
      <c r="BQ56" s="12"/>
      <c r="BR56" s="12"/>
    </row>
    <row r="57" spans="2:70" x14ac:dyDescent="0.2">
      <c r="B57">
        <v>1852</v>
      </c>
      <c r="C57" s="12">
        <v>992.0565185546875</v>
      </c>
      <c r="D57" s="12">
        <v>1973.6365966796875</v>
      </c>
      <c r="E57" s="12">
        <v>3358.549560546875</v>
      </c>
      <c r="F57" s="12">
        <v>799.85498046875</v>
      </c>
      <c r="G57" s="12">
        <v>873.0728759765625</v>
      </c>
      <c r="H57" s="12">
        <v>623.64422607421875</v>
      </c>
      <c r="I57" s="12">
        <v>645.05548095703125</v>
      </c>
      <c r="J57" s="12">
        <v>707.83612060546875</v>
      </c>
      <c r="K57" s="12">
        <v>711.83489990234375</v>
      </c>
      <c r="L57" s="12">
        <v>2305.15283203125</v>
      </c>
      <c r="M57" s="12">
        <v>2281.531494140625</v>
      </c>
      <c r="N57" s="12">
        <v>2125.9111328125</v>
      </c>
      <c r="O57" s="12">
        <v>1959.224853515625</v>
      </c>
      <c r="P57" s="12">
        <v>4713.39306640625</v>
      </c>
      <c r="Q57" s="12">
        <v>2125.322998046875</v>
      </c>
      <c r="R57" s="12">
        <v>3038.44775390625</v>
      </c>
      <c r="S57" s="12">
        <v>2045.0023193359375</v>
      </c>
      <c r="T57" s="12">
        <v>1304.6265869140625</v>
      </c>
      <c r="U57" s="12">
        <v>2221.874755859375</v>
      </c>
      <c r="V57" s="12">
        <v>890.60235595703125</v>
      </c>
      <c r="W57" s="12">
        <v>3879.92626953125</v>
      </c>
      <c r="X57" s="12">
        <v>1567.6328125</v>
      </c>
      <c r="Y57" s="12">
        <v>4337.779296875</v>
      </c>
      <c r="Z57" s="12">
        <v>1903.151123046875</v>
      </c>
      <c r="AA57" s="12">
        <v>702.34637451171875</v>
      </c>
      <c r="AB57" s="12">
        <v>1246.194091796875</v>
      </c>
      <c r="AC57" s="12">
        <v>715.758544921875</v>
      </c>
      <c r="AD57" s="12">
        <v>966.799072265625</v>
      </c>
      <c r="AE57" s="12">
        <v>1313.6729736328125</v>
      </c>
      <c r="AF57" s="12">
        <v>820.86444091796875</v>
      </c>
      <c r="AG57" s="12">
        <v>498.64715576171875</v>
      </c>
      <c r="AH57" s="12">
        <v>509.46063232421875</v>
      </c>
      <c r="AI57" s="12">
        <v>1124.732177734375</v>
      </c>
      <c r="AJ57" s="12">
        <v>1097.862060546875</v>
      </c>
      <c r="AK57" s="12">
        <v>590.952880859375</v>
      </c>
      <c r="AL57" s="12">
        <v>627.6788330078125</v>
      </c>
      <c r="AM57" s="12">
        <v>1388.064208984375</v>
      </c>
      <c r="AN57" s="12">
        <v>838.20172119140625</v>
      </c>
      <c r="AO57" s="12">
        <v>1378.826171875</v>
      </c>
      <c r="AP57" s="12">
        <v>936.71356201171875</v>
      </c>
      <c r="AQ57" s="12">
        <v>648.73956298828125</v>
      </c>
      <c r="AR57" s="12">
        <v>528.2567138671875</v>
      </c>
      <c r="AS57" s="12">
        <v>756.35345458984375</v>
      </c>
      <c r="AT57" s="12">
        <v>694.3135986328125</v>
      </c>
      <c r="AU57" s="12">
        <v>682.3016357421875</v>
      </c>
      <c r="AV57" s="12">
        <v>710.24249267578125</v>
      </c>
      <c r="AW57" s="12">
        <v>406.52935791015625</v>
      </c>
      <c r="AX57" s="12">
        <v>341.9127197265625</v>
      </c>
      <c r="AY57" s="12">
        <v>1727.7696533203125</v>
      </c>
      <c r="AZ57" s="12">
        <v>271.23162841796875</v>
      </c>
      <c r="BA57" s="12">
        <v>826.3187255859375</v>
      </c>
      <c r="BB57" s="12">
        <v>671.58294677734375</v>
      </c>
      <c r="BC57" s="12">
        <v>693.08160400390625</v>
      </c>
      <c r="BD57" s="12">
        <v>888.39306640625</v>
      </c>
      <c r="BE57" s="12">
        <v>564.6396484375</v>
      </c>
      <c r="BF57" s="12">
        <v>760.26580810546875</v>
      </c>
      <c r="BG57" s="12">
        <v>1369.376953125</v>
      </c>
      <c r="BH57" s="12">
        <v>980.63311767578125</v>
      </c>
      <c r="BI57" s="12">
        <v>727.720703125</v>
      </c>
      <c r="BJ57" s="12">
        <v>489.75637817382812</v>
      </c>
      <c r="BK57" s="12">
        <v>315.60952758789062</v>
      </c>
      <c r="BL57" s="12">
        <v>773.4012451171875</v>
      </c>
      <c r="BM57" s="12">
        <v>896.79254150390625</v>
      </c>
      <c r="BN57" s="12">
        <v>804.4957275390625</v>
      </c>
      <c r="BO57" s="12">
        <v>609.09832763671875</v>
      </c>
      <c r="BP57" s="12">
        <v>1360.0948486328125</v>
      </c>
      <c r="BQ57" s="12"/>
      <c r="BR57" s="12"/>
    </row>
    <row r="58" spans="2:70" x14ac:dyDescent="0.2">
      <c r="B58">
        <v>1853</v>
      </c>
      <c r="C58" s="12">
        <v>1000.6895141601562</v>
      </c>
      <c r="D58" s="12">
        <v>1966.1226806640625</v>
      </c>
      <c r="E58" s="12">
        <v>3476.059814453125</v>
      </c>
      <c r="F58" s="12">
        <v>778.9246826171875</v>
      </c>
      <c r="G58" s="12">
        <v>878.27789306640625</v>
      </c>
      <c r="H58" s="12">
        <v>631.004638671875</v>
      </c>
      <c r="I58" s="12">
        <v>644.71905517578125</v>
      </c>
      <c r="J58" s="12">
        <v>711.11669921875</v>
      </c>
      <c r="K58" s="12">
        <v>710.10748291015625</v>
      </c>
      <c r="L58" s="12">
        <v>2283.217529296875</v>
      </c>
      <c r="M58" s="12">
        <v>2267.503662109375</v>
      </c>
      <c r="N58" s="12">
        <v>2127.072265625</v>
      </c>
      <c r="O58" s="12">
        <v>2054.00390625</v>
      </c>
      <c r="P58" s="12">
        <v>4546.58056640625</v>
      </c>
      <c r="Q58" s="12">
        <v>2131.9912109375</v>
      </c>
      <c r="R58" s="12">
        <v>2970.58544921875</v>
      </c>
      <c r="S58" s="12">
        <v>2153.902587890625</v>
      </c>
      <c r="T58" s="12">
        <v>1321.4632568359375</v>
      </c>
      <c r="U58" s="12">
        <v>2214.09765625</v>
      </c>
      <c r="V58" s="12">
        <v>886.9786376953125</v>
      </c>
      <c r="W58" s="12">
        <v>4001.530029296875</v>
      </c>
      <c r="X58" s="12">
        <v>1580.9224853515625</v>
      </c>
      <c r="Y58" s="12">
        <v>4738.94140625</v>
      </c>
      <c r="Z58" s="12">
        <v>2032.0712890625</v>
      </c>
      <c r="AA58" s="12">
        <v>725.9932861328125</v>
      </c>
      <c r="AB58" s="12">
        <v>1250.745361328125</v>
      </c>
      <c r="AC58" s="12">
        <v>667.77410888671875</v>
      </c>
      <c r="AD58" s="12">
        <v>994.501708984375</v>
      </c>
      <c r="AE58" s="12">
        <v>1264.7130126953125</v>
      </c>
      <c r="AF58" s="12">
        <v>809.42498779296875</v>
      </c>
      <c r="AG58" s="12">
        <v>481.51864624023438</v>
      </c>
      <c r="AH58" s="12">
        <v>509.72506713867188</v>
      </c>
      <c r="AI58" s="12">
        <v>1141.679443359375</v>
      </c>
      <c r="AJ58" s="12">
        <v>1104.7252197265625</v>
      </c>
      <c r="AK58" s="12">
        <v>591.87994384765625</v>
      </c>
      <c r="AL58" s="12">
        <v>630.73248291015625</v>
      </c>
      <c r="AM58" s="12">
        <v>1390.20849609375</v>
      </c>
      <c r="AN58" s="12">
        <v>844.01055908203125</v>
      </c>
      <c r="AO58" s="12">
        <v>1387.6981201171875</v>
      </c>
      <c r="AP58" s="12">
        <v>937.1497802734375</v>
      </c>
      <c r="AQ58" s="12">
        <v>649.041015625</v>
      </c>
      <c r="AR58" s="12">
        <v>528.502197265625</v>
      </c>
      <c r="AS58" s="12">
        <v>756.70159912109375</v>
      </c>
      <c r="AT58" s="12">
        <v>694.63616943359375</v>
      </c>
      <c r="AU58" s="12">
        <v>682.61871337890625</v>
      </c>
      <c r="AV58" s="12">
        <v>710.572509765625</v>
      </c>
      <c r="AW58" s="12">
        <v>406.71646118164062</v>
      </c>
      <c r="AX58" s="12">
        <v>342.06976318359375</v>
      </c>
      <c r="AY58" s="12">
        <v>1855.4525146484375</v>
      </c>
      <c r="AZ58" s="12">
        <v>274.194091796875</v>
      </c>
      <c r="BA58" s="12">
        <v>825.88360595703125</v>
      </c>
      <c r="BB58" s="12">
        <v>671.22918701171875</v>
      </c>
      <c r="BC58" s="12">
        <v>696.15283203125</v>
      </c>
      <c r="BD58" s="12">
        <v>892.401611328125</v>
      </c>
      <c r="BE58" s="12">
        <v>564.54986572265625</v>
      </c>
      <c r="BF58" s="12">
        <v>760.091064453125</v>
      </c>
      <c r="BG58" s="12">
        <v>1375.24072265625</v>
      </c>
      <c r="BH58" s="12">
        <v>976.841552734375</v>
      </c>
      <c r="BI58" s="12">
        <v>722.91607666015625</v>
      </c>
      <c r="BJ58" s="12">
        <v>506.39114379882812</v>
      </c>
      <c r="BK58" s="12">
        <v>315.2662353515625</v>
      </c>
      <c r="BL58" s="12">
        <v>770.41094970703125</v>
      </c>
      <c r="BM58" s="12">
        <v>896.50714111328125</v>
      </c>
      <c r="BN58" s="12">
        <v>800.351318359375</v>
      </c>
      <c r="BO58" s="12">
        <v>607.9180908203125</v>
      </c>
      <c r="BP58" s="12">
        <v>1355.84912109375</v>
      </c>
      <c r="BQ58" s="12"/>
      <c r="BR58" s="12"/>
    </row>
    <row r="59" spans="2:70" x14ac:dyDescent="0.2">
      <c r="B59">
        <v>1854</v>
      </c>
      <c r="C59" s="12">
        <v>1017.9483642578125</v>
      </c>
      <c r="D59" s="12">
        <v>1974.2718505859375</v>
      </c>
      <c r="E59" s="12">
        <v>3701.558837890625</v>
      </c>
      <c r="F59" s="12">
        <v>756.907958984375</v>
      </c>
      <c r="G59" s="12">
        <v>883.85711669921875</v>
      </c>
      <c r="H59" s="12">
        <v>628.97955322265625</v>
      </c>
      <c r="I59" s="12">
        <v>644.87353515625</v>
      </c>
      <c r="J59" s="12">
        <v>714.67071533203125</v>
      </c>
      <c r="K59" s="12">
        <v>704.53167724609375</v>
      </c>
      <c r="L59" s="12">
        <v>2331.754150390625</v>
      </c>
      <c r="M59" s="12">
        <v>2252.260498046875</v>
      </c>
      <c r="N59" s="12">
        <v>2148.2216796875</v>
      </c>
      <c r="O59" s="12">
        <v>2164.360595703125</v>
      </c>
      <c r="P59" s="12">
        <v>4363.72314453125</v>
      </c>
      <c r="Q59" s="12">
        <v>2131.02587890625</v>
      </c>
      <c r="R59" s="12">
        <v>3173.639404296875</v>
      </c>
      <c r="S59" s="12">
        <v>2254.5576171875</v>
      </c>
      <c r="T59" s="12">
        <v>1333.7760009765625</v>
      </c>
      <c r="U59" s="12">
        <v>2225.55712890625</v>
      </c>
      <c r="V59" s="12">
        <v>891.28204345703125</v>
      </c>
      <c r="W59" s="12">
        <v>4284.1689453125</v>
      </c>
      <c r="X59" s="12">
        <v>1594.5626220703125</v>
      </c>
      <c r="Y59" s="12">
        <v>4146.091796875</v>
      </c>
      <c r="Z59" s="12">
        <v>2170.314453125</v>
      </c>
      <c r="AA59" s="12">
        <v>771.66461181640625</v>
      </c>
      <c r="AB59" s="12">
        <v>1258.322021484375</v>
      </c>
      <c r="AC59" s="12">
        <v>609.10662841796875</v>
      </c>
      <c r="AD59" s="12">
        <v>1058.605224609375</v>
      </c>
      <c r="AE59" s="12">
        <v>1215.405517578125</v>
      </c>
      <c r="AF59" s="12">
        <v>798.38470458984375</v>
      </c>
      <c r="AG59" s="12">
        <v>465.45016479492188</v>
      </c>
      <c r="AH59" s="12">
        <v>510.06500244140625</v>
      </c>
      <c r="AI59" s="12">
        <v>1159.193603515625</v>
      </c>
      <c r="AJ59" s="12">
        <v>1112.46728515625</v>
      </c>
      <c r="AK59" s="12">
        <v>593.254150390625</v>
      </c>
      <c r="AL59" s="12">
        <v>633.9893798828125</v>
      </c>
      <c r="AM59" s="12">
        <v>1392.5609130859375</v>
      </c>
      <c r="AN59" s="12">
        <v>849.9864501953125</v>
      </c>
      <c r="AO59" s="12">
        <v>1397.18603515625</v>
      </c>
      <c r="AP59" s="12">
        <v>937.7222900390625</v>
      </c>
      <c r="AQ59" s="12">
        <v>649.4381103515625</v>
      </c>
      <c r="AR59" s="12">
        <v>528.8255615234375</v>
      </c>
      <c r="AS59" s="12">
        <v>757.18994140625</v>
      </c>
      <c r="AT59" s="12">
        <v>695.061279296875</v>
      </c>
      <c r="AU59" s="12">
        <v>683.03643798828125</v>
      </c>
      <c r="AV59" s="12">
        <v>711.00732421875</v>
      </c>
      <c r="AW59" s="12">
        <v>406.97891235351562</v>
      </c>
      <c r="AX59" s="12">
        <v>342.29083251953125</v>
      </c>
      <c r="AY59" s="12">
        <v>1804.509521484375</v>
      </c>
      <c r="AZ59" s="12">
        <v>273.35482788085938</v>
      </c>
      <c r="BA59" s="12">
        <v>826.076171875</v>
      </c>
      <c r="BB59" s="12">
        <v>671.3858642578125</v>
      </c>
      <c r="BC59" s="12">
        <v>699.3941650390625</v>
      </c>
      <c r="BD59" s="12">
        <v>896.5968017578125</v>
      </c>
      <c r="BE59" s="12">
        <v>564.5440673828125</v>
      </c>
      <c r="BF59" s="12">
        <v>760.0299072265625</v>
      </c>
      <c r="BG59" s="12">
        <v>1381.6236572265625</v>
      </c>
      <c r="BH59" s="12">
        <v>973.647216796875</v>
      </c>
      <c r="BI59" s="12">
        <v>718.57305908203125</v>
      </c>
      <c r="BJ59" s="12">
        <v>484.09841918945312</v>
      </c>
      <c r="BK59" s="12">
        <v>315.11181640625</v>
      </c>
      <c r="BL59" s="12">
        <v>767.89166259765625</v>
      </c>
      <c r="BM59" s="12">
        <v>897.034423828125</v>
      </c>
      <c r="BN59" s="12">
        <v>800.6788330078125</v>
      </c>
      <c r="BO59" s="12">
        <v>607.1033935546875</v>
      </c>
      <c r="BP59" s="12">
        <v>1345.29541015625</v>
      </c>
      <c r="BQ59" s="12"/>
      <c r="BR59" s="12"/>
    </row>
    <row r="60" spans="2:70" x14ac:dyDescent="0.2">
      <c r="B60">
        <v>1855</v>
      </c>
      <c r="C60" s="12">
        <v>1027.6722412109375</v>
      </c>
      <c r="D60" s="12">
        <v>1971.1312255859375</v>
      </c>
      <c r="E60" s="12">
        <v>3795.71826171875</v>
      </c>
      <c r="F60" s="12">
        <v>756.5933837890625</v>
      </c>
      <c r="G60" s="12">
        <v>889.6224365234375</v>
      </c>
      <c r="H60" s="12">
        <v>636.99176025390625</v>
      </c>
      <c r="I60" s="12">
        <v>645.23809814453125</v>
      </c>
      <c r="J60" s="12">
        <v>718.23565673828125</v>
      </c>
      <c r="K60" s="12">
        <v>704.1796875</v>
      </c>
      <c r="L60" s="12">
        <v>2294.31884765625</v>
      </c>
      <c r="M60" s="12">
        <v>2470.08544921875</v>
      </c>
      <c r="N60" s="12">
        <v>2253.482666015625</v>
      </c>
      <c r="O60" s="12">
        <v>2202.001220703125</v>
      </c>
      <c r="P60" s="12">
        <v>4232.47509765625</v>
      </c>
      <c r="Q60" s="12">
        <v>2149.7080078125</v>
      </c>
      <c r="R60" s="12">
        <v>3121.451416015625</v>
      </c>
      <c r="S60" s="12">
        <v>2300.328369140625</v>
      </c>
      <c r="T60" s="12">
        <v>1411.223388671875</v>
      </c>
      <c r="U60" s="12">
        <v>2224.68603515625</v>
      </c>
      <c r="V60" s="12">
        <v>890.7467041015625</v>
      </c>
      <c r="W60" s="12">
        <v>4397.5478515625</v>
      </c>
      <c r="X60" s="12">
        <v>1608.423095703125</v>
      </c>
      <c r="Y60" s="12">
        <v>3933.047119140625</v>
      </c>
      <c r="Z60" s="12">
        <v>2318.225341796875</v>
      </c>
      <c r="AA60" s="12">
        <v>790.06787109375</v>
      </c>
      <c r="AB60" s="12">
        <v>1267.2391357421875</v>
      </c>
      <c r="AC60" s="12">
        <v>613.26806640625</v>
      </c>
      <c r="AD60" s="12">
        <v>1118.9847412109375</v>
      </c>
      <c r="AE60" s="12">
        <v>1184.02880859375</v>
      </c>
      <c r="AF60" s="12">
        <v>787.59564208984375</v>
      </c>
      <c r="AG60" s="12">
        <v>464.71533203125</v>
      </c>
      <c r="AH60" s="12">
        <v>510.4373779296875</v>
      </c>
      <c r="AI60" s="12">
        <v>1177.10888671875</v>
      </c>
      <c r="AJ60" s="12">
        <v>1120.6243896484375</v>
      </c>
      <c r="AK60" s="12">
        <v>594.82318115234375</v>
      </c>
      <c r="AL60" s="12">
        <v>637.3438720703125</v>
      </c>
      <c r="AM60" s="12">
        <v>1395.0059814453125</v>
      </c>
      <c r="AN60" s="12">
        <v>856.058349609375</v>
      </c>
      <c r="AO60" s="12">
        <v>1406.9893798828125</v>
      </c>
      <c r="AP60" s="12">
        <v>938.3558349609375</v>
      </c>
      <c r="AQ60" s="12">
        <v>649.876953125</v>
      </c>
      <c r="AR60" s="12">
        <v>529.18280029296875</v>
      </c>
      <c r="AS60" s="12">
        <v>757.7357177734375</v>
      </c>
      <c r="AT60" s="12">
        <v>695.53082275390625</v>
      </c>
      <c r="AU60" s="12">
        <v>683.49786376953125</v>
      </c>
      <c r="AV60" s="12">
        <v>711.48773193359375</v>
      </c>
      <c r="AW60" s="12">
        <v>407.27230834960938</v>
      </c>
      <c r="AX60" s="12">
        <v>342.53756713867188</v>
      </c>
      <c r="AY60" s="12">
        <v>1936.5333251953125</v>
      </c>
      <c r="AZ60" s="12">
        <v>276.69711303710938</v>
      </c>
      <c r="BA60" s="12">
        <v>826.53778076171875</v>
      </c>
      <c r="BB60" s="12">
        <v>671.760986328125</v>
      </c>
      <c r="BC60" s="12">
        <v>702.718505859375</v>
      </c>
      <c r="BD60" s="12">
        <v>900.88037109375</v>
      </c>
      <c r="BE60" s="12">
        <v>564.5745849609375</v>
      </c>
      <c r="BF60" s="12">
        <v>760.01708984375</v>
      </c>
      <c r="BG60" s="12">
        <v>1388.157958984375</v>
      </c>
      <c r="BH60" s="12">
        <v>970.71246337890625</v>
      </c>
      <c r="BI60" s="12">
        <v>714.43951416015625</v>
      </c>
      <c r="BJ60" s="12">
        <v>507.68719482421875</v>
      </c>
      <c r="BK60" s="12">
        <v>315.03829956054688</v>
      </c>
      <c r="BL60" s="12">
        <v>765.57708740234375</v>
      </c>
      <c r="BM60" s="12">
        <v>897.9105224609375</v>
      </c>
      <c r="BN60" s="12">
        <v>801.370849609375</v>
      </c>
      <c r="BO60" s="12">
        <v>606.4453125</v>
      </c>
      <c r="BP60" s="12">
        <v>1336.836669921875</v>
      </c>
      <c r="BQ60" s="12"/>
      <c r="BR60" s="12"/>
    </row>
    <row r="61" spans="2:70" x14ac:dyDescent="0.2">
      <c r="B61">
        <v>1856</v>
      </c>
      <c r="C61" s="12">
        <v>1043.225830078125</v>
      </c>
      <c r="D61" s="12">
        <v>2022.00390625</v>
      </c>
      <c r="E61" s="12">
        <v>3753.95849609375</v>
      </c>
      <c r="F61" s="12">
        <v>760.33251953125</v>
      </c>
      <c r="G61" s="12">
        <v>896.314453125</v>
      </c>
      <c r="H61" s="12">
        <v>616.7581787109375</v>
      </c>
      <c r="I61" s="12">
        <v>645.18560791015625</v>
      </c>
      <c r="J61" s="12">
        <v>721.85552978515625</v>
      </c>
      <c r="K61" s="12">
        <v>704.9786376953125</v>
      </c>
      <c r="L61" s="12">
        <v>2473.430908203125</v>
      </c>
      <c r="M61" s="12">
        <v>2299.126708984375</v>
      </c>
      <c r="N61" s="12">
        <v>2142.39013671875</v>
      </c>
      <c r="O61" s="12">
        <v>2273.205810546875</v>
      </c>
      <c r="P61" s="12">
        <v>4367.4619140625</v>
      </c>
      <c r="Q61" s="12">
        <v>2143.277099609375</v>
      </c>
      <c r="R61" s="12">
        <v>3230.843994140625</v>
      </c>
      <c r="S61" s="12">
        <v>2254.716064453125</v>
      </c>
      <c r="T61" s="12">
        <v>1396.538330078125</v>
      </c>
      <c r="U61" s="12">
        <v>2276.5087890625</v>
      </c>
      <c r="V61" s="12">
        <v>911.0986328125</v>
      </c>
      <c r="W61" s="12">
        <v>4310.7421875</v>
      </c>
      <c r="X61" s="12">
        <v>1622.198974609375</v>
      </c>
      <c r="Y61" s="12">
        <v>4791.60400390625</v>
      </c>
      <c r="Z61" s="12">
        <v>2475.680419921875</v>
      </c>
      <c r="AA61" s="12">
        <v>781.4093017578125</v>
      </c>
      <c r="AB61" s="12">
        <v>1273.6083984375</v>
      </c>
      <c r="AC61" s="12">
        <v>633.63031005859375</v>
      </c>
      <c r="AD61" s="12">
        <v>1131.5595703125</v>
      </c>
      <c r="AE61" s="12">
        <v>1184.9532470703125</v>
      </c>
      <c r="AF61" s="12">
        <v>776.75482177734375</v>
      </c>
      <c r="AG61" s="12">
        <v>465.96807861328125</v>
      </c>
      <c r="AH61" s="12">
        <v>510.74606323242188</v>
      </c>
      <c r="AI61" s="12">
        <v>1195.044677734375</v>
      </c>
      <c r="AJ61" s="12">
        <v>1128.1195068359375</v>
      </c>
      <c r="AK61" s="12">
        <v>596.0152587890625</v>
      </c>
      <c r="AL61" s="12">
        <v>640.55474853515625</v>
      </c>
      <c r="AM61" s="12">
        <v>1397.280029296875</v>
      </c>
      <c r="AN61" s="12">
        <v>862.0640869140625</v>
      </c>
      <c r="AO61" s="12">
        <v>1416.1773681640625</v>
      </c>
      <c r="AP61" s="12">
        <v>938.87225341796875</v>
      </c>
      <c r="AQ61" s="12">
        <v>650.234619140625</v>
      </c>
      <c r="AR61" s="12">
        <v>529.473876953125</v>
      </c>
      <c r="AS61" s="12">
        <v>758.17108154296875</v>
      </c>
      <c r="AT61" s="12">
        <v>695.9136962890625</v>
      </c>
      <c r="AU61" s="12">
        <v>683.87408447265625</v>
      </c>
      <c r="AV61" s="12">
        <v>711.87933349609375</v>
      </c>
      <c r="AW61" s="12">
        <v>407.50631713867188</v>
      </c>
      <c r="AX61" s="12">
        <v>342.73388671875</v>
      </c>
      <c r="AY61" s="12">
        <v>1558.55078125</v>
      </c>
      <c r="AZ61" s="12">
        <v>268.353271484375</v>
      </c>
      <c r="BA61" s="12">
        <v>826.465576171875</v>
      </c>
      <c r="BB61" s="12">
        <v>671.70208740234375</v>
      </c>
      <c r="BC61" s="12">
        <v>705.923828125</v>
      </c>
      <c r="BD61" s="12">
        <v>905.05059814453125</v>
      </c>
      <c r="BE61" s="12">
        <v>564.53350830078125</v>
      </c>
      <c r="BF61" s="12">
        <v>764.74359130859375</v>
      </c>
      <c r="BG61" s="12">
        <v>1394.4783935546875</v>
      </c>
      <c r="BH61" s="12">
        <v>967.29388427734375</v>
      </c>
      <c r="BI61" s="12">
        <v>709.96807861328125</v>
      </c>
      <c r="BJ61" s="12">
        <v>541.5731201171875</v>
      </c>
      <c r="BK61" s="12">
        <v>314.80465698242188</v>
      </c>
      <c r="BL61" s="12">
        <v>762.8809814453125</v>
      </c>
      <c r="BM61" s="12">
        <v>898.09454345703125</v>
      </c>
      <c r="BN61" s="12">
        <v>805.49871826171875</v>
      </c>
      <c r="BO61" s="12">
        <v>605.47998046875</v>
      </c>
      <c r="BP61" s="12">
        <v>1336.15234375</v>
      </c>
      <c r="BQ61" s="12"/>
      <c r="BR61" s="12"/>
    </row>
    <row r="62" spans="2:70" x14ac:dyDescent="0.2">
      <c r="B62">
        <v>1857</v>
      </c>
      <c r="C62" s="12">
        <v>1048.2855224609375</v>
      </c>
      <c r="D62" s="12">
        <v>2018.346923828125</v>
      </c>
      <c r="E62" s="12">
        <v>3731.009765625</v>
      </c>
      <c r="F62" s="12">
        <v>775.21630859375</v>
      </c>
      <c r="G62" s="12">
        <v>901.803955078125</v>
      </c>
      <c r="H62" s="12">
        <v>632.96380615234375</v>
      </c>
      <c r="I62" s="12">
        <v>648.2620849609375</v>
      </c>
      <c r="J62" s="12">
        <v>725.2491455078125</v>
      </c>
      <c r="K62" s="12">
        <v>696.82269287109375</v>
      </c>
      <c r="L62" s="12">
        <v>2575.07080078125</v>
      </c>
      <c r="M62" s="12">
        <v>2306.906005859375</v>
      </c>
      <c r="N62" s="12">
        <v>2076.0234375</v>
      </c>
      <c r="O62" s="12">
        <v>2248.685546875</v>
      </c>
      <c r="P62" s="12">
        <v>4338.5068359375</v>
      </c>
      <c r="Q62" s="12">
        <v>2138.337158203125</v>
      </c>
      <c r="R62" s="12">
        <v>3227.31787109375</v>
      </c>
      <c r="S62" s="12">
        <v>2137.834716796875</v>
      </c>
      <c r="T62" s="12">
        <v>1422.5123291015625</v>
      </c>
      <c r="U62" s="12">
        <v>2272.32958984375</v>
      </c>
      <c r="V62" s="12">
        <v>908.802001953125</v>
      </c>
      <c r="W62" s="12">
        <v>4294.79541015625</v>
      </c>
      <c r="X62" s="12">
        <v>1635.87841796875</v>
      </c>
      <c r="Y62" s="12">
        <v>4217.28662109375</v>
      </c>
      <c r="Z62" s="12">
        <v>2643.262451171875</v>
      </c>
      <c r="AA62" s="12">
        <v>774.05865478515625</v>
      </c>
      <c r="AB62" s="12">
        <v>1277.297607421875</v>
      </c>
      <c r="AC62" s="12">
        <v>670.09014892578125</v>
      </c>
      <c r="AD62" s="12">
        <v>1196.160888671875</v>
      </c>
      <c r="AE62" s="12">
        <v>1211.7589111328125</v>
      </c>
      <c r="AF62" s="12">
        <v>765.8616943359375</v>
      </c>
      <c r="AG62" s="12">
        <v>472.99542236328125</v>
      </c>
      <c r="AH62" s="12">
        <v>510.98883056640625</v>
      </c>
      <c r="AI62" s="12">
        <v>1212.9962158203125</v>
      </c>
      <c r="AJ62" s="12">
        <v>1134.9144287109375</v>
      </c>
      <c r="AK62" s="12">
        <v>596.81488037109375</v>
      </c>
      <c r="AL62" s="12">
        <v>643.614501953125</v>
      </c>
      <c r="AM62" s="12">
        <v>1399.377197265625</v>
      </c>
      <c r="AN62" s="12">
        <v>868.00115966796875</v>
      </c>
      <c r="AO62" s="12">
        <v>1424.5850830078125</v>
      </c>
      <c r="AP62" s="12">
        <v>939.26922607421875</v>
      </c>
      <c r="AQ62" s="12">
        <v>650.50830078125</v>
      </c>
      <c r="AR62" s="12">
        <v>529.6966552734375</v>
      </c>
      <c r="AS62" s="12">
        <v>758.502685546875</v>
      </c>
      <c r="AT62" s="12">
        <v>696.20654296875</v>
      </c>
      <c r="AU62" s="12">
        <v>684.161865234375</v>
      </c>
      <c r="AV62" s="12">
        <v>712.17889404296875</v>
      </c>
      <c r="AW62" s="12">
        <v>407.68453979492188</v>
      </c>
      <c r="AX62" s="12">
        <v>342.8837890625</v>
      </c>
      <c r="AY62" s="12">
        <v>1846.19970703125</v>
      </c>
      <c r="AZ62" s="12">
        <v>274.99090576171875</v>
      </c>
      <c r="BA62" s="12">
        <v>830.40350341796875</v>
      </c>
      <c r="BB62" s="12">
        <v>674.902587890625</v>
      </c>
      <c r="BC62" s="12">
        <v>709.00469970703125</v>
      </c>
      <c r="BD62" s="12">
        <v>909.113525390625</v>
      </c>
      <c r="BE62" s="12">
        <v>564.418701171875</v>
      </c>
      <c r="BF62" s="12">
        <v>764.540771484375</v>
      </c>
      <c r="BG62" s="12">
        <v>1400.4486083984375</v>
      </c>
      <c r="BH62" s="12">
        <v>958.14410400390625</v>
      </c>
      <c r="BI62" s="12">
        <v>705.15380859375</v>
      </c>
      <c r="BJ62" s="12">
        <v>517.8057861328125</v>
      </c>
      <c r="BK62" s="12">
        <v>312.69668579101562</v>
      </c>
      <c r="BL62" s="12">
        <v>755.664794921875</v>
      </c>
      <c r="BM62" s="12">
        <v>902.4947509765625</v>
      </c>
      <c r="BN62" s="12">
        <v>804.98004150390625</v>
      </c>
      <c r="BO62" s="12">
        <v>604.19818115234375</v>
      </c>
      <c r="BP62" s="12">
        <v>1324.152587890625</v>
      </c>
      <c r="BQ62" s="12"/>
      <c r="BR62" s="12"/>
    </row>
    <row r="63" spans="2:70" x14ac:dyDescent="0.2">
      <c r="B63">
        <v>1858</v>
      </c>
      <c r="C63" s="12">
        <v>1037.634521484375</v>
      </c>
      <c r="D63" s="12">
        <v>1991.9862060546875</v>
      </c>
      <c r="E63" s="12">
        <v>3524.144775390625</v>
      </c>
      <c r="F63" s="12">
        <v>787.94146728515625</v>
      </c>
      <c r="G63" s="12">
        <v>907.9915771484375</v>
      </c>
      <c r="H63" s="12">
        <v>620.67633056640625</v>
      </c>
      <c r="I63" s="12">
        <v>648.8177490234375</v>
      </c>
      <c r="J63" s="12">
        <v>728.8525390625</v>
      </c>
      <c r="K63" s="12">
        <v>697.7161865234375</v>
      </c>
      <c r="L63" s="12">
        <v>2542.902099609375</v>
      </c>
      <c r="M63" s="12">
        <v>2261.747314453125</v>
      </c>
      <c r="N63" s="12">
        <v>2115.858154296875</v>
      </c>
      <c r="O63" s="12">
        <v>2148.65576171875</v>
      </c>
      <c r="P63" s="12">
        <v>4313.50634765625</v>
      </c>
      <c r="Q63" s="12">
        <v>2133.212158203125</v>
      </c>
      <c r="R63" s="12">
        <v>3133.41796875</v>
      </c>
      <c r="S63" s="12">
        <v>2261.936767578125</v>
      </c>
      <c r="T63" s="12">
        <v>1445.5843505859375</v>
      </c>
      <c r="U63" s="12">
        <v>2243.760498046875</v>
      </c>
      <c r="V63" s="12">
        <v>897.29083251953125</v>
      </c>
      <c r="W63" s="12">
        <v>4056.107666015625</v>
      </c>
      <c r="X63" s="12">
        <v>1650.196533203125</v>
      </c>
      <c r="Y63" s="12">
        <v>3595.641845703125</v>
      </c>
      <c r="Z63" s="12">
        <v>2823.7060546875</v>
      </c>
      <c r="AA63" s="12">
        <v>730.25872802734375</v>
      </c>
      <c r="AB63" s="12">
        <v>1287.5855712890625</v>
      </c>
      <c r="AC63" s="12">
        <v>715.16259765625</v>
      </c>
      <c r="AD63" s="12">
        <v>1169.9051513671875</v>
      </c>
      <c r="AE63" s="12">
        <v>1236.79833984375</v>
      </c>
      <c r="AF63" s="12">
        <v>755.6029052734375</v>
      </c>
      <c r="AG63" s="12">
        <v>482.04098510742188</v>
      </c>
      <c r="AH63" s="12">
        <v>511.39202880859375</v>
      </c>
      <c r="AI63" s="12">
        <v>1231.8726806640625</v>
      </c>
      <c r="AJ63" s="12">
        <v>1143.580078125</v>
      </c>
      <c r="AK63" s="12">
        <v>598.57305908203125</v>
      </c>
      <c r="AL63" s="12">
        <v>647.09674072265625</v>
      </c>
      <c r="AM63" s="12">
        <v>1401.916748046875</v>
      </c>
      <c r="AN63" s="12">
        <v>874.2535400390625</v>
      </c>
      <c r="AO63" s="12">
        <v>1434.170166015625</v>
      </c>
      <c r="AP63" s="12">
        <v>939.95953369140625</v>
      </c>
      <c r="AQ63" s="12">
        <v>650.98577880859375</v>
      </c>
      <c r="AR63" s="12">
        <v>530.085693359375</v>
      </c>
      <c r="AS63" s="12">
        <v>759.09686279296875</v>
      </c>
      <c r="AT63" s="12">
        <v>696.717529296875</v>
      </c>
      <c r="AU63" s="12">
        <v>684.66400146484375</v>
      </c>
      <c r="AV63" s="12">
        <v>712.70159912109375</v>
      </c>
      <c r="AW63" s="12">
        <v>408.00387573242188</v>
      </c>
      <c r="AX63" s="12">
        <v>343.15255737304688</v>
      </c>
      <c r="AY63" s="12">
        <v>1614.0931396484375</v>
      </c>
      <c r="AZ63" s="12">
        <v>270.07162475585938</v>
      </c>
      <c r="BA63" s="12">
        <v>831.1185302734375</v>
      </c>
      <c r="BB63" s="12">
        <v>675.48406982421875</v>
      </c>
      <c r="BC63" s="12">
        <v>712.43841552734375</v>
      </c>
      <c r="BD63" s="12">
        <v>913.51409912109375</v>
      </c>
      <c r="BE63" s="12">
        <v>564.48272705078125</v>
      </c>
      <c r="BF63" s="12">
        <v>764.654541015625</v>
      </c>
      <c r="BG63" s="12">
        <v>1407.22802734375</v>
      </c>
      <c r="BH63" s="12">
        <v>955.4862060546875</v>
      </c>
      <c r="BI63" s="12">
        <v>701.2652587890625</v>
      </c>
      <c r="BJ63" s="12">
        <v>552.3785400390625</v>
      </c>
      <c r="BK63" s="12">
        <v>312.69894409179688</v>
      </c>
      <c r="BL63" s="12">
        <v>753.568603515625</v>
      </c>
      <c r="BM63" s="12">
        <v>903.70257568359375</v>
      </c>
      <c r="BN63" s="12">
        <v>806.017333984375</v>
      </c>
      <c r="BO63" s="12">
        <v>603.68743896484375</v>
      </c>
      <c r="BP63" s="12">
        <v>1324.5108642578125</v>
      </c>
      <c r="BQ63" s="12"/>
      <c r="BR63" s="12"/>
    </row>
    <row r="64" spans="2:70" x14ac:dyDescent="0.2">
      <c r="B64">
        <v>1859</v>
      </c>
      <c r="C64" s="12">
        <v>1061.8289794921875</v>
      </c>
      <c r="D64" s="12">
        <v>2036.1455078125</v>
      </c>
      <c r="E64" s="12">
        <v>3703.522216796875</v>
      </c>
      <c r="F64" s="12">
        <v>785.90362548828125</v>
      </c>
      <c r="G64" s="12">
        <v>913.978759765625</v>
      </c>
      <c r="H64" s="12">
        <v>624.25341796875</v>
      </c>
      <c r="I64" s="12">
        <v>649.177978515625</v>
      </c>
      <c r="J64" s="12">
        <v>732.32464599609375</v>
      </c>
      <c r="K64" s="12">
        <v>694.536865234375</v>
      </c>
      <c r="L64" s="12">
        <v>2528.74365234375</v>
      </c>
      <c r="M64" s="12">
        <v>2381.965087890625</v>
      </c>
      <c r="N64" s="12">
        <v>2212.142333984375</v>
      </c>
      <c r="O64" s="12">
        <v>2188.415771484375</v>
      </c>
      <c r="P64" s="12">
        <v>4531.30224609375</v>
      </c>
      <c r="Q64" s="12">
        <v>2127.920654296875</v>
      </c>
      <c r="R64" s="12">
        <v>2965.53271484375</v>
      </c>
      <c r="S64" s="12">
        <v>2203.520751953125</v>
      </c>
      <c r="T64" s="12">
        <v>1491.257080078125</v>
      </c>
      <c r="U64" s="12">
        <v>2289.696533203125</v>
      </c>
      <c r="V64" s="12">
        <v>915.44305419921875</v>
      </c>
      <c r="W64" s="12">
        <v>4232.697265625</v>
      </c>
      <c r="X64" s="12">
        <v>1664.513916015625</v>
      </c>
      <c r="Y64" s="12">
        <v>4640.72998046875</v>
      </c>
      <c r="Z64" s="12">
        <v>3016.08447265625</v>
      </c>
      <c r="AA64" s="12">
        <v>768.34014892578125</v>
      </c>
      <c r="AB64" s="12">
        <v>1296.360107421875</v>
      </c>
      <c r="AC64" s="12">
        <v>707.232666015625</v>
      </c>
      <c r="AD64" s="12">
        <v>1189.8358154296875</v>
      </c>
      <c r="AE64" s="12">
        <v>1256.909912109375</v>
      </c>
      <c r="AF64" s="12">
        <v>745.36767578125</v>
      </c>
      <c r="AG64" s="12">
        <v>480.4278564453125</v>
      </c>
      <c r="AH64" s="12">
        <v>511.75729370117188</v>
      </c>
      <c r="AI64" s="12">
        <v>1250.8853759765625</v>
      </c>
      <c r="AJ64" s="12">
        <v>1151.8707275390625</v>
      </c>
      <c r="AK64" s="12">
        <v>600.1068115234375</v>
      </c>
      <c r="AL64" s="12">
        <v>650.49981689453125</v>
      </c>
      <c r="AM64" s="12">
        <v>1404.3563232421875</v>
      </c>
      <c r="AN64" s="12">
        <v>880.48541259765625</v>
      </c>
      <c r="AO64" s="12">
        <v>1443.47802734375</v>
      </c>
      <c r="AP64" s="12">
        <v>940.5784912109375</v>
      </c>
      <c r="AQ64" s="12">
        <v>651.41497802734375</v>
      </c>
      <c r="AR64" s="12">
        <v>530.43548583984375</v>
      </c>
      <c r="AS64" s="12">
        <v>759.63006591796875</v>
      </c>
      <c r="AT64" s="12">
        <v>697.177001953125</v>
      </c>
      <c r="AU64" s="12">
        <v>685.11553955078125</v>
      </c>
      <c r="AV64" s="12">
        <v>713.17156982421875</v>
      </c>
      <c r="AW64" s="12">
        <v>408.29046630859375</v>
      </c>
      <c r="AX64" s="12">
        <v>343.39373779296875</v>
      </c>
      <c r="AY64" s="12">
        <v>1667.3297119140625</v>
      </c>
      <c r="AZ64" s="12">
        <v>271.62481689453125</v>
      </c>
      <c r="BA64" s="12">
        <v>831.57830810546875</v>
      </c>
      <c r="BB64" s="12">
        <v>675.85791015625</v>
      </c>
      <c r="BC64" s="12">
        <v>715.80743408203125</v>
      </c>
      <c r="BD64" s="12">
        <v>917.86126708984375</v>
      </c>
      <c r="BE64" s="12">
        <v>564.5042724609375</v>
      </c>
      <c r="BF64" s="12">
        <v>764.695068359375</v>
      </c>
      <c r="BG64" s="12">
        <v>1413.7647705078125</v>
      </c>
      <c r="BH64" s="12">
        <v>952.471435546875</v>
      </c>
      <c r="BI64" s="12">
        <v>697.18609619140625</v>
      </c>
      <c r="BJ64" s="12">
        <v>552.71942138671875</v>
      </c>
      <c r="BK64" s="12">
        <v>312.58163452148438</v>
      </c>
      <c r="BL64" s="12">
        <v>751.19085693359375</v>
      </c>
      <c r="BM64" s="12">
        <v>904.56597900390625</v>
      </c>
      <c r="BN64" s="12">
        <v>811.177978515625</v>
      </c>
      <c r="BO64" s="12">
        <v>602.9937744140625</v>
      </c>
      <c r="BP64" s="12">
        <v>1311.2838134765625</v>
      </c>
      <c r="BQ64" s="12"/>
      <c r="BR64" s="12"/>
    </row>
    <row r="65" spans="2:70" x14ac:dyDescent="0.2">
      <c r="B65">
        <v>1860</v>
      </c>
      <c r="C65" s="12">
        <v>1081.13720703125</v>
      </c>
      <c r="D65" s="12">
        <v>2126.505615234375</v>
      </c>
      <c r="E65" s="12">
        <v>3558.287841796875</v>
      </c>
      <c r="F65" s="12">
        <v>800.2200927734375</v>
      </c>
      <c r="G65" s="12">
        <v>904.28082275390625</v>
      </c>
      <c r="H65" s="12">
        <v>625.11309814453125</v>
      </c>
      <c r="I65" s="12">
        <v>653.004638671875</v>
      </c>
      <c r="J65" s="12">
        <v>736.4344482421875</v>
      </c>
      <c r="K65" s="12">
        <v>688.9698486328125</v>
      </c>
      <c r="L65" s="12">
        <v>2648.02197265625</v>
      </c>
      <c r="M65" s="12">
        <v>2332.11376953125</v>
      </c>
      <c r="N65" s="12">
        <v>2289.60400390625</v>
      </c>
      <c r="O65" s="12">
        <v>2375.2119140625</v>
      </c>
      <c r="P65" s="12">
        <v>4713.61669921875</v>
      </c>
      <c r="Q65" s="12">
        <v>2120.0908203125</v>
      </c>
      <c r="R65" s="12">
        <v>3167.20361328125</v>
      </c>
      <c r="S65" s="12">
        <v>2285.61279296875</v>
      </c>
      <c r="T65" s="12">
        <v>1519.5379638671875</v>
      </c>
      <c r="U65" s="12">
        <v>2388.076416015625</v>
      </c>
      <c r="V65" s="12">
        <v>954.352294921875</v>
      </c>
      <c r="W65" s="12">
        <v>4053.76708984375</v>
      </c>
      <c r="X65" s="12">
        <v>1669.26806640625</v>
      </c>
      <c r="Y65" s="12">
        <v>4520.96826171875</v>
      </c>
      <c r="Z65" s="12">
        <v>3221.001708984375</v>
      </c>
      <c r="AA65" s="12">
        <v>734.19720458984375</v>
      </c>
      <c r="AB65" s="12">
        <v>1302.88671875</v>
      </c>
      <c r="AC65" s="12">
        <v>747.7850341796875</v>
      </c>
      <c r="AD65" s="12">
        <v>1278.0792236328125</v>
      </c>
      <c r="AE65" s="12">
        <v>1269.8931884765625</v>
      </c>
      <c r="AF65" s="12">
        <v>735.1109619140625</v>
      </c>
      <c r="AG65" s="12">
        <v>485.36489868164062</v>
      </c>
      <c r="AH65" s="12">
        <v>512.06768798828125</v>
      </c>
      <c r="AI65" s="12">
        <v>1269.97021484375</v>
      </c>
      <c r="AJ65" s="12">
        <v>1059.8990478515625</v>
      </c>
      <c r="AK65" s="12">
        <v>611.65289306640625</v>
      </c>
      <c r="AL65" s="12">
        <v>653.77923583984375</v>
      </c>
      <c r="AM65" s="12">
        <v>1406.6480712890625</v>
      </c>
      <c r="AN65" s="12">
        <v>886.665283203125</v>
      </c>
      <c r="AO65" s="12">
        <v>1426.625</v>
      </c>
      <c r="AP65" s="12">
        <v>941.09735107421875</v>
      </c>
      <c r="AQ65" s="12">
        <v>651.7750244140625</v>
      </c>
      <c r="AR65" s="12">
        <v>530.7281494140625</v>
      </c>
      <c r="AS65" s="12">
        <v>760.07464599609375</v>
      </c>
      <c r="AT65" s="12">
        <v>697.562255859375</v>
      </c>
      <c r="AU65" s="12">
        <v>685.494140625</v>
      </c>
      <c r="AV65" s="12">
        <v>713.56573486328125</v>
      </c>
      <c r="AW65" s="12">
        <v>408.52944946289062</v>
      </c>
      <c r="AX65" s="12">
        <v>343.59469604492188</v>
      </c>
      <c r="AY65" s="12">
        <v>1725.7069091796875</v>
      </c>
      <c r="AZ65" s="12">
        <v>270.08905029296875</v>
      </c>
      <c r="BA65" s="12">
        <v>836.46148681640625</v>
      </c>
      <c r="BB65" s="12">
        <v>679.8262939453125</v>
      </c>
      <c r="BC65" s="12">
        <v>719.074462890625</v>
      </c>
      <c r="BD65" s="12">
        <v>931.416259765625</v>
      </c>
      <c r="BE65" s="12">
        <v>564.4642333984375</v>
      </c>
      <c r="BF65" s="12">
        <v>764.6307373046875</v>
      </c>
      <c r="BG65" s="12">
        <v>1420.1573486328125</v>
      </c>
      <c r="BH65" s="12">
        <v>948.943603515625</v>
      </c>
      <c r="BI65" s="12">
        <v>688.87896728515625</v>
      </c>
      <c r="BJ65" s="12">
        <v>553.91680908203125</v>
      </c>
      <c r="BK65" s="12">
        <v>312.2928466796875</v>
      </c>
      <c r="BL65" s="12">
        <v>748.40850830078125</v>
      </c>
      <c r="BM65" s="12">
        <v>904.93194580078125</v>
      </c>
      <c r="BN65" s="12">
        <v>811.46466064453125</v>
      </c>
      <c r="BO65" s="12">
        <v>602.03802490234375</v>
      </c>
      <c r="BP65" s="12">
        <v>1304.721435546875</v>
      </c>
      <c r="BQ65" s="12"/>
      <c r="BR65" s="12"/>
    </row>
    <row r="66" spans="2:70" x14ac:dyDescent="0.2">
      <c r="B66">
        <v>1861</v>
      </c>
      <c r="C66" s="12">
        <v>1090.3536376953125</v>
      </c>
      <c r="D66" s="12">
        <v>2148.805908203125</v>
      </c>
      <c r="E66" s="12">
        <v>3536.365478515625</v>
      </c>
      <c r="F66" s="12">
        <v>794.79315185546875</v>
      </c>
      <c r="G66" s="12">
        <v>908.73956298828125</v>
      </c>
      <c r="H66" s="12">
        <v>619.61614990234375</v>
      </c>
      <c r="I66" s="12">
        <v>629.56427001953125</v>
      </c>
      <c r="J66" s="12">
        <v>740.1451416015625</v>
      </c>
      <c r="K66" s="12">
        <v>685.6900634765625</v>
      </c>
      <c r="L66" s="12">
        <v>2560.2861328125</v>
      </c>
      <c r="M66" s="12">
        <v>2332.507080078125</v>
      </c>
      <c r="N66" s="12">
        <v>2289.038330078125</v>
      </c>
      <c r="O66" s="12">
        <v>2409.68115234375</v>
      </c>
      <c r="P66" s="12">
        <v>4920.5791015625</v>
      </c>
      <c r="Q66" s="12">
        <v>2130.54443359375</v>
      </c>
      <c r="R66" s="12">
        <v>3067.5205078125</v>
      </c>
      <c r="S66" s="12">
        <v>2274.2548828125</v>
      </c>
      <c r="T66" s="12">
        <v>1455.8502197265625</v>
      </c>
      <c r="U66" s="12">
        <v>2400.389892578125</v>
      </c>
      <c r="V66" s="12">
        <v>961.7393798828125</v>
      </c>
      <c r="W66" s="12">
        <v>4025.391845703125</v>
      </c>
      <c r="X66" s="12">
        <v>1694.41162109375</v>
      </c>
      <c r="Y66" s="12">
        <v>4442.3828125</v>
      </c>
      <c r="Z66" s="12">
        <v>3330.349853515625</v>
      </c>
      <c r="AA66" s="12">
        <v>728.55377197265625</v>
      </c>
      <c r="AB66" s="12">
        <v>1307.0379638671875</v>
      </c>
      <c r="AC66" s="12">
        <v>736.1082763671875</v>
      </c>
      <c r="AD66" s="12">
        <v>1173.98046875</v>
      </c>
      <c r="AE66" s="12">
        <v>1284.3369140625</v>
      </c>
      <c r="AF66" s="12">
        <v>744.0841064453125</v>
      </c>
      <c r="AG66" s="12">
        <v>478.68380737304688</v>
      </c>
      <c r="AH66" s="12">
        <v>512.32122802734375</v>
      </c>
      <c r="AI66" s="12">
        <v>1289.12255859375</v>
      </c>
      <c r="AJ66" s="12">
        <v>1060.994873046875</v>
      </c>
      <c r="AK66" s="12">
        <v>613.0892333984375</v>
      </c>
      <c r="AL66" s="12">
        <v>656.927978515625</v>
      </c>
      <c r="AM66" s="12">
        <v>1408.786865234375</v>
      </c>
      <c r="AN66" s="12">
        <v>892.7889404296875</v>
      </c>
      <c r="AO66" s="12">
        <v>1433.7540283203125</v>
      </c>
      <c r="AP66" s="12">
        <v>941.51318359375</v>
      </c>
      <c r="AQ66" s="12">
        <v>652.061767578125</v>
      </c>
      <c r="AR66" s="12">
        <v>530.9619140625</v>
      </c>
      <c r="AS66" s="12">
        <v>760.433837890625</v>
      </c>
      <c r="AT66" s="12">
        <v>697.86920166015625</v>
      </c>
      <c r="AU66" s="12">
        <v>685.7957763671875</v>
      </c>
      <c r="AV66" s="12">
        <v>713.87969970703125</v>
      </c>
      <c r="AW66" s="12">
        <v>408.72250366210938</v>
      </c>
      <c r="AX66" s="12">
        <v>343.75692749023438</v>
      </c>
      <c r="AY66" s="12">
        <v>1623.8768310546875</v>
      </c>
      <c r="AZ66" s="12">
        <v>267.72665405273438</v>
      </c>
      <c r="BA66" s="12">
        <v>806.41656494140625</v>
      </c>
      <c r="BB66" s="12">
        <v>655.4078369140625</v>
      </c>
      <c r="BC66" s="12">
        <v>722.23419189453125</v>
      </c>
      <c r="BD66" s="12">
        <v>935.64935302734375</v>
      </c>
      <c r="BE66" s="12">
        <v>564.36065673828125</v>
      </c>
      <c r="BF66" s="12">
        <v>764.47119140625</v>
      </c>
      <c r="BG66" s="12">
        <v>1426.4512939453125</v>
      </c>
      <c r="BH66" s="12">
        <v>944.88909912109375</v>
      </c>
      <c r="BI66" s="12">
        <v>684.05157470703125</v>
      </c>
      <c r="BJ66" s="12">
        <v>555.941650390625</v>
      </c>
      <c r="BK66" s="12">
        <v>311.82574462890625</v>
      </c>
      <c r="BL66" s="12">
        <v>745.2108154296875</v>
      </c>
      <c r="BM66" s="12">
        <v>904.7811279296875</v>
      </c>
      <c r="BN66" s="12">
        <v>811.28778076171875</v>
      </c>
      <c r="BO66" s="12">
        <v>600.81005859375</v>
      </c>
      <c r="BP66" s="12">
        <v>1297.66796875</v>
      </c>
      <c r="BQ66" s="12"/>
      <c r="BR66" s="12"/>
    </row>
    <row r="67" spans="2:70" x14ac:dyDescent="0.2">
      <c r="B67">
        <v>1862</v>
      </c>
      <c r="C67" s="12">
        <v>1101.1014404296875</v>
      </c>
      <c r="D67" s="12">
        <v>2194.147216796875</v>
      </c>
      <c r="E67" s="12">
        <v>3467.185791015625</v>
      </c>
      <c r="F67" s="12">
        <v>813.39300537109375</v>
      </c>
      <c r="G67" s="12">
        <v>914.08905029296875</v>
      </c>
      <c r="H67" s="12">
        <v>596.42205810546875</v>
      </c>
      <c r="I67" s="12">
        <v>569.5167236328125</v>
      </c>
      <c r="J67" s="12">
        <v>744.08514404296875</v>
      </c>
      <c r="K67" s="12">
        <v>677.40985107421875</v>
      </c>
      <c r="L67" s="12">
        <v>2660.630126953125</v>
      </c>
      <c r="M67" s="12">
        <v>2375.13623046875</v>
      </c>
      <c r="N67" s="12">
        <v>2287.168212890625</v>
      </c>
      <c r="O67" s="12">
        <v>2462.576171875</v>
      </c>
      <c r="P67" s="12">
        <v>4979.39404296875</v>
      </c>
      <c r="Q67" s="12">
        <v>2189.725341796875</v>
      </c>
      <c r="R67" s="12">
        <v>3117.260498046875</v>
      </c>
      <c r="S67" s="12">
        <v>2439.73828125</v>
      </c>
      <c r="T67" s="12">
        <v>1406.854736328125</v>
      </c>
      <c r="U67" s="12">
        <v>2452.38623046875</v>
      </c>
      <c r="V67" s="12">
        <v>982.23858642578125</v>
      </c>
      <c r="W67" s="12">
        <v>3939.997314453125</v>
      </c>
      <c r="X67" s="12">
        <v>1720.5299072265625</v>
      </c>
      <c r="Y67" s="12">
        <v>4265.93017578125</v>
      </c>
      <c r="Z67" s="12">
        <v>3444.37890625</v>
      </c>
      <c r="AA67" s="12">
        <v>714.65423583984375</v>
      </c>
      <c r="AB67" s="12">
        <v>1314.8868408203125</v>
      </c>
      <c r="AC67" s="12">
        <v>788.50604248046875</v>
      </c>
      <c r="AD67" s="12">
        <v>1113.6068115234375</v>
      </c>
      <c r="AE67" s="12">
        <v>1295.6295166015625</v>
      </c>
      <c r="AF67" s="12">
        <v>753.427490234375</v>
      </c>
      <c r="AG67" s="12">
        <v>489.2666015625</v>
      </c>
      <c r="AH67" s="12">
        <v>512.66217041015625</v>
      </c>
      <c r="AI67" s="12">
        <v>1308.9281005859375</v>
      </c>
      <c r="AJ67" s="12">
        <v>1066.1541748046875</v>
      </c>
      <c r="AK67" s="12">
        <v>614.7401123046875</v>
      </c>
      <c r="AL67" s="12">
        <v>660.31817626953125</v>
      </c>
      <c r="AM67" s="12">
        <v>1411.1700439453125</v>
      </c>
      <c r="AN67" s="12">
        <v>899.1085205078125</v>
      </c>
      <c r="AO67" s="12">
        <v>1443.1246337890625</v>
      </c>
      <c r="AP67" s="12">
        <v>942.0885009765625</v>
      </c>
      <c r="AQ67" s="12">
        <v>652.460205078125</v>
      </c>
      <c r="AR67" s="12">
        <v>531.28656005859375</v>
      </c>
      <c r="AS67" s="12">
        <v>760.93017578125</v>
      </c>
      <c r="AT67" s="12">
        <v>698.29559326171875</v>
      </c>
      <c r="AU67" s="12">
        <v>686.21484375</v>
      </c>
      <c r="AV67" s="12">
        <v>714.31585693359375</v>
      </c>
      <c r="AW67" s="12">
        <v>408.98928833007812</v>
      </c>
      <c r="AX67" s="12">
        <v>343.98114013671875</v>
      </c>
      <c r="AY67" s="12">
        <v>1195.7640380859375</v>
      </c>
      <c r="AZ67" s="12">
        <v>257.97259521484375</v>
      </c>
      <c r="BA67" s="12">
        <v>729.49212646484375</v>
      </c>
      <c r="BB67" s="12">
        <v>592.88824462890625</v>
      </c>
      <c r="BC67" s="12">
        <v>725.59613037109375</v>
      </c>
      <c r="BD67" s="12">
        <v>940.15667724609375</v>
      </c>
      <c r="BE67" s="12">
        <v>564.3546142578125</v>
      </c>
      <c r="BF67" s="12">
        <v>764.46929931640625</v>
      </c>
      <c r="BG67" s="12">
        <v>1433.2861328125</v>
      </c>
      <c r="BH67" s="12">
        <v>935.8651123046875</v>
      </c>
      <c r="BI67" s="12">
        <v>679.6334228515625</v>
      </c>
      <c r="BJ67" s="12">
        <v>518.9803466796875</v>
      </c>
      <c r="BK67" s="12">
        <v>309.70907592773438</v>
      </c>
      <c r="BL67" s="12">
        <v>738.09375</v>
      </c>
      <c r="BM67" s="12">
        <v>905.41998291015625</v>
      </c>
      <c r="BN67" s="12">
        <v>811.81866455078125</v>
      </c>
      <c r="BO67" s="12">
        <v>600.00091552734375</v>
      </c>
      <c r="BP67" s="12">
        <v>1284.0611572265625</v>
      </c>
      <c r="BQ67" s="12"/>
      <c r="BR67" s="12"/>
    </row>
    <row r="68" spans="2:70" x14ac:dyDescent="0.2">
      <c r="B68">
        <v>1863</v>
      </c>
      <c r="C68" s="12">
        <v>1151.5186767578125</v>
      </c>
      <c r="D68" s="12">
        <v>2274.294189453125</v>
      </c>
      <c r="E68" s="12">
        <v>3803.8974609375</v>
      </c>
      <c r="F68" s="12">
        <v>827.93634033203125</v>
      </c>
      <c r="G68" s="12">
        <v>917.78582763671875</v>
      </c>
      <c r="H68" s="12">
        <v>602.25384521484375</v>
      </c>
      <c r="I68" s="12">
        <v>686.74615478515625</v>
      </c>
      <c r="J68" s="12">
        <v>747.8992919921875</v>
      </c>
      <c r="K68" s="12">
        <v>673.2547607421875</v>
      </c>
      <c r="L68" s="12">
        <v>2827.974609375</v>
      </c>
      <c r="M68" s="12">
        <v>2494.0322265625</v>
      </c>
      <c r="N68" s="12">
        <v>2315.591796875</v>
      </c>
      <c r="O68" s="12">
        <v>2558.883056640625</v>
      </c>
      <c r="P68" s="12">
        <v>5136.615234375</v>
      </c>
      <c r="Q68" s="12">
        <v>2230.26953125</v>
      </c>
      <c r="R68" s="12">
        <v>3246.2294921875</v>
      </c>
      <c r="S68" s="12">
        <v>2375.41455078125</v>
      </c>
      <c r="T68" s="12">
        <v>1465.747802734375</v>
      </c>
      <c r="U68" s="12">
        <v>2539.1845703125</v>
      </c>
      <c r="V68" s="12">
        <v>1015.9606323242188</v>
      </c>
      <c r="W68" s="12">
        <v>4350.6435546875</v>
      </c>
      <c r="X68" s="12">
        <v>1745.899658203125</v>
      </c>
      <c r="Y68" s="12">
        <v>4234.3017578125</v>
      </c>
      <c r="Z68" s="12">
        <v>3560.49951171875</v>
      </c>
      <c r="AA68" s="12">
        <v>782.51824951171875</v>
      </c>
      <c r="AB68" s="12">
        <v>1315.6611328125</v>
      </c>
      <c r="AC68" s="12">
        <v>791.551513671875</v>
      </c>
      <c r="AD68" s="12">
        <v>1167.547607421875</v>
      </c>
      <c r="AE68" s="12">
        <v>1316.674560546875</v>
      </c>
      <c r="AF68" s="12">
        <v>762.38580322265625</v>
      </c>
      <c r="AG68" s="12">
        <v>490.35317993164062</v>
      </c>
      <c r="AH68" s="12">
        <v>512.8372802734375</v>
      </c>
      <c r="AI68" s="12">
        <v>1328.368896484375</v>
      </c>
      <c r="AJ68" s="12">
        <v>1063.469970703125</v>
      </c>
      <c r="AK68" s="12">
        <v>615.9937744140625</v>
      </c>
      <c r="AL68" s="12">
        <v>663.2933349609375</v>
      </c>
      <c r="AM68" s="12">
        <v>1413.0986328125</v>
      </c>
      <c r="AN68" s="12">
        <v>905.17901611328125</v>
      </c>
      <c r="AO68" s="12">
        <v>1449.7412109375</v>
      </c>
      <c r="AP68" s="12">
        <v>942.3582763671875</v>
      </c>
      <c r="AQ68" s="12">
        <v>652.6475830078125</v>
      </c>
      <c r="AR68" s="12">
        <v>531.43890380859375</v>
      </c>
      <c r="AS68" s="12">
        <v>761.1837158203125</v>
      </c>
      <c r="AT68" s="12">
        <v>698.4962158203125</v>
      </c>
      <c r="AU68" s="12">
        <v>686.41192626953125</v>
      </c>
      <c r="AV68" s="12">
        <v>714.5211181640625</v>
      </c>
      <c r="AW68" s="12">
        <v>409.12554931640625</v>
      </c>
      <c r="AX68" s="12">
        <v>344.09561157226562</v>
      </c>
      <c r="AY68" s="12">
        <v>1279.1767578125</v>
      </c>
      <c r="AZ68" s="12">
        <v>259.63330078125</v>
      </c>
      <c r="BA68" s="12">
        <v>879.6444091796875</v>
      </c>
      <c r="BB68" s="12">
        <v>714.9227294921875</v>
      </c>
      <c r="BC68" s="12">
        <v>728.6142578125</v>
      </c>
      <c r="BD68" s="12">
        <v>944.3016357421875</v>
      </c>
      <c r="BE68" s="12">
        <v>564.16351318359375</v>
      </c>
      <c r="BF68" s="12">
        <v>764.20611572265625</v>
      </c>
      <c r="BG68" s="12">
        <v>1439.349853515625</v>
      </c>
      <c r="BH68" s="12">
        <v>930.6876220703125</v>
      </c>
      <c r="BI68" s="12">
        <v>674.1217041015625</v>
      </c>
      <c r="BJ68" s="12">
        <v>519.06201171875</v>
      </c>
      <c r="BK68" s="12">
        <v>308.85501098632812</v>
      </c>
      <c r="BL68" s="12">
        <v>734.01055908203125</v>
      </c>
      <c r="BM68" s="12">
        <v>910.559814453125</v>
      </c>
      <c r="BN68" s="12">
        <v>816.3853759765625</v>
      </c>
      <c r="BO68" s="12">
        <v>598.40191650390625</v>
      </c>
      <c r="BP68" s="12">
        <v>1275.103515625</v>
      </c>
      <c r="BQ68" s="12"/>
      <c r="BR68" s="12"/>
    </row>
    <row r="69" spans="2:70" x14ac:dyDescent="0.2">
      <c r="B69">
        <v>1864</v>
      </c>
      <c r="C69" s="12">
        <v>1170.7889404296875</v>
      </c>
      <c r="D69" s="12">
        <v>2309.005615234375</v>
      </c>
      <c r="E69" s="12">
        <v>3910.49755859375</v>
      </c>
      <c r="F69" s="12">
        <v>769.60552978515625</v>
      </c>
      <c r="G69" s="12">
        <v>920.68487548828125</v>
      </c>
      <c r="H69" s="12">
        <v>632.95941162109375</v>
      </c>
      <c r="I69" s="12">
        <v>563.6688232421875</v>
      </c>
      <c r="J69" s="12">
        <v>751.88824462890625</v>
      </c>
      <c r="K69" s="12">
        <v>667.5933837890625</v>
      </c>
      <c r="L69" s="12">
        <v>2876.26611328125</v>
      </c>
      <c r="M69" s="12">
        <v>2445.119384765625</v>
      </c>
      <c r="N69" s="12">
        <v>2293.180908203125</v>
      </c>
      <c r="O69" s="12">
        <v>2638.8115234375</v>
      </c>
      <c r="P69" s="12">
        <v>5231.4453125</v>
      </c>
      <c r="Q69" s="12">
        <v>2184.764892578125</v>
      </c>
      <c r="R69" s="12">
        <v>3326.056640625</v>
      </c>
      <c r="S69" s="12">
        <v>2404.391357421875</v>
      </c>
      <c r="T69" s="12">
        <v>1488.39990234375</v>
      </c>
      <c r="U69" s="12">
        <v>2575.290283203125</v>
      </c>
      <c r="V69" s="12">
        <v>1028.998779296875</v>
      </c>
      <c r="W69" s="12">
        <v>4470.21875</v>
      </c>
      <c r="X69" s="12">
        <v>1771.0797119140625</v>
      </c>
      <c r="Y69" s="12">
        <v>4468.2568359375</v>
      </c>
      <c r="Z69" s="12">
        <v>3679.69287109375</v>
      </c>
      <c r="AA69" s="12">
        <v>804.70672607421875</v>
      </c>
      <c r="AB69" s="12">
        <v>1312.9119873046875</v>
      </c>
      <c r="AC69" s="12">
        <v>584.65380859375</v>
      </c>
      <c r="AD69" s="12">
        <v>1175.2838134765625</v>
      </c>
      <c r="AE69" s="12">
        <v>1332.7191162109375</v>
      </c>
      <c r="AF69" s="12">
        <v>771.20489501953125</v>
      </c>
      <c r="AG69" s="12">
        <v>443.57806396484375</v>
      </c>
      <c r="AH69" s="12">
        <v>512.9322509765625</v>
      </c>
      <c r="AI69" s="12">
        <v>1347.7930908203125</v>
      </c>
      <c r="AJ69" s="12">
        <v>1056.8736572265625</v>
      </c>
      <c r="AK69" s="12">
        <v>617.055419921875</v>
      </c>
      <c r="AL69" s="12">
        <v>666.0718994140625</v>
      </c>
      <c r="AM69" s="12">
        <v>1414.80859375</v>
      </c>
      <c r="AN69" s="12">
        <v>911.14886474609375</v>
      </c>
      <c r="AO69" s="12">
        <v>1454.9937744140625</v>
      </c>
      <c r="AP69" s="12">
        <v>942.479736328125</v>
      </c>
      <c r="AQ69" s="12">
        <v>652.7330322265625</v>
      </c>
      <c r="AR69" s="12">
        <v>531.50823974609375</v>
      </c>
      <c r="AS69" s="12">
        <v>761.34173583984375</v>
      </c>
      <c r="AT69" s="12">
        <v>698.587646484375</v>
      </c>
      <c r="AU69" s="12">
        <v>686.50177001953125</v>
      </c>
      <c r="AV69" s="12">
        <v>714.61456298828125</v>
      </c>
      <c r="AW69" s="12">
        <v>409.21051025390625</v>
      </c>
      <c r="AX69" s="12">
        <v>344.16720581054688</v>
      </c>
      <c r="AY69" s="12">
        <v>1783.1107177734375</v>
      </c>
      <c r="AZ69" s="12">
        <v>270.98873901367188</v>
      </c>
      <c r="BA69" s="12">
        <v>721.990478515625</v>
      </c>
      <c r="BB69" s="12">
        <v>586.79095458984375</v>
      </c>
      <c r="BC69" s="12">
        <v>731.4708251953125</v>
      </c>
      <c r="BD69" s="12">
        <v>948.4061279296875</v>
      </c>
      <c r="BE69" s="12">
        <v>563.88330078125</v>
      </c>
      <c r="BF69" s="12">
        <v>769.100830078125</v>
      </c>
      <c r="BG69" s="12">
        <v>1445.192138671875</v>
      </c>
      <c r="BH69" s="12">
        <v>924.63470458984375</v>
      </c>
      <c r="BI69" s="12">
        <v>668.11480712890625</v>
      </c>
      <c r="BJ69" s="12">
        <v>510.43109130859375</v>
      </c>
      <c r="BK69" s="12">
        <v>307.70230102539062</v>
      </c>
      <c r="BL69" s="12">
        <v>729.23675537109375</v>
      </c>
      <c r="BM69" s="12">
        <v>909.5323486328125</v>
      </c>
      <c r="BN69" s="12">
        <v>815.42266845703125</v>
      </c>
      <c r="BO69" s="12">
        <v>600.735595703125</v>
      </c>
      <c r="BP69" s="12">
        <v>1263.4932861328125</v>
      </c>
      <c r="BQ69" s="12"/>
      <c r="BR69" s="12"/>
    </row>
    <row r="70" spans="2:70" x14ac:dyDescent="0.2">
      <c r="B70">
        <v>1865</v>
      </c>
      <c r="C70" s="12">
        <v>1178.410888671875</v>
      </c>
      <c r="D70" s="12">
        <v>2308.91650390625</v>
      </c>
      <c r="E70" s="12">
        <v>3862.909912109375</v>
      </c>
      <c r="F70" s="12">
        <v>857.45098876953125</v>
      </c>
      <c r="G70" s="12">
        <v>927.8282470703125</v>
      </c>
      <c r="H70" s="12">
        <v>605.4395751953125</v>
      </c>
      <c r="I70" s="12">
        <v>509.38275146484375</v>
      </c>
      <c r="J70" s="12">
        <v>757.236572265625</v>
      </c>
      <c r="K70" s="12">
        <v>667.1405029296875</v>
      </c>
      <c r="L70" s="12">
        <v>2860.83056640625</v>
      </c>
      <c r="M70" s="12">
        <v>2501.88525390625</v>
      </c>
      <c r="N70" s="12">
        <v>2194.560791015625</v>
      </c>
      <c r="O70" s="12">
        <v>2584.331298828125</v>
      </c>
      <c r="P70" s="12">
        <v>5260.73291015625</v>
      </c>
      <c r="Q70" s="12">
        <v>2302.155029296875</v>
      </c>
      <c r="R70" s="12">
        <v>3340.438720703125</v>
      </c>
      <c r="S70" s="12">
        <v>2499.9755859375</v>
      </c>
      <c r="T70" s="12">
        <v>1514.2054443359375</v>
      </c>
      <c r="U70" s="12">
        <v>2573.731201171875</v>
      </c>
      <c r="V70" s="12">
        <v>1028.7681884765625</v>
      </c>
      <c r="W70" s="12">
        <v>4403.28857421875</v>
      </c>
      <c r="X70" s="12">
        <v>1799.612548828125</v>
      </c>
      <c r="Y70" s="12">
        <v>4269.87158203125</v>
      </c>
      <c r="Z70" s="12">
        <v>3807.730224609375</v>
      </c>
      <c r="AA70" s="12">
        <v>794.341064453125</v>
      </c>
      <c r="AB70" s="12">
        <v>1328.256103515625</v>
      </c>
      <c r="AC70" s="12">
        <v>827.25372314453125</v>
      </c>
      <c r="AD70" s="12">
        <v>1250.4307861328125</v>
      </c>
      <c r="AE70" s="12">
        <v>1332.402099609375</v>
      </c>
      <c r="AF70" s="12">
        <v>781.42486572265625</v>
      </c>
      <c r="AG70" s="12">
        <v>503.11383056640625</v>
      </c>
      <c r="AH70" s="12">
        <v>513.44659423828125</v>
      </c>
      <c r="AI70" s="12">
        <v>1369.228271484375</v>
      </c>
      <c r="AJ70" s="12">
        <v>1070.2236328125</v>
      </c>
      <c r="AK70" s="12">
        <v>619.1365966796875</v>
      </c>
      <c r="AL70" s="12">
        <v>669.96337890625</v>
      </c>
      <c r="AM70" s="12">
        <v>1417.678955078125</v>
      </c>
      <c r="AN70" s="12">
        <v>917.9083251953125</v>
      </c>
      <c r="AO70" s="12">
        <v>1467.52490234375</v>
      </c>
      <c r="AP70" s="12">
        <v>943.37420654296875</v>
      </c>
      <c r="AQ70" s="12">
        <v>653.3519287109375</v>
      </c>
      <c r="AR70" s="12">
        <v>532.01214599609375</v>
      </c>
      <c r="AS70" s="12">
        <v>762.07763671875</v>
      </c>
      <c r="AT70" s="12">
        <v>699.2498779296875</v>
      </c>
      <c r="AU70" s="12">
        <v>687.15252685546875</v>
      </c>
      <c r="AV70" s="12">
        <v>715.2921142578125</v>
      </c>
      <c r="AW70" s="12">
        <v>409.60601806640625</v>
      </c>
      <c r="AX70" s="12">
        <v>344.50015258789062</v>
      </c>
      <c r="AY70" s="12">
        <v>1311.9801025390625</v>
      </c>
      <c r="AZ70" s="12">
        <v>260.62368774414062</v>
      </c>
      <c r="BA70" s="12">
        <v>652.45867919921875</v>
      </c>
      <c r="BB70" s="12">
        <v>530.27960205078125</v>
      </c>
      <c r="BC70" s="12">
        <v>735.251953125</v>
      </c>
      <c r="BD70" s="12">
        <v>953.30108642578125</v>
      </c>
      <c r="BE70" s="12">
        <v>564.0689697265625</v>
      </c>
      <c r="BF70" s="12">
        <v>769.417236328125</v>
      </c>
      <c r="BG70" s="12">
        <v>1453.834716796875</v>
      </c>
      <c r="BH70" s="12">
        <v>923.2952880859375</v>
      </c>
      <c r="BI70" s="12">
        <v>664.9482421875</v>
      </c>
      <c r="BJ70" s="12">
        <v>524.7412109375</v>
      </c>
      <c r="BK70" s="12">
        <v>308.1136474609375</v>
      </c>
      <c r="BL70" s="12">
        <v>728.18035888671875</v>
      </c>
      <c r="BM70" s="12">
        <v>905.159912109375</v>
      </c>
      <c r="BN70" s="12">
        <v>822.90472412109375</v>
      </c>
      <c r="BO70" s="12">
        <v>600.61700439453125</v>
      </c>
      <c r="BP70" s="12">
        <v>1262.1119384765625</v>
      </c>
      <c r="BQ70" s="12"/>
      <c r="BR70" s="12"/>
    </row>
    <row r="71" spans="2:70" x14ac:dyDescent="0.2">
      <c r="B71">
        <v>1866</v>
      </c>
      <c r="C71" s="12">
        <v>1193.6988525390625</v>
      </c>
      <c r="D71" s="12">
        <v>2301.518798828125</v>
      </c>
      <c r="E71" s="12">
        <v>3902.979736328125</v>
      </c>
      <c r="F71" s="12">
        <v>864.78997802734375</v>
      </c>
      <c r="G71" s="12">
        <v>935.54833984375</v>
      </c>
      <c r="H71" s="12">
        <v>608.89410400390625</v>
      </c>
      <c r="I71" s="12">
        <v>620.30926513671875</v>
      </c>
      <c r="J71" s="12">
        <v>762.44903564453125</v>
      </c>
      <c r="K71" s="12">
        <v>665.634033203125</v>
      </c>
      <c r="L71" s="12">
        <v>2863.143798828125</v>
      </c>
      <c r="M71" s="12">
        <v>2480.3642578125</v>
      </c>
      <c r="N71" s="12">
        <v>2328.334228515625</v>
      </c>
      <c r="O71" s="12">
        <v>2645.244384765625</v>
      </c>
      <c r="P71" s="12">
        <v>5217.056640625</v>
      </c>
      <c r="Q71" s="12">
        <v>2135.986328125</v>
      </c>
      <c r="R71" s="12">
        <v>3468.345458984375</v>
      </c>
      <c r="S71" s="12">
        <v>2382.700927734375</v>
      </c>
      <c r="T71" s="12">
        <v>1481.0714111328125</v>
      </c>
      <c r="U71" s="12">
        <v>2567.759765625</v>
      </c>
      <c r="V71" s="12">
        <v>1026.34033203125</v>
      </c>
      <c r="W71" s="12">
        <v>4435.12744140625</v>
      </c>
      <c r="X71" s="12">
        <v>1827.876708984375</v>
      </c>
      <c r="Y71" s="12">
        <v>4395.685546875</v>
      </c>
      <c r="Z71" s="12">
        <v>3939.008056640625</v>
      </c>
      <c r="AA71" s="12">
        <v>801.888671875</v>
      </c>
      <c r="AB71" s="12">
        <v>1339.3607177734375</v>
      </c>
      <c r="AC71" s="12">
        <v>830.8709716796875</v>
      </c>
      <c r="AD71" s="12">
        <v>1287.25390625</v>
      </c>
      <c r="AE71" s="12">
        <v>1325.23779296875</v>
      </c>
      <c r="AF71" s="12">
        <v>791.464111328125</v>
      </c>
      <c r="AG71" s="12">
        <v>508.49603271484375</v>
      </c>
      <c r="AH71" s="12">
        <v>513.86083984375</v>
      </c>
      <c r="AI71" s="12">
        <v>1390.5802001953125</v>
      </c>
      <c r="AJ71" s="12">
        <v>1078.861572265625</v>
      </c>
      <c r="AK71" s="12">
        <v>620.97998046875</v>
      </c>
      <c r="AL71" s="12">
        <v>673.612060546875</v>
      </c>
      <c r="AM71" s="12">
        <v>1420.27685546875</v>
      </c>
      <c r="AN71" s="12">
        <v>924.5362548828125</v>
      </c>
      <c r="AO71" s="12">
        <v>1478.6685791015625</v>
      </c>
      <c r="AP71" s="12">
        <v>944.0838623046875</v>
      </c>
      <c r="AQ71" s="12">
        <v>653.8433837890625</v>
      </c>
      <c r="AR71" s="12">
        <v>532.412353515625</v>
      </c>
      <c r="AS71" s="12">
        <v>762.678466796875</v>
      </c>
      <c r="AT71" s="12">
        <v>699.77593994140625</v>
      </c>
      <c r="AU71" s="12">
        <v>687.66949462890625</v>
      </c>
      <c r="AV71" s="12">
        <v>715.83013916015625</v>
      </c>
      <c r="AW71" s="12">
        <v>409.928955078125</v>
      </c>
      <c r="AX71" s="12">
        <v>344.77178955078125</v>
      </c>
      <c r="AY71" s="12">
        <v>1365.28466796875</v>
      </c>
      <c r="AZ71" s="12">
        <v>262.34771728515625</v>
      </c>
      <c r="BA71" s="12">
        <v>794.5760498046875</v>
      </c>
      <c r="BB71" s="12">
        <v>645.78411865234375</v>
      </c>
      <c r="BC71" s="12">
        <v>738.8326416015625</v>
      </c>
      <c r="BD71" s="12">
        <v>958.051025390625</v>
      </c>
      <c r="BE71" s="12">
        <v>564.14312744140625</v>
      </c>
      <c r="BF71" s="12">
        <v>769.5970458984375</v>
      </c>
      <c r="BG71" s="12">
        <v>1461.9554443359375</v>
      </c>
      <c r="BH71" s="12">
        <v>920.83648681640625</v>
      </c>
      <c r="BI71" s="12">
        <v>661.13079833984375</v>
      </c>
      <c r="BJ71" s="12">
        <v>535.53631591796875</v>
      </c>
      <c r="BK71" s="12">
        <v>308.15029907226562</v>
      </c>
      <c r="BL71" s="12">
        <v>726.24114990234375</v>
      </c>
      <c r="BM71" s="12">
        <v>900.08026123046875</v>
      </c>
      <c r="BN71" s="12">
        <v>818.2921142578125</v>
      </c>
      <c r="BO71" s="12">
        <v>600.140869140625</v>
      </c>
      <c r="BP71" s="12">
        <v>1258.738525390625</v>
      </c>
      <c r="BQ71" s="12"/>
      <c r="BR71" s="12"/>
    </row>
    <row r="72" spans="2:70" x14ac:dyDescent="0.2">
      <c r="B72">
        <v>1867</v>
      </c>
      <c r="C72" s="12">
        <v>1182.236572265625</v>
      </c>
      <c r="D72" s="12">
        <v>2251.99755859375</v>
      </c>
      <c r="E72" s="12">
        <v>3853.25341796875</v>
      </c>
      <c r="F72" s="12">
        <v>860.3045654296875</v>
      </c>
      <c r="G72" s="12">
        <v>942.41827392578125</v>
      </c>
      <c r="H72" s="12">
        <v>624.6962890625</v>
      </c>
      <c r="I72" s="12">
        <v>527.01324462890625</v>
      </c>
      <c r="J72" s="12">
        <v>766.86865234375</v>
      </c>
      <c r="K72" s="12">
        <v>666.3111572265625</v>
      </c>
      <c r="L72" s="12">
        <v>2855.55419921875</v>
      </c>
      <c r="M72" s="12">
        <v>2455.67822265625</v>
      </c>
      <c r="N72" s="12">
        <v>2290.751708984375</v>
      </c>
      <c r="O72" s="12">
        <v>2589.740966796875</v>
      </c>
      <c r="P72" s="12">
        <v>5008.11572265625</v>
      </c>
      <c r="Q72" s="12">
        <v>2153.5361328125</v>
      </c>
      <c r="R72" s="12">
        <v>3242.828369140625</v>
      </c>
      <c r="S72" s="12">
        <v>2398.1865234375</v>
      </c>
      <c r="T72" s="12">
        <v>1505.4656982421875</v>
      </c>
      <c r="U72" s="12">
        <v>2517.27783203125</v>
      </c>
      <c r="V72" s="12">
        <v>1006.2916870117188</v>
      </c>
      <c r="W72" s="12">
        <v>4346.423828125</v>
      </c>
      <c r="X72" s="12">
        <v>1856.885009765625</v>
      </c>
      <c r="Y72" s="12">
        <v>4810.95654296875</v>
      </c>
      <c r="Z72" s="12">
        <v>4075.282470703125</v>
      </c>
      <c r="AA72" s="12">
        <v>791.86566162109375</v>
      </c>
      <c r="AB72" s="12">
        <v>1352.3564453125</v>
      </c>
      <c r="AC72" s="12">
        <v>796.17327880859375</v>
      </c>
      <c r="AD72" s="12">
        <v>1301.404296875</v>
      </c>
      <c r="AE72" s="12">
        <v>1324.661865234375</v>
      </c>
      <c r="AF72" s="12">
        <v>801.76190185546875</v>
      </c>
      <c r="AG72" s="12">
        <v>506.48977661132812</v>
      </c>
      <c r="AH72" s="12">
        <v>514.31610107421875</v>
      </c>
      <c r="AI72" s="12">
        <v>1412.4263916015625</v>
      </c>
      <c r="AJ72" s="12">
        <v>1089.5533447265625</v>
      </c>
      <c r="AK72" s="12">
        <v>622.92840576171875</v>
      </c>
      <c r="AL72" s="12">
        <v>677.3887939453125</v>
      </c>
      <c r="AM72" s="12">
        <v>1422.9927978515625</v>
      </c>
      <c r="AN72" s="12">
        <v>931.2850341796875</v>
      </c>
      <c r="AO72" s="12">
        <v>1491.252685546875</v>
      </c>
      <c r="AP72" s="12">
        <v>944.86810302734375</v>
      </c>
      <c r="AQ72" s="12">
        <v>654.38720703125</v>
      </c>
      <c r="AR72" s="12">
        <v>532.85516357421875</v>
      </c>
      <c r="AS72" s="12">
        <v>763.33929443359375</v>
      </c>
      <c r="AT72" s="12">
        <v>700.35797119140625</v>
      </c>
      <c r="AU72" s="12">
        <v>688.241455078125</v>
      </c>
      <c r="AV72" s="12">
        <v>716.425537109375</v>
      </c>
      <c r="AW72" s="12">
        <v>410.28411865234375</v>
      </c>
      <c r="AX72" s="12">
        <v>345.07022094726562</v>
      </c>
      <c r="AY72" s="12">
        <v>1615.8572998046875</v>
      </c>
      <c r="AZ72" s="12">
        <v>268.9783935546875</v>
      </c>
      <c r="BA72" s="12">
        <v>675.1019287109375</v>
      </c>
      <c r="BB72" s="12">
        <v>548.6826171875</v>
      </c>
      <c r="BC72" s="12">
        <v>742.5205078125</v>
      </c>
      <c r="BD72" s="12">
        <v>962.91790771484375</v>
      </c>
      <c r="BE72" s="12">
        <v>564.2625732421875</v>
      </c>
      <c r="BF72" s="12">
        <v>769.8515625</v>
      </c>
      <c r="BG72" s="12">
        <v>1469.650146484375</v>
      </c>
      <c r="BH72" s="12">
        <v>925.24566650390625</v>
      </c>
      <c r="BI72" s="12">
        <v>657.603515625</v>
      </c>
      <c r="BJ72" s="12">
        <v>553.39862060546875</v>
      </c>
      <c r="BK72" s="12">
        <v>310.48947143554688</v>
      </c>
      <c r="BL72" s="12">
        <v>729.71856689453125</v>
      </c>
      <c r="BM72" s="12">
        <v>901.8297119140625</v>
      </c>
      <c r="BN72" s="12">
        <v>819.6685791015625</v>
      </c>
      <c r="BO72" s="12">
        <v>599.81005859375</v>
      </c>
      <c r="BP72" s="12">
        <v>1257.3668212890625</v>
      </c>
      <c r="BQ72" s="12"/>
      <c r="BR72" s="12"/>
    </row>
    <row r="73" spans="2:70" x14ac:dyDescent="0.2">
      <c r="B73">
        <v>1868</v>
      </c>
      <c r="C73" s="12">
        <v>1173.9473876953125</v>
      </c>
      <c r="D73" s="12">
        <v>2264.44189453125</v>
      </c>
      <c r="E73" s="12">
        <v>3541.17919921875</v>
      </c>
      <c r="F73" s="12">
        <v>908.12762451171875</v>
      </c>
      <c r="G73" s="12">
        <v>948.50115966796875</v>
      </c>
      <c r="H73" s="12">
        <v>626.57818603515625</v>
      </c>
      <c r="I73" s="12">
        <v>536.92822265625</v>
      </c>
      <c r="J73" s="12">
        <v>770.5640869140625</v>
      </c>
      <c r="K73" s="12">
        <v>661.13629150390625</v>
      </c>
      <c r="L73" s="12">
        <v>3008.773681640625</v>
      </c>
      <c r="M73" s="12">
        <v>2473.296142578125</v>
      </c>
      <c r="N73" s="12">
        <v>1995.1014404296875</v>
      </c>
      <c r="O73" s="12">
        <v>2747.98193359375</v>
      </c>
      <c r="P73" s="12">
        <v>4891.09716796875</v>
      </c>
      <c r="Q73" s="12">
        <v>2166.00390625</v>
      </c>
      <c r="R73" s="12">
        <v>3303.398193359375</v>
      </c>
      <c r="S73" s="12">
        <v>2379.469970703125</v>
      </c>
      <c r="T73" s="12">
        <v>1368.8994140625</v>
      </c>
      <c r="U73" s="12">
        <v>2528.334716796875</v>
      </c>
      <c r="V73" s="12">
        <v>1010.4811401367188</v>
      </c>
      <c r="W73" s="12">
        <v>3951.854736328125</v>
      </c>
      <c r="X73" s="12">
        <v>1885.70947265625</v>
      </c>
      <c r="Y73" s="12">
        <v>4880.88916015625</v>
      </c>
      <c r="Z73" s="12">
        <v>4215.1943359375</v>
      </c>
      <c r="AA73" s="12">
        <v>728.84124755859375</v>
      </c>
      <c r="AB73" s="12">
        <v>1361.6431884765625</v>
      </c>
      <c r="AC73" s="12">
        <v>924.57568359375</v>
      </c>
      <c r="AD73" s="12">
        <v>1315.4383544921875</v>
      </c>
      <c r="AE73" s="12">
        <v>1320.6160888671875</v>
      </c>
      <c r="AF73" s="12">
        <v>811.9169921875</v>
      </c>
      <c r="AG73" s="12">
        <v>535.966552734375</v>
      </c>
      <c r="AH73" s="12">
        <v>514.6856689453125</v>
      </c>
      <c r="AI73" s="12">
        <v>1434.25341796875</v>
      </c>
      <c r="AJ73" s="12">
        <v>1096.1192626953125</v>
      </c>
      <c r="AK73" s="12">
        <v>624.67169189453125</v>
      </c>
      <c r="AL73" s="12">
        <v>680.95672607421875</v>
      </c>
      <c r="AM73" s="12">
        <v>1425.47412109375</v>
      </c>
      <c r="AN73" s="12">
        <v>937.92724609375</v>
      </c>
      <c r="AO73" s="12">
        <v>1502.5325927734375</v>
      </c>
      <c r="AP73" s="12">
        <v>945.49603271484375</v>
      </c>
      <c r="AQ73" s="12">
        <v>654.8214111328125</v>
      </c>
      <c r="AR73" s="12">
        <v>533.20880126953125</v>
      </c>
      <c r="AS73" s="12">
        <v>763.877685546875</v>
      </c>
      <c r="AT73" s="12">
        <v>700.82269287109375</v>
      </c>
      <c r="AU73" s="12">
        <v>688.69818115234375</v>
      </c>
      <c r="AV73" s="12">
        <v>716.90093994140625</v>
      </c>
      <c r="AW73" s="12">
        <v>410.57354736328125</v>
      </c>
      <c r="AX73" s="12">
        <v>345.31390380859375</v>
      </c>
      <c r="AY73" s="12">
        <v>1633.0614013671875</v>
      </c>
      <c r="AZ73" s="12">
        <v>269.75021362304688</v>
      </c>
      <c r="BA73" s="12">
        <v>688.62078857421875</v>
      </c>
      <c r="BB73" s="12">
        <v>559.6700439453125</v>
      </c>
      <c r="BC73" s="12">
        <v>746.03607177734375</v>
      </c>
      <c r="BD73" s="12">
        <v>967.6275634765625</v>
      </c>
      <c r="BE73" s="12">
        <v>564.2862548828125</v>
      </c>
      <c r="BF73" s="12">
        <v>769.9608154296875</v>
      </c>
      <c r="BG73" s="12">
        <v>1476.4931640625</v>
      </c>
      <c r="BH73" s="12">
        <v>922.34332275390625</v>
      </c>
      <c r="BI73" s="12">
        <v>653.53094482421875</v>
      </c>
      <c r="BJ73" s="12">
        <v>535.66790771484375</v>
      </c>
      <c r="BK73" s="12">
        <v>310.37887573242188</v>
      </c>
      <c r="BL73" s="12">
        <v>727.4295654296875</v>
      </c>
      <c r="BM73" s="12">
        <v>909.00390625</v>
      </c>
      <c r="BN73" s="12">
        <v>814.78173828125</v>
      </c>
      <c r="BO73" s="12">
        <v>599.17340087890625</v>
      </c>
      <c r="BP73" s="12">
        <v>1247.8719482421875</v>
      </c>
      <c r="BQ73" s="12"/>
      <c r="BR73" s="12"/>
    </row>
    <row r="74" spans="2:70" x14ac:dyDescent="0.2">
      <c r="B74">
        <v>1869</v>
      </c>
      <c r="C74" s="12">
        <v>1187.7288818359375</v>
      </c>
      <c r="D74" s="12">
        <v>2275.31396484375</v>
      </c>
      <c r="E74" s="12">
        <v>3629.261474609375</v>
      </c>
      <c r="F74" s="12">
        <v>920.0828857421875</v>
      </c>
      <c r="G74" s="12">
        <v>955.48724365234375</v>
      </c>
      <c r="H74" s="12">
        <v>626.12353515625</v>
      </c>
      <c r="I74" s="12">
        <v>536.59521484375</v>
      </c>
      <c r="J74" s="12">
        <v>774.376220703125</v>
      </c>
      <c r="K74" s="12">
        <v>655.48333740234375</v>
      </c>
      <c r="L74" s="12">
        <v>3008.27490234375</v>
      </c>
      <c r="M74" s="12">
        <v>2589.242919921875</v>
      </c>
      <c r="N74" s="12">
        <v>2066.56494140625</v>
      </c>
      <c r="O74" s="12">
        <v>2613.654052734375</v>
      </c>
      <c r="P74" s="12">
        <v>5007.62841796875</v>
      </c>
      <c r="Q74" s="12">
        <v>2225.63330078125</v>
      </c>
      <c r="R74" s="12">
        <v>3420.98779296875</v>
      </c>
      <c r="S74" s="12">
        <v>2507.071533203125</v>
      </c>
      <c r="T74" s="12">
        <v>1470.7630615234375</v>
      </c>
      <c r="U74" s="12">
        <v>2538.718994140625</v>
      </c>
      <c r="V74" s="12">
        <v>1014.7131958007812</v>
      </c>
      <c r="W74" s="12">
        <v>4052.915771484375</v>
      </c>
      <c r="X74" s="12">
        <v>1915.5518798828125</v>
      </c>
      <c r="Y74" s="12">
        <v>4787.98095703125</v>
      </c>
      <c r="Z74" s="12">
        <v>4360.8466796875</v>
      </c>
      <c r="AA74" s="12">
        <v>745.4996337890625</v>
      </c>
      <c r="AB74" s="12">
        <v>1374.363525390625</v>
      </c>
      <c r="AC74" s="12">
        <v>921.37127685546875</v>
      </c>
      <c r="AD74" s="12">
        <v>1415.819580078125</v>
      </c>
      <c r="AE74" s="12">
        <v>1327.6610107421875</v>
      </c>
      <c r="AF74" s="12">
        <v>822.44537353515625</v>
      </c>
      <c r="AG74" s="12">
        <v>544.386962890625</v>
      </c>
      <c r="AH74" s="12">
        <v>515.13079833984375</v>
      </c>
      <c r="AI74" s="12">
        <v>1456.7271728515625</v>
      </c>
      <c r="AJ74" s="12">
        <v>1106.43994140625</v>
      </c>
      <c r="AK74" s="12">
        <v>626.60443115234375</v>
      </c>
      <c r="AL74" s="12">
        <v>684.745361328125</v>
      </c>
      <c r="AM74" s="12">
        <v>1428.169677734375</v>
      </c>
      <c r="AN74" s="12">
        <v>944.7537841796875</v>
      </c>
      <c r="AO74" s="12">
        <v>1515.3734130859375</v>
      </c>
      <c r="AP74" s="12">
        <v>946.26153564453125</v>
      </c>
      <c r="AQ74" s="12">
        <v>655.35162353515625</v>
      </c>
      <c r="AR74" s="12">
        <v>533.6409912109375</v>
      </c>
      <c r="AS74" s="12">
        <v>764.527099609375</v>
      </c>
      <c r="AT74" s="12">
        <v>701.39013671875</v>
      </c>
      <c r="AU74" s="12">
        <v>689.2557373046875</v>
      </c>
      <c r="AV74" s="12">
        <v>717.48138427734375</v>
      </c>
      <c r="AW74" s="12">
        <v>410.92257690429688</v>
      </c>
      <c r="AX74" s="12">
        <v>345.60714721679688</v>
      </c>
      <c r="AY74" s="12">
        <v>1613.2061767578125</v>
      </c>
      <c r="AZ74" s="12">
        <v>269.86138916015625</v>
      </c>
      <c r="BA74" s="12">
        <v>688.53466796875</v>
      </c>
      <c r="BB74" s="12">
        <v>559.60040283203125</v>
      </c>
      <c r="BC74" s="12">
        <v>749.7357177734375</v>
      </c>
      <c r="BD74" s="12">
        <v>972.536376953125</v>
      </c>
      <c r="BE74" s="12">
        <v>564.39361572265625</v>
      </c>
      <c r="BF74" s="12">
        <v>770.20977783203125</v>
      </c>
      <c r="BG74" s="12">
        <v>1483.7952880859375</v>
      </c>
      <c r="BH74" s="12">
        <v>913.77789306640625</v>
      </c>
      <c r="BI74" s="12">
        <v>649.97320556640625</v>
      </c>
      <c r="BJ74" s="12">
        <v>512.40478515625</v>
      </c>
      <c r="BK74" s="12">
        <v>308.35394287109375</v>
      </c>
      <c r="BL74" s="12">
        <v>720.67425537109375</v>
      </c>
      <c r="BM74" s="12">
        <v>910.574951171875</v>
      </c>
      <c r="BN74" s="12">
        <v>816.14788818359375</v>
      </c>
      <c r="BO74" s="12">
        <v>598.8038330078125</v>
      </c>
      <c r="BP74" s="12">
        <v>1241.240234375</v>
      </c>
      <c r="BQ74" s="12"/>
      <c r="BR74" s="12"/>
    </row>
    <row r="75" spans="2:70" x14ac:dyDescent="0.2">
      <c r="B75">
        <v>1870</v>
      </c>
      <c r="C75" s="12">
        <v>1196.7611083984375</v>
      </c>
      <c r="D75" s="12">
        <v>2334.30908203125</v>
      </c>
      <c r="E75" s="12">
        <v>3382.02880859375</v>
      </c>
      <c r="F75" s="12">
        <v>897.88201904296875</v>
      </c>
      <c r="G75" s="12">
        <v>946.4049072265625</v>
      </c>
      <c r="H75" s="12">
        <v>633.06378173828125</v>
      </c>
      <c r="I75" s="12">
        <v>684.5299072265625</v>
      </c>
      <c r="J75" s="12">
        <v>779.40338134765625</v>
      </c>
      <c r="K75" s="12">
        <v>654.19427490234375</v>
      </c>
      <c r="L75" s="12">
        <v>2975.931884765625</v>
      </c>
      <c r="M75" s="12">
        <v>2675.436767578125</v>
      </c>
      <c r="N75" s="12">
        <v>2128.621826171875</v>
      </c>
      <c r="O75" s="12">
        <v>2488.398193359375</v>
      </c>
      <c r="P75" s="12">
        <v>5396.50146484375</v>
      </c>
      <c r="Q75" s="12">
        <v>2342.259765625</v>
      </c>
      <c r="R75" s="12">
        <v>3605.433837890625</v>
      </c>
      <c r="S75" s="12">
        <v>2628.712646484375</v>
      </c>
      <c r="T75" s="12">
        <v>1665.703125</v>
      </c>
      <c r="U75" s="12">
        <v>2595.28125</v>
      </c>
      <c r="V75" s="12">
        <v>1038.3538818359375</v>
      </c>
      <c r="W75" s="12">
        <v>3731.12353515625</v>
      </c>
      <c r="X75" s="12">
        <v>1910.7340087890625</v>
      </c>
      <c r="Y75" s="12">
        <v>5087.02978515625</v>
      </c>
      <c r="Z75" s="12">
        <v>4498.17333984375</v>
      </c>
      <c r="AA75" s="12">
        <v>683.0294189453125</v>
      </c>
      <c r="AB75" s="12">
        <v>1397.4866943359375</v>
      </c>
      <c r="AC75" s="12">
        <v>868.44091796875</v>
      </c>
      <c r="AD75" s="12">
        <v>1396.919921875</v>
      </c>
      <c r="AE75" s="12">
        <v>1345.086669921875</v>
      </c>
      <c r="AF75" s="12">
        <v>833.86077880859375</v>
      </c>
      <c r="AG75" s="12">
        <v>502.92864990234375</v>
      </c>
      <c r="AH75" s="12">
        <v>515.80462646484375</v>
      </c>
      <c r="AI75" s="12">
        <v>1480.4840087890625</v>
      </c>
      <c r="AJ75" s="12">
        <v>1088.4820556640625</v>
      </c>
      <c r="AK75" s="12">
        <v>629.1044921875</v>
      </c>
      <c r="AL75" s="12">
        <v>689.16912841796875</v>
      </c>
      <c r="AM75" s="12">
        <v>1431.5040283203125</v>
      </c>
      <c r="AN75" s="12">
        <v>940.232421875</v>
      </c>
      <c r="AO75" s="12">
        <v>1471.9986572265625</v>
      </c>
      <c r="AP75" s="12">
        <v>947.4483642578125</v>
      </c>
      <c r="AQ75" s="12">
        <v>656.17352294921875</v>
      </c>
      <c r="AR75" s="12">
        <v>534.31005859375</v>
      </c>
      <c r="AS75" s="12">
        <v>762.73248291015625</v>
      </c>
      <c r="AT75" s="12">
        <v>702.269775390625</v>
      </c>
      <c r="AU75" s="12">
        <v>690.1202392578125</v>
      </c>
      <c r="AV75" s="12">
        <v>718.3812255859375</v>
      </c>
      <c r="AW75" s="12">
        <v>409.95797729492188</v>
      </c>
      <c r="AX75" s="12">
        <v>344.7960205078125</v>
      </c>
      <c r="AY75" s="12">
        <v>1714.0072021484375</v>
      </c>
      <c r="AZ75" s="12">
        <v>273.6712646484375</v>
      </c>
      <c r="BA75" s="12">
        <v>878.35888671875</v>
      </c>
      <c r="BB75" s="12">
        <v>713.8780517578125</v>
      </c>
      <c r="BC75" s="12">
        <v>753.9613037109375</v>
      </c>
      <c r="BD75" s="12">
        <v>986.78369140625</v>
      </c>
      <c r="BE75" s="12">
        <v>564.75372314453125</v>
      </c>
      <c r="BF75" s="12">
        <v>771.00836181640625</v>
      </c>
      <c r="BG75" s="12">
        <v>1492.48583984375</v>
      </c>
      <c r="BH75" s="12">
        <v>914.17987060546875</v>
      </c>
      <c r="BI75" s="12">
        <v>643.78118896484375</v>
      </c>
      <c r="BJ75" s="12">
        <v>530.9361572265625</v>
      </c>
      <c r="BK75" s="12">
        <v>309.35025024414062</v>
      </c>
      <c r="BL75" s="12">
        <v>720.99127197265625</v>
      </c>
      <c r="BM75" s="12">
        <v>914.2242431640625</v>
      </c>
      <c r="BN75" s="12">
        <v>819.37652587890625</v>
      </c>
      <c r="BO75" s="12">
        <v>599.2413330078125</v>
      </c>
      <c r="BP75" s="12">
        <v>1243.3245849609375</v>
      </c>
      <c r="BQ75" s="12"/>
      <c r="BR75" s="12"/>
    </row>
    <row r="76" spans="2:70" x14ac:dyDescent="0.2">
      <c r="B76">
        <v>1871</v>
      </c>
      <c r="C76" s="12">
        <v>1193.513916015625</v>
      </c>
      <c r="D76" s="12">
        <v>2353.3818359375</v>
      </c>
      <c r="E76" s="12">
        <v>3277.203369140625</v>
      </c>
      <c r="F76" s="12">
        <v>890.57867431640625</v>
      </c>
      <c r="G76" s="12">
        <v>957.20587158203125</v>
      </c>
      <c r="H76" s="12">
        <v>635.70416259765625</v>
      </c>
      <c r="I76" s="12">
        <v>567.2291259765625</v>
      </c>
      <c r="J76" s="12">
        <v>781.080810546875</v>
      </c>
      <c r="K76" s="12">
        <v>656.11279296875</v>
      </c>
      <c r="L76" s="12">
        <v>3006.86376953125</v>
      </c>
      <c r="M76" s="12">
        <v>2516.09130859375</v>
      </c>
      <c r="N76" s="12">
        <v>2279.076904296875</v>
      </c>
      <c r="O76" s="12">
        <v>2344.33984375</v>
      </c>
      <c r="P76" s="12">
        <v>5643.75</v>
      </c>
      <c r="Q76" s="12">
        <v>2267.41943359375</v>
      </c>
      <c r="R76" s="12">
        <v>3361.011962890625</v>
      </c>
      <c r="S76" s="12">
        <v>2683.629150390625</v>
      </c>
      <c r="T76" s="12">
        <v>1689.03369140625</v>
      </c>
      <c r="U76" s="12">
        <v>2616.59228515625</v>
      </c>
      <c r="V76" s="12">
        <v>1046.51904296875</v>
      </c>
      <c r="W76" s="12">
        <v>3593.1494140625</v>
      </c>
      <c r="X76" s="12">
        <v>1965.622802734375</v>
      </c>
      <c r="Y76" s="12">
        <v>5085.76513671875</v>
      </c>
      <c r="Z76" s="12">
        <v>4576.9384765625</v>
      </c>
      <c r="AA76" s="12">
        <v>661.7515869140625</v>
      </c>
      <c r="AB76" s="12">
        <v>1362.2578125</v>
      </c>
      <c r="AC76" s="12">
        <v>938.26348876953125</v>
      </c>
      <c r="AD76" s="12">
        <v>1369.8995361328125</v>
      </c>
      <c r="AE76" s="12">
        <v>1293.2314453125</v>
      </c>
      <c r="AF76" s="12">
        <v>779.5546875</v>
      </c>
      <c r="AG76" s="12">
        <v>492.70852661132812</v>
      </c>
      <c r="AH76" s="12">
        <v>517.57122802734375</v>
      </c>
      <c r="AI76" s="12">
        <v>1507.568359375</v>
      </c>
      <c r="AJ76" s="12">
        <v>1099.545166015625</v>
      </c>
      <c r="AK76" s="12">
        <v>636.68475341796875</v>
      </c>
      <c r="AL76" s="12">
        <v>692.98822021484375</v>
      </c>
      <c r="AM76" s="12">
        <v>1443.103515625</v>
      </c>
      <c r="AN76" s="12">
        <v>950.94024658203125</v>
      </c>
      <c r="AO76" s="12">
        <v>1489.2235107421875</v>
      </c>
      <c r="AP76" s="12">
        <v>949.8095703125</v>
      </c>
      <c r="AQ76" s="12">
        <v>656.07843017578125</v>
      </c>
      <c r="AR76" s="12">
        <v>535.64190673828125</v>
      </c>
      <c r="AS76" s="12">
        <v>764.6336669921875</v>
      </c>
      <c r="AT76" s="12">
        <v>704.02001953125</v>
      </c>
      <c r="AU76" s="12">
        <v>691.84014892578125</v>
      </c>
      <c r="AV76" s="12">
        <v>722.564208984375</v>
      </c>
      <c r="AW76" s="12">
        <v>410.97964477539062</v>
      </c>
      <c r="AX76" s="12">
        <v>345.65533447265625</v>
      </c>
      <c r="AY76" s="12">
        <v>1719.090087890625</v>
      </c>
      <c r="AZ76" s="12">
        <v>274.66989135742188</v>
      </c>
      <c r="BA76" s="12">
        <v>727.8446044921875</v>
      </c>
      <c r="BB76" s="12">
        <v>591.54913330078125</v>
      </c>
      <c r="BC76" s="12">
        <v>752.22119140625</v>
      </c>
      <c r="BD76" s="12">
        <v>1015.043212890625</v>
      </c>
      <c r="BE76" s="12">
        <v>568.92449951171875</v>
      </c>
      <c r="BF76" s="12">
        <v>773.59246826171875</v>
      </c>
      <c r="BG76" s="12">
        <v>1494.747802734375</v>
      </c>
      <c r="BH76" s="12">
        <v>919.496826171875</v>
      </c>
      <c r="BI76" s="12">
        <v>644.695556640625</v>
      </c>
      <c r="BJ76" s="12">
        <v>530.60186767578125</v>
      </c>
      <c r="BK76" s="12">
        <v>312.35433959960938</v>
      </c>
      <c r="BL76" s="12">
        <v>725.1845703125</v>
      </c>
      <c r="BM76" s="12">
        <v>915.70343017578125</v>
      </c>
      <c r="BN76" s="12">
        <v>829.2603759765625</v>
      </c>
      <c r="BO76" s="12">
        <v>604.460693359375</v>
      </c>
      <c r="BP76" s="12">
        <v>1246.7628173828125</v>
      </c>
      <c r="BQ76" s="12"/>
      <c r="BR76" s="12"/>
    </row>
    <row r="77" spans="2:70" x14ac:dyDescent="0.2">
      <c r="B77">
        <v>1872</v>
      </c>
      <c r="C77" s="12">
        <v>1238.5560302734375</v>
      </c>
      <c r="D77" s="12">
        <v>2434.083984375</v>
      </c>
      <c r="E77" s="12">
        <v>3542.231201171875</v>
      </c>
      <c r="F77" s="12">
        <v>903.2186279296875</v>
      </c>
      <c r="G77" s="12">
        <v>967.47796630859375</v>
      </c>
      <c r="H77" s="12">
        <v>687.5771484375</v>
      </c>
      <c r="I77" s="12">
        <v>605.76629638671875</v>
      </c>
      <c r="J77" s="12">
        <v>777.14019775390625</v>
      </c>
      <c r="K77" s="12">
        <v>659.3433837890625</v>
      </c>
      <c r="L77" s="12">
        <v>3054.542724609375</v>
      </c>
      <c r="M77" s="12">
        <v>2520.578369140625</v>
      </c>
      <c r="N77" s="12">
        <v>2545.95556640625</v>
      </c>
      <c r="O77" s="12">
        <v>2666.814453125</v>
      </c>
      <c r="P77" s="12">
        <v>5663.22412109375</v>
      </c>
      <c r="Q77" s="12">
        <v>2144.60205078125</v>
      </c>
      <c r="R77" s="12">
        <v>3393.763671875</v>
      </c>
      <c r="S77" s="12">
        <v>2868.72265625</v>
      </c>
      <c r="T77" s="12">
        <v>1810.41064453125</v>
      </c>
      <c r="U77" s="12">
        <v>2708.743896484375</v>
      </c>
      <c r="V77" s="12">
        <v>1082.8792724609375</v>
      </c>
      <c r="W77" s="12">
        <v>3890.888427734375</v>
      </c>
      <c r="X77" s="12">
        <v>1913.7738037109375</v>
      </c>
      <c r="Y77" s="12">
        <v>5606.5302734375</v>
      </c>
      <c r="Z77" s="12">
        <v>5109.0869140625</v>
      </c>
      <c r="AA77" s="12">
        <v>713.60369873046875</v>
      </c>
      <c r="AB77" s="12">
        <v>1440.3118896484375</v>
      </c>
      <c r="AC77" s="12">
        <v>929.65185546875</v>
      </c>
      <c r="AD77" s="12">
        <v>1414.44970703125</v>
      </c>
      <c r="AE77" s="12">
        <v>1334.80029296875</v>
      </c>
      <c r="AF77" s="12">
        <v>785.1141357421875</v>
      </c>
      <c r="AG77" s="12">
        <v>495.489990234375</v>
      </c>
      <c r="AH77" s="12">
        <v>519.31451416015625</v>
      </c>
      <c r="AI77" s="12">
        <v>1535.02783203125</v>
      </c>
      <c r="AJ77" s="12">
        <v>1108.8548583984375</v>
      </c>
      <c r="AK77" s="12">
        <v>644.2841796875</v>
      </c>
      <c r="AL77" s="12">
        <v>696.7496337890625</v>
      </c>
      <c r="AM77" s="12">
        <v>1454.71533203125</v>
      </c>
      <c r="AN77" s="12">
        <v>961.606689453125</v>
      </c>
      <c r="AO77" s="12">
        <v>1505.6002197265625</v>
      </c>
      <c r="AP77" s="12">
        <v>952.12420654296875</v>
      </c>
      <c r="AQ77" s="12">
        <v>655.94720458984375</v>
      </c>
      <c r="AR77" s="12">
        <v>536.94671630859375</v>
      </c>
      <c r="AS77" s="12">
        <v>766.496337890625</v>
      </c>
      <c r="AT77" s="12">
        <v>705.735595703125</v>
      </c>
      <c r="AU77" s="12">
        <v>693.52606201171875</v>
      </c>
      <c r="AV77" s="12">
        <v>726.7314453125</v>
      </c>
      <c r="AW77" s="12">
        <v>411.98101806640625</v>
      </c>
      <c r="AX77" s="12">
        <v>346.4976806640625</v>
      </c>
      <c r="AY77" s="12">
        <v>2534.14892578125</v>
      </c>
      <c r="AZ77" s="12">
        <v>295.77081298828125</v>
      </c>
      <c r="BA77" s="12">
        <v>777.29608154296875</v>
      </c>
      <c r="BB77" s="12">
        <v>631.739990234375</v>
      </c>
      <c r="BC77" s="12">
        <v>750.420654296875</v>
      </c>
      <c r="BD77" s="12">
        <v>997.88397216796875</v>
      </c>
      <c r="BE77" s="12">
        <v>573.09375</v>
      </c>
      <c r="BF77" s="12">
        <v>776.12744140625</v>
      </c>
      <c r="BG77" s="12">
        <v>1488.6328125</v>
      </c>
      <c r="BH77" s="12">
        <v>924.5216064453125</v>
      </c>
      <c r="BI77" s="12">
        <v>645.386474609375</v>
      </c>
      <c r="BJ77" s="12">
        <v>541.62713623046875</v>
      </c>
      <c r="BK77" s="12">
        <v>315.27789306640625</v>
      </c>
      <c r="BL77" s="12">
        <v>729.14752197265625</v>
      </c>
      <c r="BM77" s="12">
        <v>910.74822998046875</v>
      </c>
      <c r="BN77" s="12">
        <v>839.02099609375</v>
      </c>
      <c r="BO77" s="12">
        <v>605.5726318359375</v>
      </c>
      <c r="BP77" s="12">
        <v>1252.1358642578125</v>
      </c>
      <c r="BQ77" s="12"/>
      <c r="BR77" s="12"/>
    </row>
    <row r="78" spans="2:70" x14ac:dyDescent="0.2">
      <c r="B78">
        <v>1873</v>
      </c>
      <c r="C78" s="12">
        <v>1259.346923828125</v>
      </c>
      <c r="D78" s="12">
        <v>2452.409912109375</v>
      </c>
      <c r="E78" s="12">
        <v>3717.01708984375</v>
      </c>
      <c r="F78" s="12">
        <v>897.51959228515625</v>
      </c>
      <c r="G78" s="12">
        <v>985.20355224609375</v>
      </c>
      <c r="H78" s="12">
        <v>668.87103271484375</v>
      </c>
      <c r="I78" s="12">
        <v>613.0845947265625</v>
      </c>
      <c r="J78" s="12">
        <v>777.93817138671875</v>
      </c>
      <c r="K78" s="12">
        <v>660.38525390625</v>
      </c>
      <c r="L78" s="12">
        <v>3105.28466796875</v>
      </c>
      <c r="M78" s="12">
        <v>2559.048828125</v>
      </c>
      <c r="N78" s="12">
        <v>2529.555908203125</v>
      </c>
      <c r="O78" s="12">
        <v>2558.98974609375</v>
      </c>
      <c r="P78" s="12">
        <v>5709.57080078125</v>
      </c>
      <c r="Q78" s="12">
        <v>2252.561279296875</v>
      </c>
      <c r="R78" s="12">
        <v>3497.002197265625</v>
      </c>
      <c r="S78" s="12">
        <v>3119.2685546875</v>
      </c>
      <c r="T78" s="12">
        <v>1953.8341064453125</v>
      </c>
      <c r="U78" s="12">
        <v>2726.17919921875</v>
      </c>
      <c r="V78" s="12">
        <v>1089.6591796875</v>
      </c>
      <c r="W78" s="12">
        <v>4051.037841796875</v>
      </c>
      <c r="X78" s="12">
        <v>2063.7265625</v>
      </c>
      <c r="Y78" s="12">
        <v>6402.60009765625</v>
      </c>
      <c r="Z78" s="12">
        <v>5555.06005859375</v>
      </c>
      <c r="AA78" s="12">
        <v>749.21295166015625</v>
      </c>
      <c r="AB78" s="12">
        <v>1480.1695556640625</v>
      </c>
      <c r="AC78" s="12">
        <v>897.38446044921875</v>
      </c>
      <c r="AD78" s="12">
        <v>1510.073974609375</v>
      </c>
      <c r="AE78" s="12">
        <v>1318.59423828125</v>
      </c>
      <c r="AF78" s="12">
        <v>765.98626708984375</v>
      </c>
      <c r="AG78" s="12">
        <v>490.51959228515625</v>
      </c>
      <c r="AH78" s="12">
        <v>521.13580322265625</v>
      </c>
      <c r="AI78" s="12">
        <v>1563.296142578125</v>
      </c>
      <c r="AJ78" s="12">
        <v>1122.8106689453125</v>
      </c>
      <c r="AK78" s="12">
        <v>652.15509033203125</v>
      </c>
      <c r="AL78" s="12">
        <v>700.72607421875</v>
      </c>
      <c r="AM78" s="12">
        <v>1466.623046875</v>
      </c>
      <c r="AN78" s="12">
        <v>972.8001708984375</v>
      </c>
      <c r="AO78" s="12">
        <v>1527.3663330078125</v>
      </c>
      <c r="AP78" s="12">
        <v>954.5738525390625</v>
      </c>
      <c r="AQ78" s="12">
        <v>655.9061279296875</v>
      </c>
      <c r="AR78" s="12">
        <v>538.32916259765625</v>
      </c>
      <c r="AS78" s="12">
        <v>768.46978759765625</v>
      </c>
      <c r="AT78" s="12">
        <v>707.55267333984375</v>
      </c>
      <c r="AU78" s="12">
        <v>695.31170654296875</v>
      </c>
      <c r="AV78" s="12">
        <v>731.023193359375</v>
      </c>
      <c r="AW78" s="12">
        <v>413.04171752929688</v>
      </c>
      <c r="AX78" s="12">
        <v>347.3897705078125</v>
      </c>
      <c r="AY78" s="12">
        <v>2183.6015625</v>
      </c>
      <c r="AZ78" s="12">
        <v>288.10797119140625</v>
      </c>
      <c r="BA78" s="12">
        <v>786.68975830078125</v>
      </c>
      <c r="BB78" s="12">
        <v>639.3746337890625</v>
      </c>
      <c r="BC78" s="12">
        <v>748.78192138671875</v>
      </c>
      <c r="BD78" s="12">
        <v>1016.8310546875</v>
      </c>
      <c r="BE78" s="12">
        <v>577.37408447265625</v>
      </c>
      <c r="BF78" s="12">
        <v>778.84393310546875</v>
      </c>
      <c r="BG78" s="12">
        <v>1489.325439453125</v>
      </c>
      <c r="BH78" s="12">
        <v>930.3697509765625</v>
      </c>
      <c r="BI78" s="12">
        <v>646.63067626953125</v>
      </c>
      <c r="BJ78" s="12">
        <v>530.1036376953125</v>
      </c>
      <c r="BK78" s="12">
        <v>318.50100708007812</v>
      </c>
      <c r="BL78" s="12">
        <v>733.75982666015625</v>
      </c>
      <c r="BM78" s="12">
        <v>912.54400634765625</v>
      </c>
      <c r="BN78" s="12">
        <v>849.498046875</v>
      </c>
      <c r="BO78" s="12">
        <v>610.95947265625</v>
      </c>
      <c r="BP78" s="12">
        <v>1253.7958984375</v>
      </c>
      <c r="BQ78" s="12"/>
      <c r="BR78" s="12"/>
    </row>
    <row r="79" spans="2:70" x14ac:dyDescent="0.2">
      <c r="B79">
        <v>1874</v>
      </c>
      <c r="C79" s="12">
        <v>1266.159423828125</v>
      </c>
      <c r="D79" s="12">
        <v>2468.545166015625</v>
      </c>
      <c r="E79" s="12">
        <v>3609.931884765625</v>
      </c>
      <c r="F79" s="12">
        <v>911.80035400390625</v>
      </c>
      <c r="G79" s="12">
        <v>997.916015625</v>
      </c>
      <c r="H79" s="12">
        <v>665.17523193359375</v>
      </c>
      <c r="I79" s="12">
        <v>742.62615966796875</v>
      </c>
      <c r="J79" s="12">
        <v>775.83154296875</v>
      </c>
      <c r="K79" s="12">
        <v>661.4268798828125</v>
      </c>
      <c r="L79" s="12">
        <v>3137.639892578125</v>
      </c>
      <c r="M79" s="12">
        <v>2763.44775390625</v>
      </c>
      <c r="N79" s="12">
        <v>2525.636962890625</v>
      </c>
      <c r="O79" s="12">
        <v>2616.534912109375</v>
      </c>
      <c r="P79" s="12">
        <v>5717.04931640625</v>
      </c>
      <c r="Q79" s="12">
        <v>2238.75341796875</v>
      </c>
      <c r="R79" s="12">
        <v>3413.07373046875</v>
      </c>
      <c r="S79" s="12">
        <v>3191.0966796875</v>
      </c>
      <c r="T79" s="12">
        <v>1902.611083984375</v>
      </c>
      <c r="U79" s="12">
        <v>2743.109130859375</v>
      </c>
      <c r="V79" s="12">
        <v>1096.5025634765625</v>
      </c>
      <c r="W79" s="12">
        <v>3913.88427734375</v>
      </c>
      <c r="X79" s="12">
        <v>2073.41650390625</v>
      </c>
      <c r="Y79" s="12">
        <v>6414.8056640625</v>
      </c>
      <c r="Z79" s="12">
        <v>5572.99462890625</v>
      </c>
      <c r="AA79" s="12">
        <v>728.02392578125</v>
      </c>
      <c r="AB79" s="12">
        <v>1438.557861328125</v>
      </c>
      <c r="AC79" s="12">
        <v>933.4970703125</v>
      </c>
      <c r="AD79" s="12">
        <v>1495.978515625</v>
      </c>
      <c r="AE79" s="12">
        <v>1351.9354248046875</v>
      </c>
      <c r="AF79" s="12">
        <v>775.9815673828125</v>
      </c>
      <c r="AG79" s="12">
        <v>500.25338745117188</v>
      </c>
      <c r="AH79" s="12">
        <v>523.026123046875</v>
      </c>
      <c r="AI79" s="12">
        <v>1592.3544921875</v>
      </c>
      <c r="AJ79" s="12">
        <v>1141.0010986328125</v>
      </c>
      <c r="AK79" s="12">
        <v>660.2811279296875</v>
      </c>
      <c r="AL79" s="12">
        <v>704.89556884765625</v>
      </c>
      <c r="AM79" s="12">
        <v>1478.80615234375</v>
      </c>
      <c r="AN79" s="12">
        <v>984.482177734375</v>
      </c>
      <c r="AO79" s="12">
        <v>1548.4320068359375</v>
      </c>
      <c r="AP79" s="12">
        <v>957.1474609375</v>
      </c>
      <c r="AQ79" s="12">
        <v>655.9432373046875</v>
      </c>
      <c r="AR79" s="12">
        <v>539.780029296875</v>
      </c>
      <c r="AS79" s="12">
        <v>770.54095458984375</v>
      </c>
      <c r="AT79" s="12">
        <v>709.458984375</v>
      </c>
      <c r="AU79" s="12">
        <v>697.18499755859375</v>
      </c>
      <c r="AV79" s="12">
        <v>735.427978515625</v>
      </c>
      <c r="AW79" s="12">
        <v>414.1549072265625</v>
      </c>
      <c r="AX79" s="12">
        <v>348.32571411132812</v>
      </c>
      <c r="AY79" s="12">
        <v>2081.1357421875</v>
      </c>
      <c r="AZ79" s="12">
        <v>286.81375122070312</v>
      </c>
      <c r="BA79" s="12">
        <v>952.9139404296875</v>
      </c>
      <c r="BB79" s="12">
        <v>774.47222900390625</v>
      </c>
      <c r="BC79" s="12">
        <v>747.28326416015625</v>
      </c>
      <c r="BD79" s="12">
        <v>1006.1318969726562</v>
      </c>
      <c r="BE79" s="12">
        <v>581.7569580078125</v>
      </c>
      <c r="BF79" s="12">
        <v>781.71246337890625</v>
      </c>
      <c r="BG79" s="12">
        <v>1485.1424560546875</v>
      </c>
      <c r="BH79" s="12">
        <v>930.59698486328125</v>
      </c>
      <c r="BI79" s="12">
        <v>648.35980224609375</v>
      </c>
      <c r="BJ79" s="12">
        <v>523.31890869140625</v>
      </c>
      <c r="BK79" s="12">
        <v>319.81228637695312</v>
      </c>
      <c r="BL79" s="12">
        <v>733.93902587890625</v>
      </c>
      <c r="BM79" s="12">
        <v>915.02435302734375</v>
      </c>
      <c r="BN79" s="12">
        <v>854.83782958984375</v>
      </c>
      <c r="BO79" s="12">
        <v>616.695556640625</v>
      </c>
      <c r="BP79" s="12">
        <v>1248.66845703125</v>
      </c>
      <c r="BQ79" s="12"/>
      <c r="BR79" s="12"/>
    </row>
    <row r="80" spans="2:70" x14ac:dyDescent="0.2">
      <c r="B80">
        <v>1875</v>
      </c>
      <c r="C80" s="12">
        <v>1276.04736328125</v>
      </c>
      <c r="D80" s="12">
        <v>2537.733154296875</v>
      </c>
      <c r="E80" s="12">
        <v>3537.530029296875</v>
      </c>
      <c r="F80" s="12">
        <v>920.5401611328125</v>
      </c>
      <c r="G80" s="12">
        <v>1008.1984252929688</v>
      </c>
      <c r="H80" s="12">
        <v>682.131591796875</v>
      </c>
      <c r="I80" s="12">
        <v>559.51605224609375</v>
      </c>
      <c r="J80" s="12">
        <v>774.1907958984375</v>
      </c>
      <c r="K80" s="12">
        <v>665.74737548828125</v>
      </c>
      <c r="L80" s="12">
        <v>3239.442138671875</v>
      </c>
      <c r="M80" s="12">
        <v>2991.592041015625</v>
      </c>
      <c r="N80" s="12">
        <v>2550.155029296875</v>
      </c>
      <c r="O80" s="12">
        <v>2892.619384765625</v>
      </c>
      <c r="P80" s="12">
        <v>5662.8251953125</v>
      </c>
      <c r="Q80" s="12">
        <v>2246.1171875</v>
      </c>
      <c r="R80" s="12">
        <v>3725.959228515625</v>
      </c>
      <c r="S80" s="12">
        <v>3139.169677734375</v>
      </c>
      <c r="T80" s="12">
        <v>1840.028564453125</v>
      </c>
      <c r="U80" s="12">
        <v>2819.326416015625</v>
      </c>
      <c r="V80" s="12">
        <v>1126.3548583984375</v>
      </c>
      <c r="W80" s="12">
        <v>3831.830322265625</v>
      </c>
      <c r="X80" s="12">
        <v>1987.716064453125</v>
      </c>
      <c r="Y80" s="12">
        <v>6343.8798828125</v>
      </c>
      <c r="Z80" s="12">
        <v>5345.6083984375</v>
      </c>
      <c r="AA80" s="12">
        <v>712.323486328125</v>
      </c>
      <c r="AB80" s="12">
        <v>1484.677978515625</v>
      </c>
      <c r="AC80" s="12">
        <v>861.879150390625</v>
      </c>
      <c r="AD80" s="12">
        <v>1551.658935546875</v>
      </c>
      <c r="AE80" s="12">
        <v>1450.5211181640625</v>
      </c>
      <c r="AF80" s="12">
        <v>822.9775390625</v>
      </c>
      <c r="AG80" s="12">
        <v>498.97427368164062</v>
      </c>
      <c r="AH80" s="12">
        <v>524.76397705078125</v>
      </c>
      <c r="AI80" s="12">
        <v>1621.2611083984375</v>
      </c>
      <c r="AJ80" s="12">
        <v>1149.05029296875</v>
      </c>
      <c r="AK80" s="12">
        <v>668.100341796875</v>
      </c>
      <c r="AL80" s="12">
        <v>708.65643310546875</v>
      </c>
      <c r="AM80" s="12">
        <v>1490.6368408203125</v>
      </c>
      <c r="AN80" s="12">
        <v>995.38568115234375</v>
      </c>
      <c r="AO80" s="12">
        <v>1563.46484375</v>
      </c>
      <c r="AP80" s="12">
        <v>959.43572998046875</v>
      </c>
      <c r="AQ80" s="12">
        <v>655.78173828125</v>
      </c>
      <c r="AR80" s="12">
        <v>541.0701904296875</v>
      </c>
      <c r="AS80" s="12">
        <v>772.3826904296875</v>
      </c>
      <c r="AT80" s="12">
        <v>711.15509033203125</v>
      </c>
      <c r="AU80" s="12">
        <v>698.851806640625</v>
      </c>
      <c r="AV80" s="12">
        <v>739.63525390625</v>
      </c>
      <c r="AW80" s="12">
        <v>415.14483642578125</v>
      </c>
      <c r="AX80" s="12">
        <v>349.158447265625</v>
      </c>
      <c r="AY80" s="12">
        <v>2319.054931640625</v>
      </c>
      <c r="AZ80" s="12">
        <v>293.58917236328125</v>
      </c>
      <c r="BA80" s="12">
        <v>717.95257568359375</v>
      </c>
      <c r="BB80" s="12">
        <v>583.5093994140625</v>
      </c>
      <c r="BC80" s="12">
        <v>745.4427490234375</v>
      </c>
      <c r="BD80" s="12">
        <v>1003.6810913085938</v>
      </c>
      <c r="BE80" s="12">
        <v>585.9930419921875</v>
      </c>
      <c r="BF80" s="12">
        <v>784.236572265625</v>
      </c>
      <c r="BG80" s="12">
        <v>1481.6285400390625</v>
      </c>
      <c r="BH80" s="12">
        <v>935.1654052734375</v>
      </c>
      <c r="BI80" s="12">
        <v>648.86932373046875</v>
      </c>
      <c r="BJ80" s="12">
        <v>541.16448974609375</v>
      </c>
      <c r="BK80" s="12">
        <v>322.62716674804688</v>
      </c>
      <c r="BL80" s="12">
        <v>737.5421142578125</v>
      </c>
      <c r="BM80" s="12">
        <v>922.23785400390625</v>
      </c>
      <c r="BN80" s="12">
        <v>864.467529296875</v>
      </c>
      <c r="BO80" s="12">
        <v>621.71490478515625</v>
      </c>
      <c r="BP80" s="12">
        <v>1254.9034423828125</v>
      </c>
      <c r="BQ80" s="12"/>
      <c r="BR80" s="12"/>
    </row>
    <row r="81" spans="2:70" x14ac:dyDescent="0.2">
      <c r="B81">
        <v>1876</v>
      </c>
      <c r="C81" s="12">
        <v>1279.97998046875</v>
      </c>
      <c r="D81" s="12">
        <v>2485.32568359375</v>
      </c>
      <c r="E81" s="12">
        <v>3637.90673828125</v>
      </c>
      <c r="F81" s="12">
        <v>933.6468505859375</v>
      </c>
      <c r="G81" s="12">
        <v>1021.2288208007812</v>
      </c>
      <c r="H81" s="12">
        <v>702.0513916015625</v>
      </c>
      <c r="I81" s="12">
        <v>558.4134521484375</v>
      </c>
      <c r="J81" s="12">
        <v>790.15716552734375</v>
      </c>
      <c r="K81" s="12">
        <v>668.56927490234375</v>
      </c>
      <c r="L81" s="12">
        <v>3245.50732421875</v>
      </c>
      <c r="M81" s="12">
        <v>3208.402099609375</v>
      </c>
      <c r="N81" s="12">
        <v>2724.354248046875</v>
      </c>
      <c r="O81" s="12">
        <v>2751.30078125</v>
      </c>
      <c r="P81" s="12">
        <v>5509.232421875</v>
      </c>
      <c r="Q81" s="12">
        <v>2069.9794921875</v>
      </c>
      <c r="R81" s="12">
        <v>3703.716796875</v>
      </c>
      <c r="S81" s="12">
        <v>3293.906494140625</v>
      </c>
      <c r="T81" s="12">
        <v>1863.3328857421875</v>
      </c>
      <c r="U81" s="12">
        <v>2759.425048828125</v>
      </c>
      <c r="V81" s="12">
        <v>1102.4951171875</v>
      </c>
      <c r="W81" s="12">
        <v>3964.281494140625</v>
      </c>
      <c r="X81" s="12">
        <v>1827.1422119140625</v>
      </c>
      <c r="Y81" s="12">
        <v>6292.1962890625</v>
      </c>
      <c r="Z81" s="12">
        <v>5251.63037109375</v>
      </c>
      <c r="AA81" s="12">
        <v>731.23138427734375</v>
      </c>
      <c r="AB81" s="12">
        <v>1480.2447509765625</v>
      </c>
      <c r="AC81" s="12">
        <v>932.33349609375</v>
      </c>
      <c r="AD81" s="12">
        <v>1492.6544189453125</v>
      </c>
      <c r="AE81" s="12">
        <v>1460.8125</v>
      </c>
      <c r="AF81" s="12">
        <v>819.595947265625</v>
      </c>
      <c r="AG81" s="12">
        <v>500.87017822265625</v>
      </c>
      <c r="AH81" s="12">
        <v>526.6661376953125</v>
      </c>
      <c r="AI81" s="12">
        <v>1651.390380859375</v>
      </c>
      <c r="AJ81" s="12">
        <v>1167.5859375</v>
      </c>
      <c r="AK81" s="12">
        <v>676.4222412109375</v>
      </c>
      <c r="AL81" s="12">
        <v>712.8692626953125</v>
      </c>
      <c r="AM81" s="12">
        <v>1503.0152587890625</v>
      </c>
      <c r="AN81" s="12">
        <v>1007.3319702148438</v>
      </c>
      <c r="AO81" s="12">
        <v>1584.958251953125</v>
      </c>
      <c r="AP81" s="12">
        <v>962.01904296875</v>
      </c>
      <c r="AQ81" s="12">
        <v>655.8177490234375</v>
      </c>
      <c r="AR81" s="12">
        <v>542.527099609375</v>
      </c>
      <c r="AS81" s="12">
        <v>774.46240234375</v>
      </c>
      <c r="AT81" s="12">
        <v>713.06982421875</v>
      </c>
      <c r="AU81" s="12">
        <v>700.7333984375</v>
      </c>
      <c r="AV81" s="12">
        <v>744.0906982421875</v>
      </c>
      <c r="AW81" s="12">
        <v>416.26263427734375</v>
      </c>
      <c r="AX81" s="12">
        <v>350.09857177734375</v>
      </c>
      <c r="AY81" s="12">
        <v>2592.262451171875</v>
      </c>
      <c r="AZ81" s="12">
        <v>301.85906982421875</v>
      </c>
      <c r="BA81" s="12">
        <v>716.53826904296875</v>
      </c>
      <c r="BB81" s="12">
        <v>582.35986328125</v>
      </c>
      <c r="BC81" s="12">
        <v>743.9478759765625</v>
      </c>
      <c r="BD81" s="12">
        <v>1157.943603515625</v>
      </c>
      <c r="BE81" s="12">
        <v>590.43988037109375</v>
      </c>
      <c r="BF81" s="12">
        <v>787.114990234375</v>
      </c>
      <c r="BG81" s="12">
        <v>1506.1312255859375</v>
      </c>
      <c r="BH81" s="12">
        <v>941.82318115234375</v>
      </c>
      <c r="BI81" s="12">
        <v>650.59423828125</v>
      </c>
      <c r="BJ81" s="12">
        <v>538.29437255859375</v>
      </c>
      <c r="BK81" s="12">
        <v>326.18243408203125</v>
      </c>
      <c r="BL81" s="12">
        <v>742.7928466796875</v>
      </c>
      <c r="BM81" s="12">
        <v>924.67572021484375</v>
      </c>
      <c r="BN81" s="12">
        <v>875.84173583984375</v>
      </c>
      <c r="BO81" s="12">
        <v>627.54608154296875</v>
      </c>
      <c r="BP81" s="12">
        <v>1259.2032470703125</v>
      </c>
      <c r="BQ81" s="12"/>
      <c r="BR81" s="12"/>
    </row>
    <row r="82" spans="2:70" x14ac:dyDescent="0.2">
      <c r="B82">
        <v>1877</v>
      </c>
      <c r="C82" s="12">
        <v>1294.253173828125</v>
      </c>
      <c r="D82" s="12">
        <v>2500.619140625</v>
      </c>
      <c r="E82" s="12">
        <v>3705.982177734375</v>
      </c>
      <c r="F82" s="12">
        <v>908.93157958984375</v>
      </c>
      <c r="G82" s="12">
        <v>1034.130615234375</v>
      </c>
      <c r="H82" s="12">
        <v>695.37811279296875</v>
      </c>
      <c r="I82" s="12">
        <v>683.314697265625</v>
      </c>
      <c r="J82" s="12">
        <v>778.02276611328125</v>
      </c>
      <c r="K82" s="12">
        <v>672.7335205078125</v>
      </c>
      <c r="L82" s="12">
        <v>3234.2294921875</v>
      </c>
      <c r="M82" s="12">
        <v>3133.939208984375</v>
      </c>
      <c r="N82" s="12">
        <v>2969.442626953125</v>
      </c>
      <c r="O82" s="12">
        <v>2707.33642578125</v>
      </c>
      <c r="P82" s="12">
        <v>5443.94287109375</v>
      </c>
      <c r="Q82" s="12">
        <v>2234.81689453125</v>
      </c>
      <c r="R82" s="12">
        <v>3579.46533203125</v>
      </c>
      <c r="S82" s="12">
        <v>3219.236572265625</v>
      </c>
      <c r="T82" s="12">
        <v>1835.3153076171875</v>
      </c>
      <c r="U82" s="12">
        <v>2782.43603515625</v>
      </c>
      <c r="V82" s="12">
        <v>1111.7774658203125</v>
      </c>
      <c r="W82" s="12">
        <v>4042.718505859375</v>
      </c>
      <c r="X82" s="12">
        <v>1930.074951171875</v>
      </c>
      <c r="Y82" s="12">
        <v>5961.27734375</v>
      </c>
      <c r="Z82" s="12">
        <v>5772.53857421875</v>
      </c>
      <c r="AA82" s="12">
        <v>743.41900634765625</v>
      </c>
      <c r="AB82" s="12">
        <v>1593.975341796875</v>
      </c>
      <c r="AC82" s="12">
        <v>838.7822265625</v>
      </c>
      <c r="AD82" s="12">
        <v>1438.0157470703125</v>
      </c>
      <c r="AE82" s="12">
        <v>1470.9757080078125</v>
      </c>
      <c r="AF82" s="12">
        <v>816.427001953125</v>
      </c>
      <c r="AG82" s="12">
        <v>489.56549072265625</v>
      </c>
      <c r="AH82" s="12">
        <v>528.5814208984375</v>
      </c>
      <c r="AI82" s="12">
        <v>1682.0980224609375</v>
      </c>
      <c r="AJ82" s="12">
        <v>1186.731689453125</v>
      </c>
      <c r="AK82" s="12">
        <v>684.85968017578125</v>
      </c>
      <c r="AL82" s="12">
        <v>717.1199951171875</v>
      </c>
      <c r="AM82" s="12">
        <v>1515.514404296875</v>
      </c>
      <c r="AN82" s="12">
        <v>1019.448974609375</v>
      </c>
      <c r="AO82" s="12">
        <v>1606.8399658203125</v>
      </c>
      <c r="AP82" s="12">
        <v>964.622314453125</v>
      </c>
      <c r="AQ82" s="12">
        <v>655.8614501953125</v>
      </c>
      <c r="AR82" s="12">
        <v>543.9942626953125</v>
      </c>
      <c r="AS82" s="12">
        <v>776.5567626953125</v>
      </c>
      <c r="AT82" s="12">
        <v>714.99822998046875</v>
      </c>
      <c r="AU82" s="12">
        <v>702.62847900390625</v>
      </c>
      <c r="AV82" s="12">
        <v>748.58172607421875</v>
      </c>
      <c r="AW82" s="12">
        <v>417.38833618164062</v>
      </c>
      <c r="AX82" s="12">
        <v>351.04534912109375</v>
      </c>
      <c r="AY82" s="12">
        <v>2444.5625</v>
      </c>
      <c r="AZ82" s="12">
        <v>299.45166015625</v>
      </c>
      <c r="BA82" s="12">
        <v>876.80706787109375</v>
      </c>
      <c r="BB82" s="12">
        <v>712.61688232421875</v>
      </c>
      <c r="BC82" s="12">
        <v>742.4658203125</v>
      </c>
      <c r="BD82" s="12">
        <v>1058.02001953125</v>
      </c>
      <c r="BE82" s="12">
        <v>594.92742919921875</v>
      </c>
      <c r="BF82" s="12">
        <v>790.0216064453125</v>
      </c>
      <c r="BG82" s="12">
        <v>1486.725830078125</v>
      </c>
      <c r="BH82" s="12">
        <v>948.58941650390625</v>
      </c>
      <c r="BI82" s="12">
        <v>652.35992431640625</v>
      </c>
      <c r="BJ82" s="12">
        <v>545.904052734375</v>
      </c>
      <c r="BK82" s="12">
        <v>329.79815673828125</v>
      </c>
      <c r="BL82" s="12">
        <v>748.12921142578125</v>
      </c>
      <c r="BM82" s="12">
        <v>927.16217041015625</v>
      </c>
      <c r="BN82" s="12">
        <v>887.41436767578125</v>
      </c>
      <c r="BO82" s="12">
        <v>633.45477294921875</v>
      </c>
      <c r="BP82" s="12">
        <v>1265.66064453125</v>
      </c>
      <c r="BQ82" s="12"/>
      <c r="BR82" s="12"/>
    </row>
    <row r="83" spans="2:70" x14ac:dyDescent="0.2">
      <c r="B83">
        <v>1878</v>
      </c>
      <c r="C83" s="12">
        <v>1301.18701171875</v>
      </c>
      <c r="D83" s="12">
        <v>2467.588134765625</v>
      </c>
      <c r="E83" s="12">
        <v>3795.490234375</v>
      </c>
      <c r="F83" s="12">
        <v>920.84466552734375</v>
      </c>
      <c r="G83" s="12">
        <v>1047.0355224609375</v>
      </c>
      <c r="H83" s="12">
        <v>694.37060546875</v>
      </c>
      <c r="I83" s="12">
        <v>714.263916015625</v>
      </c>
      <c r="J83" s="12">
        <v>780.5662841796875</v>
      </c>
      <c r="K83" s="12">
        <v>677.2615966796875</v>
      </c>
      <c r="L83" s="12">
        <v>3339.5869140625</v>
      </c>
      <c r="M83" s="12">
        <v>3238.479248046875</v>
      </c>
      <c r="N83" s="12">
        <v>2939.076171875</v>
      </c>
      <c r="O83" s="12">
        <v>2541.708984375</v>
      </c>
      <c r="P83" s="12">
        <v>5308.4345703125</v>
      </c>
      <c r="Q83" s="12">
        <v>2280.895751953125</v>
      </c>
      <c r="R83" s="12">
        <v>3502.182861328125</v>
      </c>
      <c r="S83" s="12">
        <v>2949.236083984375</v>
      </c>
      <c r="T83" s="12">
        <v>1796.4404296875</v>
      </c>
      <c r="U83" s="12">
        <v>2744.458740234375</v>
      </c>
      <c r="V83" s="12">
        <v>1096.5701904296875</v>
      </c>
      <c r="W83" s="12">
        <v>4145.62060546875</v>
      </c>
      <c r="X83" s="12">
        <v>1829.1385498046875</v>
      </c>
      <c r="Y83" s="12">
        <v>6090.09423828125</v>
      </c>
      <c r="Z83" s="12">
        <v>6191.939453125</v>
      </c>
      <c r="AA83" s="12">
        <v>760.004638671875</v>
      </c>
      <c r="AB83" s="12">
        <v>1476.6815185546875</v>
      </c>
      <c r="AC83" s="12">
        <v>838.77813720703125</v>
      </c>
      <c r="AD83" s="12">
        <v>1439.094970703125</v>
      </c>
      <c r="AE83" s="12">
        <v>1512.5220947265625</v>
      </c>
      <c r="AF83" s="12">
        <v>873.48681640625</v>
      </c>
      <c r="AG83" s="12">
        <v>495.14761352539062</v>
      </c>
      <c r="AH83" s="12">
        <v>530.47894287109375</v>
      </c>
      <c r="AI83" s="12">
        <v>1713.2479248046875</v>
      </c>
      <c r="AJ83" s="12">
        <v>1204.2608642578125</v>
      </c>
      <c r="AK83" s="12">
        <v>693.32733154296875</v>
      </c>
      <c r="AL83" s="12">
        <v>721.31805419921875</v>
      </c>
      <c r="AM83" s="12">
        <v>1528.04638671875</v>
      </c>
      <c r="AN83" s="12">
        <v>1031.5439453125</v>
      </c>
      <c r="AO83" s="12">
        <v>1627.891357421875</v>
      </c>
      <c r="AP83" s="12">
        <v>967.18292236328125</v>
      </c>
      <c r="AQ83" s="12">
        <v>655.8743896484375</v>
      </c>
      <c r="AR83" s="12">
        <v>545.4400634765625</v>
      </c>
      <c r="AS83" s="12">
        <v>778.62060546875</v>
      </c>
      <c r="AT83" s="12">
        <v>716.898193359375</v>
      </c>
      <c r="AU83" s="12">
        <v>704.49554443359375</v>
      </c>
      <c r="AV83" s="12">
        <v>753.064453125</v>
      </c>
      <c r="AW83" s="12">
        <v>418.49761962890625</v>
      </c>
      <c r="AX83" s="12">
        <v>351.978515625</v>
      </c>
      <c r="AY83" s="12">
        <v>2384.662109375</v>
      </c>
      <c r="AZ83" s="12">
        <v>299.17105102539062</v>
      </c>
      <c r="BA83" s="12">
        <v>916.522705078125</v>
      </c>
      <c r="BB83" s="12">
        <v>744.8956298828125</v>
      </c>
      <c r="BC83" s="12">
        <v>740.92626953125</v>
      </c>
      <c r="BD83" s="12">
        <v>1081.5133056640625</v>
      </c>
      <c r="BE83" s="12">
        <v>599.42095947265625</v>
      </c>
      <c r="BF83" s="12">
        <v>792.88262939453125</v>
      </c>
      <c r="BG83" s="12">
        <v>1489.263916015625</v>
      </c>
      <c r="BH83" s="12">
        <v>948.38458251953125</v>
      </c>
      <c r="BI83" s="12">
        <v>653.9119873046875</v>
      </c>
      <c r="BJ83" s="12">
        <v>562.91400146484375</v>
      </c>
      <c r="BK83" s="12">
        <v>331.00381469726562</v>
      </c>
      <c r="BL83" s="12">
        <v>747.9676513671875</v>
      </c>
      <c r="BM83" s="12">
        <v>923.0203857421875</v>
      </c>
      <c r="BN83" s="12">
        <v>898.84033203125</v>
      </c>
      <c r="BO83" s="12">
        <v>643.63604736328125</v>
      </c>
      <c r="BP83" s="12">
        <v>1273.740966796875</v>
      </c>
      <c r="BQ83" s="12"/>
      <c r="BR83" s="12"/>
    </row>
    <row r="84" spans="2:70" x14ac:dyDescent="0.2">
      <c r="B84">
        <v>1879</v>
      </c>
      <c r="C84" s="12">
        <v>1333.8358154296875</v>
      </c>
      <c r="D84" s="12">
        <v>2461.547607421875</v>
      </c>
      <c r="E84" s="12">
        <v>4239.23095703125</v>
      </c>
      <c r="F84" s="12">
        <v>954.993896484375</v>
      </c>
      <c r="G84" s="12">
        <v>1060.0751953125</v>
      </c>
      <c r="H84" s="12">
        <v>713.50543212890625</v>
      </c>
      <c r="I84" s="12">
        <v>602.151123046875</v>
      </c>
      <c r="J84" s="12">
        <v>773.973388671875</v>
      </c>
      <c r="K84" s="12">
        <v>679.01202392578125</v>
      </c>
      <c r="L84" s="12">
        <v>3371.026123046875</v>
      </c>
      <c r="M84" s="12">
        <v>3179.9892578125</v>
      </c>
      <c r="N84" s="12">
        <v>2828.25732421875</v>
      </c>
      <c r="O84" s="12">
        <v>2550.590576171875</v>
      </c>
      <c r="P84" s="12">
        <v>5312.048828125</v>
      </c>
      <c r="Q84" s="12">
        <v>2208.54736328125</v>
      </c>
      <c r="R84" s="12">
        <v>3534.789306640625</v>
      </c>
      <c r="S84" s="12">
        <v>2911.220703125</v>
      </c>
      <c r="T84" s="12">
        <v>1822.5108642578125</v>
      </c>
      <c r="U84" s="12">
        <v>2730.783447265625</v>
      </c>
      <c r="V84" s="12">
        <v>1090.97900390625</v>
      </c>
      <c r="W84" s="12">
        <v>4668.7998046875</v>
      </c>
      <c r="X84" s="12">
        <v>1974.154296875</v>
      </c>
      <c r="Y84" s="12">
        <v>6277.7783203125</v>
      </c>
      <c r="Z84" s="12">
        <v>5173.837890625</v>
      </c>
      <c r="AA84" s="12">
        <v>846.77288818359375</v>
      </c>
      <c r="AB84" s="12">
        <v>1502.1356201171875</v>
      </c>
      <c r="AC84" s="12">
        <v>831.17376708984375</v>
      </c>
      <c r="AD84" s="12">
        <v>1643.5933837890625</v>
      </c>
      <c r="AE84" s="12">
        <v>1567.2518310546875</v>
      </c>
      <c r="AF84" s="12">
        <v>918.69903564453125</v>
      </c>
      <c r="AG84" s="12">
        <v>512.18218994140625</v>
      </c>
      <c r="AH84" s="12">
        <v>532.35980224609375</v>
      </c>
      <c r="AI84" s="12">
        <v>1744.86767578125</v>
      </c>
      <c r="AJ84" s="12">
        <v>1220.44677734375</v>
      </c>
      <c r="AK84" s="12">
        <v>701.83782958984375</v>
      </c>
      <c r="AL84" s="12">
        <v>725.47662353515625</v>
      </c>
      <c r="AM84" s="12">
        <v>1540.6131591796875</v>
      </c>
      <c r="AN84" s="12">
        <v>1043.6412353515625</v>
      </c>
      <c r="AO84" s="12">
        <v>1648.2724609375</v>
      </c>
      <c r="AP84" s="12">
        <v>969.7132568359375</v>
      </c>
      <c r="AQ84" s="12">
        <v>655.858642578125</v>
      </c>
      <c r="AR84" s="12">
        <v>546.865234375</v>
      </c>
      <c r="AS84" s="12">
        <v>780.65509033203125</v>
      </c>
      <c r="AT84" s="12">
        <v>718.77166748046875</v>
      </c>
      <c r="AU84" s="12">
        <v>706.3365478515625</v>
      </c>
      <c r="AV84" s="12">
        <v>757.54095458984375</v>
      </c>
      <c r="AW84" s="12">
        <v>419.59109497070312</v>
      </c>
      <c r="AX84" s="12">
        <v>352.89801025390625</v>
      </c>
      <c r="AY84" s="12">
        <v>2644.37890625</v>
      </c>
      <c r="AZ84" s="12">
        <v>307.07501220703125</v>
      </c>
      <c r="BA84" s="12">
        <v>772.669189453125</v>
      </c>
      <c r="BB84" s="12">
        <v>627.97991943359375</v>
      </c>
      <c r="BC84" s="12">
        <v>739.340087890625</v>
      </c>
      <c r="BD84" s="12">
        <v>1022.48291015625</v>
      </c>
      <c r="BE84" s="12">
        <v>603.921142578125</v>
      </c>
      <c r="BF84" s="12">
        <v>802.6763916015625</v>
      </c>
      <c r="BG84" s="12">
        <v>1477.124755859375</v>
      </c>
      <c r="BH84" s="12">
        <v>954.4810791015625</v>
      </c>
      <c r="BI84" s="12">
        <v>655.288818359375</v>
      </c>
      <c r="BJ84" s="12">
        <v>559.40863037109375</v>
      </c>
      <c r="BK84" s="12">
        <v>334.42196655273438</v>
      </c>
      <c r="BL84" s="12">
        <v>752.77581787109375</v>
      </c>
      <c r="BM84" s="12">
        <v>918.5775146484375</v>
      </c>
      <c r="BN84" s="12">
        <v>903.84124755859375</v>
      </c>
      <c r="BO84" s="12">
        <v>649.46026611328125</v>
      </c>
      <c r="BP84" s="12">
        <v>1268.23876953125</v>
      </c>
      <c r="BQ84" s="12"/>
      <c r="BR84" s="12"/>
    </row>
    <row r="85" spans="2:70" x14ac:dyDescent="0.2">
      <c r="B85">
        <v>1880</v>
      </c>
      <c r="C85" s="12">
        <v>1349.203125</v>
      </c>
      <c r="D85" s="12">
        <v>2470.246337890625</v>
      </c>
      <c r="E85" s="12">
        <v>4382.5322265625</v>
      </c>
      <c r="F85" s="12">
        <v>971.48907470703125</v>
      </c>
      <c r="G85" s="12">
        <v>1079.2208251953125</v>
      </c>
      <c r="H85" s="12">
        <v>741.4833984375</v>
      </c>
      <c r="I85" s="12">
        <v>554.6907958984375</v>
      </c>
      <c r="J85" s="12">
        <v>752.28070068359375</v>
      </c>
      <c r="K85" s="12">
        <v>697.54840087890625</v>
      </c>
      <c r="L85" s="12">
        <v>3263.25732421875</v>
      </c>
      <c r="M85" s="12">
        <v>3262.386474609375</v>
      </c>
      <c r="N85" s="12">
        <v>2944.87353515625</v>
      </c>
      <c r="O85" s="12">
        <v>2603.640625</v>
      </c>
      <c r="P85" s="12">
        <v>5275.6669921875</v>
      </c>
      <c r="Q85" s="12">
        <v>2259.8173828125</v>
      </c>
      <c r="R85" s="12">
        <v>3710.486572265625</v>
      </c>
      <c r="S85" s="12">
        <v>3025.056640625</v>
      </c>
      <c r="T85" s="12">
        <v>1834.3292236328125</v>
      </c>
      <c r="U85" s="12">
        <v>2743.406494140625</v>
      </c>
      <c r="V85" s="12">
        <v>1096.100830078125</v>
      </c>
      <c r="W85" s="12">
        <v>4811.7109375</v>
      </c>
      <c r="X85" s="12">
        <v>2043.1136474609375</v>
      </c>
      <c r="Y85" s="12">
        <v>6662.8115234375</v>
      </c>
      <c r="Z85" s="12">
        <v>5212.27685546875</v>
      </c>
      <c r="AA85" s="12">
        <v>872.794189453125</v>
      </c>
      <c r="AB85" s="12">
        <v>1380.523681640625</v>
      </c>
      <c r="AC85" s="12">
        <v>913.24029541015625</v>
      </c>
      <c r="AD85" s="12">
        <v>1779.4261474609375</v>
      </c>
      <c r="AE85" s="12">
        <v>1515.1304931640625</v>
      </c>
      <c r="AF85" s="12">
        <v>899.999267578125</v>
      </c>
      <c r="AG85" s="12">
        <v>523.7374267578125</v>
      </c>
      <c r="AH85" s="12">
        <v>534.301513671875</v>
      </c>
      <c r="AI85" s="12">
        <v>1734.2266845703125</v>
      </c>
      <c r="AJ85" s="12">
        <v>1240.454833984375</v>
      </c>
      <c r="AK85" s="12">
        <v>710.592529296875</v>
      </c>
      <c r="AL85" s="12">
        <v>729.80255126953125</v>
      </c>
      <c r="AM85" s="12">
        <v>1553.44189453125</v>
      </c>
      <c r="AN85" s="12">
        <v>1070.469970703125</v>
      </c>
      <c r="AO85" s="12">
        <v>1682.8172607421875</v>
      </c>
      <c r="AP85" s="12">
        <v>972.34527587890625</v>
      </c>
      <c r="AQ85" s="12">
        <v>655.90948486328125</v>
      </c>
      <c r="AR85" s="12">
        <v>548.35003662109375</v>
      </c>
      <c r="AS85" s="12">
        <v>777.54071044921875</v>
      </c>
      <c r="AT85" s="12">
        <v>715.9041748046875</v>
      </c>
      <c r="AU85" s="12">
        <v>703.5186767578125</v>
      </c>
      <c r="AV85" s="12">
        <v>757.0255126953125</v>
      </c>
      <c r="AW85" s="12">
        <v>417.91714477539062</v>
      </c>
      <c r="AX85" s="12">
        <v>351.48980712890625</v>
      </c>
      <c r="AY85" s="12">
        <v>3056.259521484375</v>
      </c>
      <c r="AZ85" s="12">
        <v>319.20138549804688</v>
      </c>
      <c r="BA85" s="12">
        <v>711.77386474609375</v>
      </c>
      <c r="BB85" s="12">
        <v>578.48760986328125</v>
      </c>
      <c r="BC85" s="12">
        <v>737.86737060546875</v>
      </c>
      <c r="BD85" s="12">
        <v>839.66156005859375</v>
      </c>
      <c r="BE85" s="12">
        <v>608.51788330078125</v>
      </c>
      <c r="BF85" s="12">
        <v>805.797607421875</v>
      </c>
      <c r="BG85" s="12">
        <v>1443.921875</v>
      </c>
      <c r="BH85" s="12">
        <v>961.40533447265625</v>
      </c>
      <c r="BI85" s="12">
        <v>657.0667724609375</v>
      </c>
      <c r="BJ85" s="12">
        <v>678.49078369140625</v>
      </c>
      <c r="BK85" s="12">
        <v>338.15255737304688</v>
      </c>
      <c r="BL85" s="12">
        <v>758.23681640625</v>
      </c>
      <c r="BM85" s="12">
        <v>914.79327392578125</v>
      </c>
      <c r="BN85" s="12">
        <v>915.8468017578125</v>
      </c>
      <c r="BO85" s="12">
        <v>655.5318603515625</v>
      </c>
      <c r="BP85" s="12">
        <v>1298.6488037109375</v>
      </c>
      <c r="BQ85" s="12"/>
      <c r="BR85" s="12"/>
    </row>
    <row r="86" spans="2:70" x14ac:dyDescent="0.2">
      <c r="B86">
        <v>1881</v>
      </c>
      <c r="C86" s="12">
        <v>1417.002685546875</v>
      </c>
      <c r="D86" s="12">
        <v>2565.097412109375</v>
      </c>
      <c r="E86" s="12">
        <v>4794.5615234375</v>
      </c>
      <c r="F86" s="12">
        <v>970.41534423828125</v>
      </c>
      <c r="G86" s="12">
        <v>1110.272705078125</v>
      </c>
      <c r="H86" s="12">
        <v>732.427001953125</v>
      </c>
      <c r="I86" s="12">
        <v>709.079833984375</v>
      </c>
      <c r="J86" s="12">
        <v>747.6778564453125</v>
      </c>
      <c r="K86" s="12">
        <v>703.8560791015625</v>
      </c>
      <c r="L86" s="12">
        <v>3378.577880859375</v>
      </c>
      <c r="M86" s="12">
        <v>3174.381591796875</v>
      </c>
      <c r="N86" s="12">
        <v>3050.136474609375</v>
      </c>
      <c r="O86" s="12">
        <v>2775.6142578125</v>
      </c>
      <c r="P86" s="12">
        <v>5436.78515625</v>
      </c>
      <c r="Q86" s="12">
        <v>2369.248046875</v>
      </c>
      <c r="R86" s="12">
        <v>3680.476318359375</v>
      </c>
      <c r="S86" s="12">
        <v>3091.849853515625</v>
      </c>
      <c r="T86" s="12">
        <v>1819.19189453125</v>
      </c>
      <c r="U86" s="12">
        <v>2849.845458984375</v>
      </c>
      <c r="V86" s="12">
        <v>1139.0020751953125</v>
      </c>
      <c r="W86" s="12">
        <v>5277.751953125</v>
      </c>
      <c r="X86" s="12">
        <v>2267.814208984375</v>
      </c>
      <c r="Y86" s="12">
        <v>6905.62646484375</v>
      </c>
      <c r="Z86" s="12">
        <v>5225.14501953125</v>
      </c>
      <c r="AA86" s="12">
        <v>954.71429443359375</v>
      </c>
      <c r="AB86" s="12">
        <v>1340.26416015625</v>
      </c>
      <c r="AC86" s="12">
        <v>833.2796630859375</v>
      </c>
      <c r="AD86" s="12">
        <v>1808.6192626953125</v>
      </c>
      <c r="AE86" s="12">
        <v>1507.5203857421875</v>
      </c>
      <c r="AF86" s="12">
        <v>919.81927490234375</v>
      </c>
      <c r="AG86" s="12">
        <v>604.90618896484375</v>
      </c>
      <c r="AH86" s="12">
        <v>535.608154296875</v>
      </c>
      <c r="AI86" s="12">
        <v>1763.613037109375</v>
      </c>
      <c r="AJ86" s="12">
        <v>1354.6124267578125</v>
      </c>
      <c r="AK86" s="12">
        <v>718.48883056640625</v>
      </c>
      <c r="AL86" s="12">
        <v>733.1669921875</v>
      </c>
      <c r="AM86" s="12">
        <v>1564.50146484375</v>
      </c>
      <c r="AN86" s="12">
        <v>1081.924560546875</v>
      </c>
      <c r="AO86" s="12">
        <v>1733.517822265625</v>
      </c>
      <c r="AP86" s="12">
        <v>973.81671142578125</v>
      </c>
      <c r="AQ86" s="12">
        <v>655.1746826171875</v>
      </c>
      <c r="AR86" s="12">
        <v>549.180419921875</v>
      </c>
      <c r="AS86" s="12">
        <v>778.64276123046875</v>
      </c>
      <c r="AT86" s="12">
        <v>716.9188232421875</v>
      </c>
      <c r="AU86" s="12">
        <v>704.515869140625</v>
      </c>
      <c r="AV86" s="12">
        <v>760.61712646484375</v>
      </c>
      <c r="AW86" s="12">
        <v>418.509521484375</v>
      </c>
      <c r="AX86" s="12">
        <v>351.98834228515625</v>
      </c>
      <c r="AY86" s="12">
        <v>2885.156005859375</v>
      </c>
      <c r="AZ86" s="12">
        <v>315.62130737304688</v>
      </c>
      <c r="BA86" s="12">
        <v>909.887939453125</v>
      </c>
      <c r="BB86" s="12">
        <v>739.50299072265625</v>
      </c>
      <c r="BC86" s="12">
        <v>736.04071044921875</v>
      </c>
      <c r="BD86" s="12">
        <v>809.81707763671875</v>
      </c>
      <c r="BE86" s="12">
        <v>612.89471435546875</v>
      </c>
      <c r="BF86" s="12">
        <v>808.35101318359375</v>
      </c>
      <c r="BG86" s="12">
        <v>1435.753173828125</v>
      </c>
      <c r="BH86" s="12">
        <v>966.14794921875</v>
      </c>
      <c r="BI86" s="12">
        <v>657.5477294921875</v>
      </c>
      <c r="BJ86" s="12">
        <v>713.44000244140625</v>
      </c>
      <c r="BK86" s="12">
        <v>341.1368408203125</v>
      </c>
      <c r="BL86" s="12">
        <v>761.977294921875</v>
      </c>
      <c r="BM86" s="12">
        <v>915.3284912109375</v>
      </c>
      <c r="BN86" s="12">
        <v>926.0267333984375</v>
      </c>
      <c r="BO86" s="12">
        <v>660.66802978515625</v>
      </c>
      <c r="BP86" s="12">
        <v>1308.8553466796875</v>
      </c>
      <c r="BQ86" s="12"/>
      <c r="BR86" s="12"/>
    </row>
    <row r="87" spans="2:70" x14ac:dyDescent="0.2">
      <c r="B87">
        <v>1882</v>
      </c>
      <c r="C87" s="12">
        <v>1433.5740966796875</v>
      </c>
      <c r="D87" s="12">
        <v>2630.497314453125</v>
      </c>
      <c r="E87" s="12">
        <v>4790.7509765625</v>
      </c>
      <c r="F87" s="12">
        <v>984.60772705078125</v>
      </c>
      <c r="G87" s="12">
        <v>1123.4422607421875</v>
      </c>
      <c r="H87" s="12">
        <v>724.3807373046875</v>
      </c>
      <c r="I87" s="12">
        <v>613.7841796875</v>
      </c>
      <c r="J87" s="12">
        <v>745.83978271484375</v>
      </c>
      <c r="K87" s="12">
        <v>701.0401611328125</v>
      </c>
      <c r="L87" s="12">
        <v>3416.04931640625</v>
      </c>
      <c r="M87" s="12">
        <v>3202.49609375</v>
      </c>
      <c r="N87" s="12">
        <v>3093.252197265625</v>
      </c>
      <c r="O87" s="12">
        <v>2936.4482421875</v>
      </c>
      <c r="P87" s="12">
        <v>5488.87060546875</v>
      </c>
      <c r="Q87" s="12">
        <v>2486.72802734375</v>
      </c>
      <c r="R87" s="12">
        <v>3778.260986328125</v>
      </c>
      <c r="S87" s="12">
        <v>3177.237548828125</v>
      </c>
      <c r="T87" s="12">
        <v>1924.34423828125</v>
      </c>
      <c r="U87" s="12">
        <v>2926.14501953125</v>
      </c>
      <c r="V87" s="12">
        <v>1170.052734375</v>
      </c>
      <c r="W87" s="12">
        <v>5264.30517578125</v>
      </c>
      <c r="X87" s="12">
        <v>2291.017578125</v>
      </c>
      <c r="Y87" s="12">
        <v>6927.73828125</v>
      </c>
      <c r="Z87" s="12">
        <v>5052.65869140625</v>
      </c>
      <c r="AA87" s="12">
        <v>953.60345458984375</v>
      </c>
      <c r="AB87" s="12">
        <v>1615.4666748046875</v>
      </c>
      <c r="AC87" s="12">
        <v>757.97991943359375</v>
      </c>
      <c r="AD87" s="12">
        <v>1914.423828125</v>
      </c>
      <c r="AE87" s="12">
        <v>1489.3819580078125</v>
      </c>
      <c r="AF87" s="12">
        <v>931.19183349609375</v>
      </c>
      <c r="AG87" s="12">
        <v>614.496826171875</v>
      </c>
      <c r="AH87" s="12">
        <v>536.9603271484375</v>
      </c>
      <c r="AI87" s="12">
        <v>1794.197509765625</v>
      </c>
      <c r="AJ87" s="12">
        <v>1372.53515625</v>
      </c>
      <c r="AK87" s="12">
        <v>726.58349609375</v>
      </c>
      <c r="AL87" s="12">
        <v>736.65911865234375</v>
      </c>
      <c r="AM87" s="12">
        <v>1575.763671875</v>
      </c>
      <c r="AN87" s="12">
        <v>1093.5867919921875</v>
      </c>
      <c r="AO87" s="12">
        <v>1753.9578857421875</v>
      </c>
      <c r="AP87" s="12">
        <v>975.3701171875</v>
      </c>
      <c r="AQ87" s="12">
        <v>654.4923095703125</v>
      </c>
      <c r="AR87" s="12">
        <v>550.05535888671875</v>
      </c>
      <c r="AS87" s="12">
        <v>779.8651123046875</v>
      </c>
      <c r="AT87" s="12">
        <v>718.04437255859375</v>
      </c>
      <c r="AU87" s="12">
        <v>705.62188720703125</v>
      </c>
      <c r="AV87" s="12">
        <v>764.34222412109375</v>
      </c>
      <c r="AW87" s="12">
        <v>419.16653442382812</v>
      </c>
      <c r="AX87" s="12">
        <v>352.54092407226562</v>
      </c>
      <c r="AY87" s="12">
        <v>2729.269287109375</v>
      </c>
      <c r="AZ87" s="12">
        <v>312.54046630859375</v>
      </c>
      <c r="BA87" s="12">
        <v>787.6077880859375</v>
      </c>
      <c r="BB87" s="12">
        <v>640.1209716796875</v>
      </c>
      <c r="BC87" s="12">
        <v>734.30364990234375</v>
      </c>
      <c r="BD87" s="12">
        <v>805.55010986328125</v>
      </c>
      <c r="BE87" s="12">
        <v>617.3529052734375</v>
      </c>
      <c r="BF87" s="12">
        <v>811.11090087890625</v>
      </c>
      <c r="BG87" s="12">
        <v>1432.3787841796875</v>
      </c>
      <c r="BH87" s="12">
        <v>971.534423828125</v>
      </c>
      <c r="BI87" s="12">
        <v>658.340087890625</v>
      </c>
      <c r="BJ87" s="12">
        <v>684.66314697265625</v>
      </c>
      <c r="BK87" s="12">
        <v>344.36724853515625</v>
      </c>
      <c r="BL87" s="12">
        <v>766.22528076171875</v>
      </c>
      <c r="BM87" s="12">
        <v>916.44921875</v>
      </c>
      <c r="BN87" s="12">
        <v>936.83953857421875</v>
      </c>
      <c r="BO87" s="12">
        <v>665.998046875</v>
      </c>
      <c r="BP87" s="12">
        <v>1305.9287109375</v>
      </c>
      <c r="BQ87" s="12"/>
      <c r="BR87" s="12"/>
    </row>
    <row r="88" spans="2:70" x14ac:dyDescent="0.2">
      <c r="B88">
        <v>1883</v>
      </c>
      <c r="C88" s="12">
        <v>1443.765625</v>
      </c>
      <c r="D88" s="12">
        <v>2621.65185546875</v>
      </c>
      <c r="E88" s="12">
        <v>4819.02392578125</v>
      </c>
      <c r="F88" s="12">
        <v>1062.5982666015625</v>
      </c>
      <c r="G88" s="12">
        <v>1138.354248046875</v>
      </c>
      <c r="H88" s="12">
        <v>685.62347412109375</v>
      </c>
      <c r="I88" s="12">
        <v>646.14984130859375</v>
      </c>
      <c r="J88" s="12">
        <v>752.82843017578125</v>
      </c>
      <c r="K88" s="12">
        <v>700.7452392578125</v>
      </c>
      <c r="L88" s="12">
        <v>3524.05908203125</v>
      </c>
      <c r="M88" s="12">
        <v>3424.119873046875</v>
      </c>
      <c r="N88" s="12">
        <v>3246.614501953125</v>
      </c>
      <c r="O88" s="12">
        <v>2787.82958984375</v>
      </c>
      <c r="P88" s="12">
        <v>5433.2060546875</v>
      </c>
      <c r="Q88" s="12">
        <v>2453.375732421875</v>
      </c>
      <c r="R88" s="12">
        <v>3945.9033203125</v>
      </c>
      <c r="S88" s="12">
        <v>3113.396728515625</v>
      </c>
      <c r="T88" s="12">
        <v>1943.845458984375</v>
      </c>
      <c r="U88" s="12">
        <v>2919.0966796875</v>
      </c>
      <c r="V88" s="12">
        <v>1168.0596923828125</v>
      </c>
      <c r="W88" s="12">
        <v>5319.72802734375</v>
      </c>
      <c r="X88" s="12">
        <v>2219.245361328125</v>
      </c>
      <c r="Y88" s="12">
        <v>6429.529296875</v>
      </c>
      <c r="Z88" s="12">
        <v>4840.67333984375</v>
      </c>
      <c r="AA88" s="12">
        <v>959.6552734375</v>
      </c>
      <c r="AB88" s="12">
        <v>1738.4930419921875</v>
      </c>
      <c r="AC88" s="12">
        <v>921.49542236328125</v>
      </c>
      <c r="AD88" s="12">
        <v>1956.180908203125</v>
      </c>
      <c r="AE88" s="12">
        <v>1488.2998046875</v>
      </c>
      <c r="AF88" s="12">
        <v>944.4130859375</v>
      </c>
      <c r="AG88" s="12">
        <v>662.74847412109375</v>
      </c>
      <c r="AH88" s="12">
        <v>538.38812255859375</v>
      </c>
      <c r="AI88" s="12">
        <v>1826.4786376953125</v>
      </c>
      <c r="AJ88" s="12">
        <v>1393.5626220703125</v>
      </c>
      <c r="AK88" s="12">
        <v>734.953125</v>
      </c>
      <c r="AL88" s="12">
        <v>740.35284423828125</v>
      </c>
      <c r="AM88" s="12">
        <v>1587.319580078125</v>
      </c>
      <c r="AN88" s="12">
        <v>1105.5233154296875</v>
      </c>
      <c r="AO88" s="12">
        <v>1776.764404296875</v>
      </c>
      <c r="AP88" s="12">
        <v>977.0516357421875</v>
      </c>
      <c r="AQ88" s="12">
        <v>653.8984375</v>
      </c>
      <c r="AR88" s="12">
        <v>551.0054931640625</v>
      </c>
      <c r="AS88" s="12">
        <v>781.28436279296875</v>
      </c>
      <c r="AT88" s="12">
        <v>719.35150146484375</v>
      </c>
      <c r="AU88" s="12">
        <v>706.9063720703125</v>
      </c>
      <c r="AV88" s="12">
        <v>768.277587890625</v>
      </c>
      <c r="AW88" s="12">
        <v>419.92938232421875</v>
      </c>
      <c r="AX88" s="12">
        <v>353.18270874023438</v>
      </c>
      <c r="AY88" s="12">
        <v>2095.8974609375</v>
      </c>
      <c r="AZ88" s="12">
        <v>296.99972534179688</v>
      </c>
      <c r="BA88" s="12">
        <v>829.14178466796875</v>
      </c>
      <c r="BB88" s="12">
        <v>673.87713623046875</v>
      </c>
      <c r="BC88" s="12">
        <v>732.7091064453125</v>
      </c>
      <c r="BD88" s="12">
        <v>873.87774658203125</v>
      </c>
      <c r="BE88" s="12">
        <v>621.92803955078125</v>
      </c>
      <c r="BF88" s="12">
        <v>814.22265625</v>
      </c>
      <c r="BG88" s="12">
        <v>1442.7408447265625</v>
      </c>
      <c r="BH88" s="12">
        <v>977.97125244140625</v>
      </c>
      <c r="BI88" s="12">
        <v>659.64208984375</v>
      </c>
      <c r="BJ88" s="12">
        <v>669.359375</v>
      </c>
      <c r="BK88" s="12">
        <v>347.99154663085938</v>
      </c>
      <c r="BL88" s="12">
        <v>771.3018798828125</v>
      </c>
      <c r="BM88" s="12">
        <v>918.5296630859375</v>
      </c>
      <c r="BN88" s="12">
        <v>948.638671875</v>
      </c>
      <c r="BO88" s="12">
        <v>671.6248779296875</v>
      </c>
      <c r="BP88" s="12">
        <v>1307.0084228515625</v>
      </c>
      <c r="BQ88" s="12"/>
      <c r="BR88" s="12"/>
    </row>
    <row r="89" spans="2:70" x14ac:dyDescent="0.2">
      <c r="B89">
        <v>1884</v>
      </c>
      <c r="C89" s="12">
        <v>1440.0421142578125</v>
      </c>
      <c r="D89" s="12">
        <v>2620.061279296875</v>
      </c>
      <c r="E89" s="12">
        <v>4709.40966796875</v>
      </c>
      <c r="F89" s="12">
        <v>1027.2410888671875</v>
      </c>
      <c r="G89" s="12">
        <v>1150.6326904296875</v>
      </c>
      <c r="H89" s="12">
        <v>674.20050048828125</v>
      </c>
      <c r="I89" s="12">
        <v>639.44488525390625</v>
      </c>
      <c r="J89" s="12">
        <v>757.89166259765625</v>
      </c>
      <c r="K89" s="12">
        <v>707.8271484375</v>
      </c>
      <c r="L89" s="12">
        <v>3704.229736328125</v>
      </c>
      <c r="M89" s="12">
        <v>3333.45458984375</v>
      </c>
      <c r="N89" s="12">
        <v>3407.05810546875</v>
      </c>
      <c r="O89" s="12">
        <v>2701.931396484375</v>
      </c>
      <c r="P89" s="12">
        <v>5324.85546875</v>
      </c>
      <c r="Q89" s="12">
        <v>2401.65234375</v>
      </c>
      <c r="R89" s="12">
        <v>4067.992431640625</v>
      </c>
      <c r="S89" s="12">
        <v>3098.224853515625</v>
      </c>
      <c r="T89" s="12">
        <v>2006.4112548828125</v>
      </c>
      <c r="U89" s="12">
        <v>2916.015869140625</v>
      </c>
      <c r="V89" s="12">
        <v>1167.0628662109375</v>
      </c>
      <c r="W89" s="12">
        <v>5168.01171875</v>
      </c>
      <c r="X89" s="12">
        <v>2390.770751953125</v>
      </c>
      <c r="Y89" s="12">
        <v>6371.998046875</v>
      </c>
      <c r="Z89" s="12">
        <v>5114.759765625</v>
      </c>
      <c r="AA89" s="12">
        <v>938.73431396484375</v>
      </c>
      <c r="AB89" s="12">
        <v>1775.7723388671875</v>
      </c>
      <c r="AC89" s="12">
        <v>774.208251953125</v>
      </c>
      <c r="AD89" s="12">
        <v>1871.739501953125</v>
      </c>
      <c r="AE89" s="12">
        <v>1514.2705078125</v>
      </c>
      <c r="AF89" s="12">
        <v>974.4189453125</v>
      </c>
      <c r="AG89" s="12">
        <v>640.8536376953125</v>
      </c>
      <c r="AH89" s="12">
        <v>539.661865234375</v>
      </c>
      <c r="AI89" s="12">
        <v>1856.759033203125</v>
      </c>
      <c r="AJ89" s="12">
        <v>1408.5953369140625</v>
      </c>
      <c r="AK89" s="12">
        <v>743.013427734375</v>
      </c>
      <c r="AL89" s="12">
        <v>743.65924072265625</v>
      </c>
      <c r="AM89" s="12">
        <v>1598.4935302734375</v>
      </c>
      <c r="AN89" s="12">
        <v>1117.2628173828125</v>
      </c>
      <c r="AO89" s="12">
        <v>1795.2884521484375</v>
      </c>
      <c r="AP89" s="12">
        <v>978.4549560546875</v>
      </c>
      <c r="AQ89" s="12">
        <v>653.11376953125</v>
      </c>
      <c r="AR89" s="12">
        <v>551.79608154296875</v>
      </c>
      <c r="AS89" s="12">
        <v>782.27984619140625</v>
      </c>
      <c r="AT89" s="12">
        <v>720.26751708984375</v>
      </c>
      <c r="AU89" s="12">
        <v>707.806640625</v>
      </c>
      <c r="AV89" s="12">
        <v>771.811767578125</v>
      </c>
      <c r="AW89" s="12">
        <v>420.46438598632812</v>
      </c>
      <c r="AX89" s="12">
        <v>353.63247680664062</v>
      </c>
      <c r="AY89" s="12">
        <v>1897.0458984375</v>
      </c>
      <c r="AZ89" s="12">
        <v>292.36135864257812</v>
      </c>
      <c r="BA89" s="12">
        <v>820.5390625</v>
      </c>
      <c r="BB89" s="12">
        <v>666.8856201171875</v>
      </c>
      <c r="BC89" s="12">
        <v>730.81829833984375</v>
      </c>
      <c r="BD89" s="12">
        <v>925.8812255859375</v>
      </c>
      <c r="BE89" s="12">
        <v>626.35333251953125</v>
      </c>
      <c r="BF89" s="12">
        <v>824.02203369140625</v>
      </c>
      <c r="BG89" s="12">
        <v>1449.5228271484375</v>
      </c>
      <c r="BH89" s="12">
        <v>982.21917724609375</v>
      </c>
      <c r="BI89" s="12">
        <v>659.83837890625</v>
      </c>
      <c r="BJ89" s="12">
        <v>717.83782958984375</v>
      </c>
      <c r="BK89" s="12">
        <v>350.8565673828125</v>
      </c>
      <c r="BL89" s="12">
        <v>774.6522216796875</v>
      </c>
      <c r="BM89" s="12">
        <v>911.97808837890625</v>
      </c>
      <c r="BN89" s="12">
        <v>951.90576171875</v>
      </c>
      <c r="BO89" s="12">
        <v>676.7415771484375</v>
      </c>
      <c r="BP89" s="12">
        <v>1319.429443359375</v>
      </c>
      <c r="BQ89" s="12"/>
      <c r="BR89" s="12"/>
    </row>
    <row r="90" spans="2:70" x14ac:dyDescent="0.2">
      <c r="B90">
        <v>1885</v>
      </c>
      <c r="C90" s="12">
        <v>1446.5294189453125</v>
      </c>
      <c r="D90" s="12">
        <v>2647.873046875</v>
      </c>
      <c r="E90" s="12">
        <v>4620.12353515625</v>
      </c>
      <c r="F90" s="12">
        <v>1102.4114990234375</v>
      </c>
      <c r="G90" s="12">
        <v>1162.873046875</v>
      </c>
      <c r="H90" s="12">
        <v>651.51593017578125</v>
      </c>
      <c r="I90" s="12">
        <v>576.3636474609375</v>
      </c>
      <c r="J90" s="12">
        <v>767.4901123046875</v>
      </c>
      <c r="K90" s="12">
        <v>719.6151123046875</v>
      </c>
      <c r="L90" s="12">
        <v>3801.183349609375</v>
      </c>
      <c r="M90" s="12">
        <v>3319.326904296875</v>
      </c>
      <c r="N90" s="12">
        <v>3392.884521484375</v>
      </c>
      <c r="O90" s="12">
        <v>2714.726806640625</v>
      </c>
      <c r="P90" s="12">
        <v>5337.65625</v>
      </c>
      <c r="Q90" s="12">
        <v>2494.932861328125</v>
      </c>
      <c r="R90" s="12">
        <v>4140.8662109375</v>
      </c>
      <c r="S90" s="12">
        <v>3021.103515625</v>
      </c>
      <c r="T90" s="12">
        <v>2024.7677001953125</v>
      </c>
      <c r="U90" s="12">
        <v>2950.60009765625</v>
      </c>
      <c r="V90" s="12">
        <v>1181.099365234375</v>
      </c>
      <c r="W90" s="12">
        <v>5069.52197265625</v>
      </c>
      <c r="X90" s="12">
        <v>2236.87939453125</v>
      </c>
      <c r="Y90" s="12">
        <v>6322.1943359375</v>
      </c>
      <c r="Z90" s="12">
        <v>4939.65673828125</v>
      </c>
      <c r="AA90" s="12">
        <v>920.54986572265625</v>
      </c>
      <c r="AB90" s="12">
        <v>2175.5498046875</v>
      </c>
      <c r="AC90" s="12">
        <v>834.820556640625</v>
      </c>
      <c r="AD90" s="12">
        <v>1778.10107421875</v>
      </c>
      <c r="AE90" s="12">
        <v>1545.695556640625</v>
      </c>
      <c r="AF90" s="12">
        <v>1006.79052734375</v>
      </c>
      <c r="AG90" s="12">
        <v>683.25665283203125</v>
      </c>
      <c r="AH90" s="12">
        <v>540.9244384765625</v>
      </c>
      <c r="AI90" s="12">
        <v>1887.3348388671875</v>
      </c>
      <c r="AJ90" s="12">
        <v>1423.283447265625</v>
      </c>
      <c r="AK90" s="12">
        <v>751.1298828125</v>
      </c>
      <c r="AL90" s="12">
        <v>746.94830322265625</v>
      </c>
      <c r="AM90" s="12">
        <v>1609.70361328125</v>
      </c>
      <c r="AN90" s="12">
        <v>1129.0966796875</v>
      </c>
      <c r="AO90" s="12">
        <v>1813.6771240234375</v>
      </c>
      <c r="AP90" s="12">
        <v>979.8321533203125</v>
      </c>
      <c r="AQ90" s="12">
        <v>652.313232421875</v>
      </c>
      <c r="AR90" s="12">
        <v>552.57330322265625</v>
      </c>
      <c r="AS90" s="12">
        <v>783.2425537109375</v>
      </c>
      <c r="AT90" s="12">
        <v>721.154052734375</v>
      </c>
      <c r="AU90" s="12">
        <v>708.677734375</v>
      </c>
      <c r="AV90" s="12">
        <v>750.4857177734375</v>
      </c>
      <c r="AW90" s="12">
        <v>420.98184204101562</v>
      </c>
      <c r="AX90" s="12">
        <v>354.06732177734375</v>
      </c>
      <c r="AY90" s="12">
        <v>1600.5751953125</v>
      </c>
      <c r="AZ90" s="12">
        <v>282.41342163085938</v>
      </c>
      <c r="BA90" s="12">
        <v>739.5943603515625</v>
      </c>
      <c r="BB90" s="12">
        <v>601.0985107421875</v>
      </c>
      <c r="BC90" s="12">
        <v>728.9095458984375</v>
      </c>
      <c r="BD90" s="12">
        <v>1016.24267578125</v>
      </c>
      <c r="BE90" s="12">
        <v>630.794189453125</v>
      </c>
      <c r="BF90" s="12">
        <v>826.259521484375</v>
      </c>
      <c r="BG90" s="12">
        <v>1463.4075927734375</v>
      </c>
      <c r="BH90" s="12">
        <v>986.30914306640625</v>
      </c>
      <c r="BI90" s="12">
        <v>677.9185791015625</v>
      </c>
      <c r="BJ90" s="12">
        <v>715.43475341796875</v>
      </c>
      <c r="BK90" s="12">
        <v>353.68194580078125</v>
      </c>
      <c r="BL90" s="12">
        <v>777.8778076171875</v>
      </c>
      <c r="BM90" s="12">
        <v>911.63201904296875</v>
      </c>
      <c r="BN90" s="12">
        <v>961.65765380859375</v>
      </c>
      <c r="BO90" s="12">
        <v>677.0330810546875</v>
      </c>
      <c r="BP90" s="12">
        <v>1352.1219482421875</v>
      </c>
      <c r="BQ90" s="12"/>
      <c r="BR90" s="12"/>
    </row>
    <row r="91" spans="2:70" x14ac:dyDescent="0.2">
      <c r="B91">
        <v>1886</v>
      </c>
      <c r="C91" s="12">
        <v>1473.1097412109375</v>
      </c>
      <c r="D91" s="12">
        <v>2688.17822265625</v>
      </c>
      <c r="E91" s="12">
        <v>4733.005859375</v>
      </c>
      <c r="F91" s="12">
        <v>1136.468505859375</v>
      </c>
      <c r="G91" s="12">
        <v>1176.5452880859375</v>
      </c>
      <c r="H91" s="12">
        <v>672.45477294921875</v>
      </c>
      <c r="I91" s="12">
        <v>576.681640625</v>
      </c>
      <c r="J91" s="12">
        <v>780.17828369140625</v>
      </c>
      <c r="K91" s="12">
        <v>704.61859130859375</v>
      </c>
      <c r="L91" s="12">
        <v>3840.134033203125</v>
      </c>
      <c r="M91" s="12">
        <v>3462.74267578125</v>
      </c>
      <c r="N91" s="12">
        <v>3481.627197265625</v>
      </c>
      <c r="O91" s="12">
        <v>2695.53857421875</v>
      </c>
      <c r="P91" s="12">
        <v>5420.7060546875</v>
      </c>
      <c r="Q91" s="12">
        <v>2625.506103515625</v>
      </c>
      <c r="R91" s="12">
        <v>4219.13671875</v>
      </c>
      <c r="S91" s="12">
        <v>3071.988037109375</v>
      </c>
      <c r="T91" s="12">
        <v>1978.474609375</v>
      </c>
      <c r="U91" s="12">
        <v>2998.752685546875</v>
      </c>
      <c r="V91" s="12">
        <v>1200.9720458984375</v>
      </c>
      <c r="W91" s="12">
        <v>5200.4384765625</v>
      </c>
      <c r="X91" s="12">
        <v>2255.827392578125</v>
      </c>
      <c r="Y91" s="12">
        <v>6270.7490234375</v>
      </c>
      <c r="Z91" s="12">
        <v>4953.04638671875</v>
      </c>
      <c r="AA91" s="12">
        <v>943.42340087890625</v>
      </c>
      <c r="AB91" s="12">
        <v>2113.591064453125</v>
      </c>
      <c r="AC91" s="12">
        <v>912.7972412109375</v>
      </c>
      <c r="AD91" s="12">
        <v>1862.3692626953125</v>
      </c>
      <c r="AE91" s="12">
        <v>1537.052978515625</v>
      </c>
      <c r="AF91" s="12">
        <v>1023.6192626953125</v>
      </c>
      <c r="AG91" s="12">
        <v>705.206787109375</v>
      </c>
      <c r="AH91" s="12">
        <v>542.294677734375</v>
      </c>
      <c r="AI91" s="12">
        <v>1920.1666259765625</v>
      </c>
      <c r="AJ91" s="12">
        <v>1442.37451171875</v>
      </c>
      <c r="AK91" s="12">
        <v>759.6064453125</v>
      </c>
      <c r="AL91" s="12">
        <v>750.51971435546875</v>
      </c>
      <c r="AM91" s="12">
        <v>1621.30517578125</v>
      </c>
      <c r="AN91" s="12">
        <v>1141.2786865234375</v>
      </c>
      <c r="AO91" s="12">
        <v>1835.395263671875</v>
      </c>
      <c r="AP91" s="12">
        <v>981.40106201171875</v>
      </c>
      <c r="AQ91" s="12">
        <v>651.63958740234375</v>
      </c>
      <c r="AR91" s="12">
        <v>553.45831298828125</v>
      </c>
      <c r="AS91" s="12">
        <v>784.486328125</v>
      </c>
      <c r="AT91" s="12">
        <v>722.29949951171875</v>
      </c>
      <c r="AU91" s="12">
        <v>709.803466796875</v>
      </c>
      <c r="AV91" s="12">
        <v>755.60369873046875</v>
      </c>
      <c r="AW91" s="12">
        <v>421.65036010742188</v>
      </c>
      <c r="AX91" s="12">
        <v>354.630126953125</v>
      </c>
      <c r="AY91" s="12">
        <v>1888.7923583984375</v>
      </c>
      <c r="AZ91" s="12">
        <v>291.16329956054688</v>
      </c>
      <c r="BA91" s="12">
        <v>740.004150390625</v>
      </c>
      <c r="BB91" s="12">
        <v>601.43133544921875</v>
      </c>
      <c r="BC91" s="12">
        <v>727.20166015625</v>
      </c>
      <c r="BD91" s="12">
        <v>1134.446533203125</v>
      </c>
      <c r="BE91" s="12">
        <v>635.390625</v>
      </c>
      <c r="BF91" s="12">
        <v>829.18829345703125</v>
      </c>
      <c r="BG91" s="12">
        <v>1482.8387451171875</v>
      </c>
      <c r="BH91" s="12">
        <v>999.1650390625</v>
      </c>
      <c r="BI91" s="12">
        <v>654.736083984375</v>
      </c>
      <c r="BJ91" s="12">
        <v>702.433349609375</v>
      </c>
      <c r="BK91" s="12">
        <v>359.6798095703125</v>
      </c>
      <c r="BL91" s="12">
        <v>788.0169677734375</v>
      </c>
      <c r="BM91" s="12">
        <v>912.829833984375</v>
      </c>
      <c r="BN91" s="12">
        <v>972.96148681640625</v>
      </c>
      <c r="BO91" s="12">
        <v>677.65673828125</v>
      </c>
      <c r="BP91" s="12">
        <v>1323.5758056640625</v>
      </c>
      <c r="BQ91" s="12"/>
      <c r="BR91" s="12"/>
    </row>
    <row r="92" spans="2:70" x14ac:dyDescent="0.2">
      <c r="B92">
        <v>1887</v>
      </c>
      <c r="C92" s="12">
        <v>1507.60986328125</v>
      </c>
      <c r="D92" s="12">
        <v>2715.769287109375</v>
      </c>
      <c r="E92" s="12">
        <v>4988.50732421875</v>
      </c>
      <c r="F92" s="12">
        <v>1068.4400634765625</v>
      </c>
      <c r="G92" s="12">
        <v>1190.55029296875</v>
      </c>
      <c r="H92" s="12">
        <v>682.2113037109375</v>
      </c>
      <c r="I92" s="12">
        <v>697.22216796875</v>
      </c>
      <c r="J92" s="12">
        <v>770.17041015625</v>
      </c>
      <c r="K92" s="12">
        <v>722.90728759765625</v>
      </c>
      <c r="L92" s="12">
        <v>3908.78662109375</v>
      </c>
      <c r="M92" s="12">
        <v>3435.717529296875</v>
      </c>
      <c r="N92" s="12">
        <v>3292.1494140625</v>
      </c>
      <c r="O92" s="12">
        <v>2755.1103515625</v>
      </c>
      <c r="P92" s="12">
        <v>5626.81103515625</v>
      </c>
      <c r="Q92" s="12">
        <v>2518.972900390625</v>
      </c>
      <c r="R92" s="12">
        <v>4224.65185546875</v>
      </c>
      <c r="S92" s="12">
        <v>3088.70361328125</v>
      </c>
      <c r="T92" s="12">
        <v>1936.46826171875</v>
      </c>
      <c r="U92" s="12">
        <v>3018.734619140625</v>
      </c>
      <c r="V92" s="12">
        <v>1209.6409912109375</v>
      </c>
      <c r="W92" s="12">
        <v>5488.7734375</v>
      </c>
      <c r="X92" s="12">
        <v>2293.39111328125</v>
      </c>
      <c r="Y92" s="12">
        <v>6515.91796875</v>
      </c>
      <c r="Z92" s="12">
        <v>4949.55810546875</v>
      </c>
      <c r="AA92" s="12">
        <v>994.468505859375</v>
      </c>
      <c r="AB92" s="12">
        <v>1747.1646728515625</v>
      </c>
      <c r="AC92" s="12">
        <v>792.45941162109375</v>
      </c>
      <c r="AD92" s="12">
        <v>1950.2840576171875</v>
      </c>
      <c r="AE92" s="12">
        <v>1534.83349609375</v>
      </c>
      <c r="AF92" s="12">
        <v>1044.6009521484375</v>
      </c>
      <c r="AG92" s="12">
        <v>665.227783203125</v>
      </c>
      <c r="AH92" s="12">
        <v>543.68646240234375</v>
      </c>
      <c r="AI92" s="12">
        <v>1953.8702392578125</v>
      </c>
      <c r="AJ92" s="12">
        <v>1462.4512939453125</v>
      </c>
      <c r="AK92" s="12">
        <v>768.223876953125</v>
      </c>
      <c r="AL92" s="12">
        <v>754.15301513671875</v>
      </c>
      <c r="AM92" s="12">
        <v>1633.045166015625</v>
      </c>
      <c r="AN92" s="12">
        <v>1153.6278076171875</v>
      </c>
      <c r="AO92" s="12">
        <v>1857.8900146484375</v>
      </c>
      <c r="AP92" s="12">
        <v>983.00848388671875</v>
      </c>
      <c r="AQ92" s="12">
        <v>650.98809814453125</v>
      </c>
      <c r="AR92" s="12">
        <v>554.36346435546875</v>
      </c>
      <c r="AS92" s="12">
        <v>785.779052734375</v>
      </c>
      <c r="AT92" s="12">
        <v>723.489501953125</v>
      </c>
      <c r="AU92" s="12">
        <v>710.9727783203125</v>
      </c>
      <c r="AV92" s="12">
        <v>707.678955078125</v>
      </c>
      <c r="AW92" s="12">
        <v>422.34518432617188</v>
      </c>
      <c r="AX92" s="12">
        <v>355.21401977539062</v>
      </c>
      <c r="AY92" s="12">
        <v>2151.3623046875</v>
      </c>
      <c r="AZ92" s="12">
        <v>293.75552368164062</v>
      </c>
      <c r="BA92" s="12">
        <v>894.68463134765625</v>
      </c>
      <c r="BB92" s="12">
        <v>727.14654541015625</v>
      </c>
      <c r="BC92" s="12">
        <v>725.5308837890625</v>
      </c>
      <c r="BD92" s="12">
        <v>1061.6463623046875</v>
      </c>
      <c r="BE92" s="12">
        <v>640.04296875</v>
      </c>
      <c r="BF92" s="12">
        <v>832.2481689453125</v>
      </c>
      <c r="BG92" s="12">
        <v>1466.7230224609375</v>
      </c>
      <c r="BH92" s="12">
        <v>1005.0447998046875</v>
      </c>
      <c r="BI92" s="12">
        <v>682.61529541015625</v>
      </c>
      <c r="BJ92" s="12">
        <v>702.6173095703125</v>
      </c>
      <c r="BK92" s="12">
        <v>363.19744873046875</v>
      </c>
      <c r="BL92" s="12">
        <v>792.6541748046875</v>
      </c>
      <c r="BM92" s="12">
        <v>907.572265625</v>
      </c>
      <c r="BN92" s="12">
        <v>984.64617919921875</v>
      </c>
      <c r="BO92" s="12">
        <v>683.24908447265625</v>
      </c>
      <c r="BP92" s="12">
        <v>1359.8885498046875</v>
      </c>
      <c r="BQ92" s="12"/>
      <c r="BR92" s="12"/>
    </row>
    <row r="93" spans="2:70" x14ac:dyDescent="0.2">
      <c r="B93">
        <v>1888</v>
      </c>
      <c r="C93" s="12">
        <v>1545.528564453125</v>
      </c>
      <c r="D93" s="12">
        <v>2812.663330078125</v>
      </c>
      <c r="E93" s="12">
        <v>5071.81396484375</v>
      </c>
      <c r="F93" s="12">
        <v>1067.6168212890625</v>
      </c>
      <c r="G93" s="12">
        <v>1202.4818115234375</v>
      </c>
      <c r="H93" s="12">
        <v>700.796875</v>
      </c>
      <c r="I93" s="12">
        <v>676.6368408203125</v>
      </c>
      <c r="J93" s="12">
        <v>779.42498779296875</v>
      </c>
      <c r="K93" s="12">
        <v>724.021484375</v>
      </c>
      <c r="L93" s="12">
        <v>4075.615234375</v>
      </c>
      <c r="M93" s="12">
        <v>3543.66064453125</v>
      </c>
      <c r="N93" s="12">
        <v>3375.545654296875</v>
      </c>
      <c r="O93" s="12">
        <v>2978.796875</v>
      </c>
      <c r="P93" s="12">
        <v>5815.029296875</v>
      </c>
      <c r="Q93" s="12">
        <v>2454.573974609375</v>
      </c>
      <c r="R93" s="12">
        <v>4294.18017578125</v>
      </c>
      <c r="S93" s="12">
        <v>3287.626953125</v>
      </c>
      <c r="T93" s="12">
        <v>2004.6866455078125</v>
      </c>
      <c r="U93" s="12">
        <v>3122.130126953125</v>
      </c>
      <c r="V93" s="12">
        <v>1251.08154296875</v>
      </c>
      <c r="W93" s="12">
        <v>5550.5146484375</v>
      </c>
      <c r="X93" s="12">
        <v>2438.802490234375</v>
      </c>
      <c r="Y93" s="12">
        <v>6999.70703125</v>
      </c>
      <c r="Z93" s="12">
        <v>4862.26708984375</v>
      </c>
      <c r="AA93" s="12">
        <v>1011.5150146484375</v>
      </c>
      <c r="AB93" s="12">
        <v>1808.4339599609375</v>
      </c>
      <c r="AC93" s="12">
        <v>780.1514892578125</v>
      </c>
      <c r="AD93" s="12">
        <v>1820.5565185546875</v>
      </c>
      <c r="AE93" s="12">
        <v>1526.25390625</v>
      </c>
      <c r="AF93" s="12">
        <v>1060.0611572265625</v>
      </c>
      <c r="AG93" s="12">
        <v>659.9473876953125</v>
      </c>
      <c r="AH93" s="12">
        <v>544.89898681640625</v>
      </c>
      <c r="AI93" s="12">
        <v>1985.120361328125</v>
      </c>
      <c r="AJ93" s="12">
        <v>1475.478271484375</v>
      </c>
      <c r="AK93" s="12">
        <v>776.47247314453125</v>
      </c>
      <c r="AL93" s="12">
        <v>757.3489990234375</v>
      </c>
      <c r="AM93" s="12">
        <v>1644.3177490234375</v>
      </c>
      <c r="AN93" s="12">
        <v>1165.721435546875</v>
      </c>
      <c r="AO93" s="12">
        <v>1875.2705078125</v>
      </c>
      <c r="AP93" s="12">
        <v>984.2861328125</v>
      </c>
      <c r="AQ93" s="12">
        <v>650.2884521484375</v>
      </c>
      <c r="AR93" s="12">
        <v>555.08349609375</v>
      </c>
      <c r="AS93" s="12">
        <v>786.60107421875</v>
      </c>
      <c r="AT93" s="12">
        <v>724.24627685546875</v>
      </c>
      <c r="AU93" s="12">
        <v>711.716552734375</v>
      </c>
      <c r="AV93" s="12">
        <v>706.5556640625</v>
      </c>
      <c r="AW93" s="12">
        <v>422.7869873046875</v>
      </c>
      <c r="AX93" s="12">
        <v>355.58590698242188</v>
      </c>
      <c r="AY93" s="12">
        <v>2424.479248046875</v>
      </c>
      <c r="AZ93" s="12">
        <v>301.15972900390625</v>
      </c>
      <c r="BA93" s="12">
        <v>868.2689208984375</v>
      </c>
      <c r="BB93" s="12">
        <v>705.6776123046875</v>
      </c>
      <c r="BC93" s="12">
        <v>738.5787353515625</v>
      </c>
      <c r="BD93" s="12">
        <v>1043.9537353515625</v>
      </c>
      <c r="BE93" s="12">
        <v>644.51239013671875</v>
      </c>
      <c r="BF93" s="12">
        <v>834.19586181640625</v>
      </c>
      <c r="BG93" s="12">
        <v>1485.7435302734375</v>
      </c>
      <c r="BH93" s="12">
        <v>1008.7607421875</v>
      </c>
      <c r="BI93" s="12">
        <v>685.24530029296875</v>
      </c>
      <c r="BJ93" s="12">
        <v>693.6685791015625</v>
      </c>
      <c r="BK93" s="12">
        <v>365.9521484375</v>
      </c>
      <c r="BL93" s="12">
        <v>795.58489990234375</v>
      </c>
      <c r="BM93" s="12">
        <v>906.17022705078125</v>
      </c>
      <c r="BN93" s="12">
        <v>993.97760009765625</v>
      </c>
      <c r="BO93" s="12">
        <v>687.83282470703125</v>
      </c>
      <c r="BP93" s="12">
        <v>1362.7235107421875</v>
      </c>
      <c r="BQ93" s="12"/>
      <c r="BR93" s="12"/>
    </row>
    <row r="94" spans="2:70" x14ac:dyDescent="0.2">
      <c r="B94">
        <v>1889</v>
      </c>
      <c r="C94" s="12">
        <v>1545.922119140625</v>
      </c>
      <c r="D94" s="12">
        <v>2846.864990234375</v>
      </c>
      <c r="E94" s="12">
        <v>4953.08203125</v>
      </c>
      <c r="F94" s="12">
        <v>1133.54638671875</v>
      </c>
      <c r="G94" s="12">
        <v>1212.314697265625</v>
      </c>
      <c r="H94" s="12">
        <v>704.93048095703125</v>
      </c>
      <c r="I94" s="12">
        <v>538.701171875</v>
      </c>
      <c r="J94" s="12">
        <v>791.82354736328125</v>
      </c>
      <c r="K94" s="12">
        <v>709.2064208984375</v>
      </c>
      <c r="L94" s="12">
        <v>4171.85009765625</v>
      </c>
      <c r="M94" s="12">
        <v>3615.206298828125</v>
      </c>
      <c r="N94" s="12">
        <v>3059.14111328125</v>
      </c>
      <c r="O94" s="12">
        <v>2976.84716796875</v>
      </c>
      <c r="P94" s="12">
        <v>6012.42724609375</v>
      </c>
      <c r="Q94" s="12">
        <v>2509.5185546875</v>
      </c>
      <c r="R94" s="12">
        <v>4270.205078125</v>
      </c>
      <c r="S94" s="12">
        <v>3492.90380859375</v>
      </c>
      <c r="T94" s="12">
        <v>2009.812255859375</v>
      </c>
      <c r="U94" s="12">
        <v>3151.063720703125</v>
      </c>
      <c r="V94" s="12">
        <v>1261.9605712890625</v>
      </c>
      <c r="W94" s="12">
        <v>5389.14404296875</v>
      </c>
      <c r="X94" s="12">
        <v>2445.846923828125</v>
      </c>
      <c r="Y94" s="12">
        <v>7241.67138671875</v>
      </c>
      <c r="Z94" s="12">
        <v>5030.9560546875</v>
      </c>
      <c r="AA94" s="12">
        <v>988.29461669921875</v>
      </c>
      <c r="AB94" s="12">
        <v>2372.904052734375</v>
      </c>
      <c r="AC94" s="12">
        <v>757.236083984375</v>
      </c>
      <c r="AD94" s="12">
        <v>1863.1136474609375</v>
      </c>
      <c r="AE94" s="12">
        <v>1495.97998046875</v>
      </c>
      <c r="AF94" s="12">
        <v>1057.0927734375</v>
      </c>
      <c r="AG94" s="12">
        <v>689.39111328125</v>
      </c>
      <c r="AH94" s="12">
        <v>545.9271240234375</v>
      </c>
      <c r="AI94" s="12">
        <v>2013.7259521484375</v>
      </c>
      <c r="AJ94" s="12">
        <v>1481.0601806640625</v>
      </c>
      <c r="AK94" s="12">
        <v>784.33135986328125</v>
      </c>
      <c r="AL94" s="12">
        <v>760.0948486328125</v>
      </c>
      <c r="AM94" s="12">
        <v>1655.1007080078125</v>
      </c>
      <c r="AN94" s="12">
        <v>1177.5382080078125</v>
      </c>
      <c r="AO94" s="12">
        <v>1887.1981201171875</v>
      </c>
      <c r="AP94" s="12">
        <v>985.22412109375</v>
      </c>
      <c r="AQ94" s="12">
        <v>649.366943359375</v>
      </c>
      <c r="AR94" s="12">
        <v>555.61407470703125</v>
      </c>
      <c r="AS94" s="12">
        <v>786.94384765625</v>
      </c>
      <c r="AT94" s="12">
        <v>724.56195068359375</v>
      </c>
      <c r="AU94" s="12">
        <v>712.0267333984375</v>
      </c>
      <c r="AV94" s="12">
        <v>738.78564453125</v>
      </c>
      <c r="AW94" s="12">
        <v>422.97128295898438</v>
      </c>
      <c r="AX94" s="12">
        <v>355.74124145507812</v>
      </c>
      <c r="AY94" s="12">
        <v>2395.36474609375</v>
      </c>
      <c r="AZ94" s="12">
        <v>303.40701293945312</v>
      </c>
      <c r="BA94" s="12">
        <v>691.2666015625</v>
      </c>
      <c r="BB94" s="12">
        <v>561.8206787109375</v>
      </c>
      <c r="BC94" s="12">
        <v>751.5186767578125</v>
      </c>
      <c r="BD94" s="12">
        <v>1050.8228759765625</v>
      </c>
      <c r="BE94" s="12">
        <v>648.79083251953125</v>
      </c>
      <c r="BF94" s="12">
        <v>835.344482421875</v>
      </c>
      <c r="BG94" s="12">
        <v>1509.042724609375</v>
      </c>
      <c r="BH94" s="12">
        <v>1018.492919921875</v>
      </c>
      <c r="BI94" s="12">
        <v>662.03857421875</v>
      </c>
      <c r="BJ94" s="12">
        <v>680.80133056640625</v>
      </c>
      <c r="BK94" s="12">
        <v>370.91366577148438</v>
      </c>
      <c r="BL94" s="12">
        <v>803.2603759765625</v>
      </c>
      <c r="BM94" s="12">
        <v>909.38055419921875</v>
      </c>
      <c r="BN94" s="12">
        <v>1000.833984375</v>
      </c>
      <c r="BO94" s="12">
        <v>685.81427001953125</v>
      </c>
      <c r="BP94" s="12">
        <v>1343.4007568359375</v>
      </c>
      <c r="BQ94" s="12"/>
      <c r="BR94" s="12"/>
    </row>
    <row r="95" spans="2:70" x14ac:dyDescent="0.2">
      <c r="B95">
        <v>1890</v>
      </c>
      <c r="C95" s="12">
        <v>1608.2254638671875</v>
      </c>
      <c r="D95" s="12">
        <v>2867.906005859375</v>
      </c>
      <c r="E95" s="12">
        <v>5375.10546875</v>
      </c>
      <c r="F95" s="12">
        <v>1224.39306640625</v>
      </c>
      <c r="G95" s="12">
        <v>1227.964599609375</v>
      </c>
      <c r="H95" s="12">
        <v>696.3343505859375</v>
      </c>
      <c r="I95" s="12">
        <v>623.76495361328125</v>
      </c>
      <c r="J95" s="12">
        <v>826.515869140625</v>
      </c>
      <c r="K95" s="12">
        <v>725.86566162109375</v>
      </c>
      <c r="L95" s="12">
        <v>4154.67333984375</v>
      </c>
      <c r="M95" s="12">
        <v>3825.064453125</v>
      </c>
      <c r="N95" s="12">
        <v>2955.0224609375</v>
      </c>
      <c r="O95" s="12">
        <v>3062.814208984375</v>
      </c>
      <c r="P95" s="12">
        <v>6074.8408203125</v>
      </c>
      <c r="Q95" s="12">
        <v>2524.817626953125</v>
      </c>
      <c r="R95" s="12">
        <v>4194.24072265625</v>
      </c>
      <c r="S95" s="12">
        <v>3483.015869140625</v>
      </c>
      <c r="T95" s="12">
        <v>2060.171875</v>
      </c>
      <c r="U95" s="12">
        <v>3174.98974609375</v>
      </c>
      <c r="V95" s="12">
        <v>1272.6107177734375</v>
      </c>
      <c r="W95" s="12">
        <v>5879.16845703125</v>
      </c>
      <c r="X95" s="12">
        <v>2586.7294921875</v>
      </c>
      <c r="Y95" s="12">
        <v>7266.7587890625</v>
      </c>
      <c r="Z95" s="12">
        <v>5104.37451171875</v>
      </c>
      <c r="AA95" s="12">
        <v>1072.7098388671875</v>
      </c>
      <c r="AB95" s="12">
        <v>2654.236083984375</v>
      </c>
      <c r="AC95" s="12">
        <v>891.7515869140625</v>
      </c>
      <c r="AD95" s="12">
        <v>2037.8887939453125</v>
      </c>
      <c r="AE95" s="12">
        <v>1318.77880859375</v>
      </c>
      <c r="AF95" s="12">
        <v>1048.1390380859375</v>
      </c>
      <c r="AG95" s="12">
        <v>752.5574951171875</v>
      </c>
      <c r="AH95" s="12">
        <v>547.41314697265625</v>
      </c>
      <c r="AI95" s="12">
        <v>2050.603759765625</v>
      </c>
      <c r="AJ95" s="12">
        <v>1505.3560791015625</v>
      </c>
      <c r="AK95" s="12">
        <v>793.45977783203125</v>
      </c>
      <c r="AL95" s="12">
        <v>763.99603271484375</v>
      </c>
      <c r="AM95" s="12">
        <v>1667.3436279296875</v>
      </c>
      <c r="AN95" s="12">
        <v>1190.4638671875</v>
      </c>
      <c r="AO95" s="12">
        <v>1913.0997314453125</v>
      </c>
      <c r="AP95" s="12">
        <v>986.9886474609375</v>
      </c>
      <c r="AQ95" s="12">
        <v>648.98779296875</v>
      </c>
      <c r="AR95" s="12">
        <v>552.33905029296875</v>
      </c>
      <c r="AS95" s="12">
        <v>788.46905517578125</v>
      </c>
      <c r="AT95" s="12">
        <v>725.96661376953125</v>
      </c>
      <c r="AU95" s="12">
        <v>713.40704345703125</v>
      </c>
      <c r="AV95" s="12">
        <v>704.5128173828125</v>
      </c>
      <c r="AW95" s="12">
        <v>423.791015625</v>
      </c>
      <c r="AX95" s="12">
        <v>356.43017578125</v>
      </c>
      <c r="AY95" s="12">
        <v>2410.46484375</v>
      </c>
      <c r="AZ95" s="12">
        <v>296.30096435546875</v>
      </c>
      <c r="BA95" s="12">
        <v>800.41986083984375</v>
      </c>
      <c r="BB95" s="12">
        <v>650.53369140625</v>
      </c>
      <c r="BC95" s="12">
        <v>765.54705810546875</v>
      </c>
      <c r="BD95" s="12">
        <v>1238.4312744140625</v>
      </c>
      <c r="BE95" s="12">
        <v>653.64508056640625</v>
      </c>
      <c r="BF95" s="12">
        <v>838.7841796875</v>
      </c>
      <c r="BG95" s="12">
        <v>1563.0179443359375</v>
      </c>
      <c r="BH95" s="12">
        <v>1025.380126953125</v>
      </c>
      <c r="BI95" s="12">
        <v>691.7906494140625</v>
      </c>
      <c r="BJ95" s="12">
        <v>656.1712646484375</v>
      </c>
      <c r="BK95" s="12">
        <v>374.86825561523438</v>
      </c>
      <c r="BL95" s="12">
        <v>808.69219970703125</v>
      </c>
      <c r="BM95" s="12">
        <v>919.4923095703125</v>
      </c>
      <c r="BN95" s="12">
        <v>1014.09814453125</v>
      </c>
      <c r="BO95" s="12">
        <v>692.1231689453125</v>
      </c>
      <c r="BP95" s="12">
        <v>1376.8958740234375</v>
      </c>
      <c r="BQ95" s="12"/>
      <c r="BR95" s="12"/>
    </row>
    <row r="96" spans="2:70" x14ac:dyDescent="0.2">
      <c r="B96">
        <v>1891</v>
      </c>
      <c r="C96" s="12">
        <v>1606.0889892578125</v>
      </c>
      <c r="D96" s="12">
        <v>2851.048095703125</v>
      </c>
      <c r="E96" s="12">
        <v>5363.74560546875</v>
      </c>
      <c r="F96" s="12">
        <v>1448.19873046875</v>
      </c>
      <c r="G96" s="12">
        <v>1240.27392578125</v>
      </c>
      <c r="H96" s="12">
        <v>721.5556640625</v>
      </c>
      <c r="I96" s="12">
        <v>546.538330078125</v>
      </c>
      <c r="J96" s="12">
        <v>818.366943359375</v>
      </c>
      <c r="K96" s="12">
        <v>687.6785888671875</v>
      </c>
      <c r="L96" s="12">
        <v>4134.640625</v>
      </c>
      <c r="M96" s="12">
        <v>3622.10791015625</v>
      </c>
      <c r="N96" s="12">
        <v>3233.47705078125</v>
      </c>
      <c r="O96" s="12">
        <v>3115.941162109375</v>
      </c>
      <c r="P96" s="12">
        <v>5833.8134765625</v>
      </c>
      <c r="Q96" s="12">
        <v>2520.078857421875</v>
      </c>
      <c r="R96" s="12">
        <v>4138.56982421875</v>
      </c>
      <c r="S96" s="12">
        <v>3384.35302734375</v>
      </c>
      <c r="T96" s="12">
        <v>2109.0947265625</v>
      </c>
      <c r="U96" s="12">
        <v>3167.51806640625</v>
      </c>
      <c r="V96" s="12">
        <v>1269.818603515625</v>
      </c>
      <c r="W96" s="12">
        <v>5871.27783203125</v>
      </c>
      <c r="X96" s="12">
        <v>2620.8203125</v>
      </c>
      <c r="Y96" s="12">
        <v>7006.3388671875</v>
      </c>
      <c r="Z96" s="12">
        <v>5056.32666015625</v>
      </c>
      <c r="AA96" s="12">
        <v>1070.9219970703125</v>
      </c>
      <c r="AB96" s="12">
        <v>3433.599853515625</v>
      </c>
      <c r="AC96" s="12">
        <v>1236.9888916015625</v>
      </c>
      <c r="AD96" s="12">
        <v>2164.129150390625</v>
      </c>
      <c r="AE96" s="12">
        <v>1221.5494384765625</v>
      </c>
      <c r="AF96" s="12">
        <v>1042.264404296875</v>
      </c>
      <c r="AG96" s="12">
        <v>882.5899658203125</v>
      </c>
      <c r="AH96" s="12">
        <v>548.67901611328125</v>
      </c>
      <c r="AI96" s="12">
        <v>2084.269775390625</v>
      </c>
      <c r="AJ96" s="12">
        <v>1520.79052734375</v>
      </c>
      <c r="AK96" s="12">
        <v>802.10882568359375</v>
      </c>
      <c r="AL96" s="12">
        <v>767.35791015625</v>
      </c>
      <c r="AM96" s="12">
        <v>1678.9915771484375</v>
      </c>
      <c r="AN96" s="12">
        <v>1203.0419921875</v>
      </c>
      <c r="AO96" s="12">
        <v>1931.8502197265625</v>
      </c>
      <c r="AP96" s="12">
        <v>988.352294921875</v>
      </c>
      <c r="AQ96" s="12">
        <v>648.34332275390625</v>
      </c>
      <c r="AR96" s="12">
        <v>553.006591796875</v>
      </c>
      <c r="AS96" s="12">
        <v>789.42193603515625</v>
      </c>
      <c r="AT96" s="12">
        <v>726.84326171875</v>
      </c>
      <c r="AU96" s="12">
        <v>714.2685546875</v>
      </c>
      <c r="AV96" s="12">
        <v>800.2403564453125</v>
      </c>
      <c r="AW96" s="12">
        <v>424.30319213867188</v>
      </c>
      <c r="AX96" s="12">
        <v>356.86093139648438</v>
      </c>
      <c r="AY96" s="12">
        <v>2507.427001953125</v>
      </c>
      <c r="AZ96" s="12">
        <v>309.09231567382812</v>
      </c>
      <c r="BA96" s="12">
        <v>701.320068359375</v>
      </c>
      <c r="BB96" s="12">
        <v>569.9915771484375</v>
      </c>
      <c r="BC96" s="12">
        <v>765.77093505859375</v>
      </c>
      <c r="BD96" s="12">
        <v>1168.275146484375</v>
      </c>
      <c r="BE96" s="12">
        <v>658.26690673828125</v>
      </c>
      <c r="BF96" s="12">
        <v>841.1751708984375</v>
      </c>
      <c r="BG96" s="12">
        <v>1550.9737548828125</v>
      </c>
      <c r="BH96" s="12">
        <v>1029.989990234375</v>
      </c>
      <c r="BI96" s="12">
        <v>625.01904296875</v>
      </c>
      <c r="BJ96" s="12">
        <v>665.952880859375</v>
      </c>
      <c r="BK96" s="12">
        <v>378.0115966796875</v>
      </c>
      <c r="BL96" s="12">
        <v>812.32781982421875</v>
      </c>
      <c r="BM96" s="12">
        <v>926.82891845703125</v>
      </c>
      <c r="BN96" s="12">
        <v>1015.0052490234375</v>
      </c>
      <c r="BO96" s="12">
        <v>696.91668701171875</v>
      </c>
      <c r="BP96" s="12">
        <v>1299.3104248046875</v>
      </c>
      <c r="BQ96" s="12"/>
      <c r="BR96" s="12"/>
    </row>
    <row r="97" spans="2:70" x14ac:dyDescent="0.2">
      <c r="B97">
        <v>1892</v>
      </c>
      <c r="C97" s="12">
        <v>1630.740478515625</v>
      </c>
      <c r="D97" s="12">
        <v>2809.76953125</v>
      </c>
      <c r="E97" s="12">
        <v>5568.23046875</v>
      </c>
      <c r="F97" s="12">
        <v>1340.09765625</v>
      </c>
      <c r="G97" s="12">
        <v>1254.0738525390625</v>
      </c>
      <c r="H97" s="12">
        <v>712.476806640625</v>
      </c>
      <c r="I97" s="12">
        <v>637.9449462890625</v>
      </c>
      <c r="J97" s="12">
        <v>835.492431640625</v>
      </c>
      <c r="K97" s="12">
        <v>722.6864013671875</v>
      </c>
      <c r="L97" s="12">
        <v>4135.26123046875</v>
      </c>
      <c r="M97" s="12">
        <v>3787.3662109375</v>
      </c>
      <c r="N97" s="12">
        <v>3104.91259765625</v>
      </c>
      <c r="O97" s="12">
        <v>3216.135009765625</v>
      </c>
      <c r="P97" s="12">
        <v>5590.755859375</v>
      </c>
      <c r="Q97" s="12">
        <v>2372.300537109375</v>
      </c>
      <c r="R97" s="12">
        <v>4312.11962890625</v>
      </c>
      <c r="S97" s="12">
        <v>3387.48486328125</v>
      </c>
      <c r="T97" s="12">
        <v>2117.64404296875</v>
      </c>
      <c r="U97" s="12">
        <v>3122.705322265625</v>
      </c>
      <c r="V97" s="12">
        <v>1252.4434814453125</v>
      </c>
      <c r="W97" s="12">
        <v>6141.00732421875</v>
      </c>
      <c r="X97" s="12">
        <v>2579.24267578125</v>
      </c>
      <c r="Y97" s="12">
        <v>6396.37646484375</v>
      </c>
      <c r="Z97" s="12">
        <v>5142.97802734375</v>
      </c>
      <c r="AA97" s="12">
        <v>1111.28759765625</v>
      </c>
      <c r="AB97" s="12">
        <v>2789.857177734375</v>
      </c>
      <c r="AC97" s="12">
        <v>1151.3759765625</v>
      </c>
      <c r="AD97" s="12">
        <v>2122.9921875</v>
      </c>
      <c r="AE97" s="12">
        <v>1314.624267578125</v>
      </c>
      <c r="AF97" s="12">
        <v>1053.9334716796875</v>
      </c>
      <c r="AG97" s="12">
        <v>818.63568115234375</v>
      </c>
      <c r="AH97" s="12">
        <v>550.0506591796875</v>
      </c>
      <c r="AI97" s="12">
        <v>2120.299560546875</v>
      </c>
      <c r="AJ97" s="12">
        <v>1540.6732177734375</v>
      </c>
      <c r="AK97" s="12">
        <v>811.12359619140625</v>
      </c>
      <c r="AL97" s="12">
        <v>770.991455078125</v>
      </c>
      <c r="AM97" s="12">
        <v>1691.0361328125</v>
      </c>
      <c r="AN97" s="12">
        <v>1215.9796142578125</v>
      </c>
      <c r="AO97" s="12">
        <v>1954.0909423828125</v>
      </c>
      <c r="AP97" s="12">
        <v>989.90423583984375</v>
      </c>
      <c r="AQ97" s="12">
        <v>647.82135009765625</v>
      </c>
      <c r="AR97" s="12">
        <v>553.85919189453125</v>
      </c>
      <c r="AS97" s="12">
        <v>790.63897705078125</v>
      </c>
      <c r="AT97" s="12">
        <v>727.96453857421875</v>
      </c>
      <c r="AU97" s="12">
        <v>715.37042236328125</v>
      </c>
      <c r="AV97" s="12">
        <v>765.6937255859375</v>
      </c>
      <c r="AW97" s="12">
        <v>424.95733642578125</v>
      </c>
      <c r="AX97" s="12">
        <v>357.4111328125</v>
      </c>
      <c r="AY97" s="12">
        <v>2444.302734375</v>
      </c>
      <c r="AZ97" s="12">
        <v>304.3280029296875</v>
      </c>
      <c r="BA97" s="12">
        <v>818.61187744140625</v>
      </c>
      <c r="BB97" s="12">
        <v>665.31915283203125</v>
      </c>
      <c r="BC97" s="12">
        <v>766.1865234375</v>
      </c>
      <c r="BD97" s="12">
        <v>1309.5115966796875</v>
      </c>
      <c r="BE97" s="12">
        <v>663.04595947265625</v>
      </c>
      <c r="BF97" s="12">
        <v>844.06591796875</v>
      </c>
      <c r="BG97" s="12">
        <v>1578.1187744140625</v>
      </c>
      <c r="BH97" s="12">
        <v>1035.69091796875</v>
      </c>
      <c r="BI97" s="12">
        <v>673.90228271484375</v>
      </c>
      <c r="BJ97" s="12">
        <v>685.37127685546875</v>
      </c>
      <c r="BK97" s="12">
        <v>381.57632446289062</v>
      </c>
      <c r="BL97" s="12">
        <v>816.82403564453125</v>
      </c>
      <c r="BM97" s="12">
        <v>927.90692138671875</v>
      </c>
      <c r="BN97" s="12">
        <v>1017.3387451171875</v>
      </c>
      <c r="BO97" s="12">
        <v>702.47076416015625</v>
      </c>
      <c r="BP97" s="12">
        <v>1365.5538330078125</v>
      </c>
      <c r="BQ97" s="12"/>
      <c r="BR97" s="12"/>
    </row>
    <row r="98" spans="2:70" x14ac:dyDescent="0.2">
      <c r="B98">
        <v>1893</v>
      </c>
      <c r="C98" s="12">
        <v>1617.81982421875</v>
      </c>
      <c r="D98" s="12">
        <v>2863.440673828125</v>
      </c>
      <c r="E98" s="12">
        <v>5087.68505859375</v>
      </c>
      <c r="F98" s="12">
        <v>1324.1016845703125</v>
      </c>
      <c r="G98" s="12">
        <v>1270.14990234375</v>
      </c>
      <c r="H98" s="12">
        <v>717.17901611328125</v>
      </c>
      <c r="I98" s="12">
        <v>794.05322265625</v>
      </c>
      <c r="J98" s="12">
        <v>834.08856201171875</v>
      </c>
      <c r="K98" s="12">
        <v>737.93560791015625</v>
      </c>
      <c r="L98" s="12">
        <v>4394.10009765625</v>
      </c>
      <c r="M98" s="12">
        <v>3970.38232421875</v>
      </c>
      <c r="N98" s="12">
        <v>3095.390625</v>
      </c>
      <c r="O98" s="12">
        <v>3245.9716796875</v>
      </c>
      <c r="P98" s="12">
        <v>5605.76025390625</v>
      </c>
      <c r="Q98" s="12">
        <v>2395.826904296875</v>
      </c>
      <c r="R98" s="12">
        <v>4234.51806640625</v>
      </c>
      <c r="S98" s="12">
        <v>3590.275634765625</v>
      </c>
      <c r="T98" s="12">
        <v>2179.719482421875</v>
      </c>
      <c r="U98" s="12">
        <v>3178.5771484375</v>
      </c>
      <c r="V98" s="12">
        <v>1276.0943603515625</v>
      </c>
      <c r="W98" s="12">
        <v>5599.34521484375</v>
      </c>
      <c r="X98" s="12">
        <v>2508.397216796875</v>
      </c>
      <c r="Y98" s="12">
        <v>5647.0517578125</v>
      </c>
      <c r="Z98" s="12">
        <v>5128.7109375</v>
      </c>
      <c r="AA98" s="12">
        <v>1020.01123046875</v>
      </c>
      <c r="AB98" s="12">
        <v>2594.004150390625</v>
      </c>
      <c r="AC98" s="12">
        <v>1136.6251220703125</v>
      </c>
      <c r="AD98" s="12">
        <v>2221.63330078125</v>
      </c>
      <c r="AE98" s="12">
        <v>1354.7900390625</v>
      </c>
      <c r="AF98" s="12">
        <v>1068.1416015625</v>
      </c>
      <c r="AG98" s="12">
        <v>811.45751953125</v>
      </c>
      <c r="AH98" s="12">
        <v>551.6015625</v>
      </c>
      <c r="AI98" s="12">
        <v>2160.00927734375</v>
      </c>
      <c r="AJ98" s="12">
        <v>1568.0372314453125</v>
      </c>
      <c r="AK98" s="12">
        <v>820.69189453125</v>
      </c>
      <c r="AL98" s="12">
        <v>775.07025146484375</v>
      </c>
      <c r="AM98" s="12">
        <v>1703.7113037109375</v>
      </c>
      <c r="AN98" s="12">
        <v>1229.4490966796875</v>
      </c>
      <c r="AO98" s="12">
        <v>1982.011474609375</v>
      </c>
      <c r="AP98" s="12">
        <v>991.7735595703125</v>
      </c>
      <c r="AQ98" s="12">
        <v>647.5054931640625</v>
      </c>
      <c r="AR98" s="12">
        <v>555.02001953125</v>
      </c>
      <c r="AS98" s="12">
        <v>792.29620361328125</v>
      </c>
      <c r="AT98" s="12">
        <v>729.4896240234375</v>
      </c>
      <c r="AU98" s="12">
        <v>716.86907958984375</v>
      </c>
      <c r="AV98" s="12">
        <v>788.69140625</v>
      </c>
      <c r="AW98" s="12">
        <v>425.84805297851562</v>
      </c>
      <c r="AX98" s="12">
        <v>358.16021728515625</v>
      </c>
      <c r="AY98" s="12">
        <v>2420.15283203125</v>
      </c>
      <c r="AZ98" s="12">
        <v>307.29244995117188</v>
      </c>
      <c r="BA98" s="12">
        <v>1018.9273071289062</v>
      </c>
      <c r="BB98" s="12">
        <v>828.1240234375</v>
      </c>
      <c r="BC98" s="12">
        <v>766.91986083984375</v>
      </c>
      <c r="BD98" s="12">
        <v>1293.5418701171875</v>
      </c>
      <c r="BE98" s="12">
        <v>668.0738525390625</v>
      </c>
      <c r="BF98" s="12">
        <v>840.3797607421875</v>
      </c>
      <c r="BG98" s="12">
        <v>1589.164306640625</v>
      </c>
      <c r="BH98" s="12">
        <v>1051.399169921875</v>
      </c>
      <c r="BI98" s="12">
        <v>689.8250732421875</v>
      </c>
      <c r="BJ98" s="12">
        <v>700.92449951171875</v>
      </c>
      <c r="BK98" s="12">
        <v>388.863525390625</v>
      </c>
      <c r="BL98" s="12">
        <v>829.2127685546875</v>
      </c>
      <c r="BM98" s="12">
        <v>938.22589111328125</v>
      </c>
      <c r="BN98" s="12">
        <v>1013.894775390625</v>
      </c>
      <c r="BO98" s="12">
        <v>714.85040283203125</v>
      </c>
      <c r="BP98" s="12">
        <v>1391.041748046875</v>
      </c>
      <c r="BQ98" s="12"/>
      <c r="BR98" s="12"/>
    </row>
    <row r="99" spans="2:70" x14ac:dyDescent="0.2">
      <c r="B99">
        <v>1894</v>
      </c>
      <c r="C99" s="12">
        <v>1624.35888671875</v>
      </c>
      <c r="D99" s="12">
        <v>2927.551025390625</v>
      </c>
      <c r="E99" s="12">
        <v>4838.30322265625</v>
      </c>
      <c r="F99" s="12">
        <v>1309.48193359375</v>
      </c>
      <c r="G99" s="12">
        <v>1280.4246826171875</v>
      </c>
      <c r="H99" s="12">
        <v>728.0093994140625</v>
      </c>
      <c r="I99" s="12">
        <v>784.20855712890625</v>
      </c>
      <c r="J99" s="12">
        <v>855.4420166015625</v>
      </c>
      <c r="K99" s="12">
        <v>743.8333740234375</v>
      </c>
      <c r="L99" s="12">
        <v>4529.822265625</v>
      </c>
      <c r="M99" s="12">
        <v>3971.6923828125</v>
      </c>
      <c r="N99" s="12">
        <v>3129.923095703125</v>
      </c>
      <c r="O99" s="12">
        <v>3170.488525390625</v>
      </c>
      <c r="P99" s="12">
        <v>5921.01025390625</v>
      </c>
      <c r="Q99" s="12">
        <v>2348.0751953125</v>
      </c>
      <c r="R99" s="12">
        <v>4321.099609375</v>
      </c>
      <c r="S99" s="12">
        <v>3689.31689453125</v>
      </c>
      <c r="T99" s="12">
        <v>2239.017822265625</v>
      </c>
      <c r="U99" s="12">
        <v>3244.90673828125</v>
      </c>
      <c r="V99" s="12">
        <v>1302.251220703125</v>
      </c>
      <c r="W99" s="12">
        <v>5303.4033203125</v>
      </c>
      <c r="X99" s="12">
        <v>2576.128662109375</v>
      </c>
      <c r="Y99" s="12">
        <v>5492.2421875</v>
      </c>
      <c r="Z99" s="12">
        <v>4818.88037109375</v>
      </c>
      <c r="AA99" s="12">
        <v>966.0977783203125</v>
      </c>
      <c r="AB99" s="12">
        <v>2540.770751953125</v>
      </c>
      <c r="AC99" s="12">
        <v>1155.3848876953125</v>
      </c>
      <c r="AD99" s="12">
        <v>2099.52294921875</v>
      </c>
      <c r="AE99" s="12">
        <v>1211.2603759765625</v>
      </c>
      <c r="AF99" s="12">
        <v>1077.1536865234375</v>
      </c>
      <c r="AG99" s="12">
        <v>796.1165771484375</v>
      </c>
      <c r="AH99" s="12">
        <v>552.68743896484375</v>
      </c>
      <c r="AI99" s="12">
        <v>2192.195068359375</v>
      </c>
      <c r="AJ99" s="12">
        <v>1576.4227294921875</v>
      </c>
      <c r="AK99" s="12">
        <v>829.15350341796875</v>
      </c>
      <c r="AL99" s="12">
        <v>778.02532958984375</v>
      </c>
      <c r="AM99" s="12">
        <v>1715.0242919921875</v>
      </c>
      <c r="AN99" s="12">
        <v>1242.0130615234375</v>
      </c>
      <c r="AO99" s="12">
        <v>1995.7730712890625</v>
      </c>
      <c r="AP99" s="12">
        <v>992.79949951171875</v>
      </c>
      <c r="AQ99" s="12">
        <v>646.6412353515625</v>
      </c>
      <c r="AR99" s="12">
        <v>555.3656005859375</v>
      </c>
      <c r="AS99" s="12">
        <v>792.7894287109375</v>
      </c>
      <c r="AT99" s="12">
        <v>729.944091796875</v>
      </c>
      <c r="AU99" s="12">
        <v>717.3157958984375</v>
      </c>
      <c r="AV99" s="12">
        <v>870.34442138671875</v>
      </c>
      <c r="AW99" s="12">
        <v>426.1131591796875</v>
      </c>
      <c r="AX99" s="12">
        <v>358.38339233398438</v>
      </c>
      <c r="AY99" s="12">
        <v>2346.804931640625</v>
      </c>
      <c r="AZ99" s="12">
        <v>313.37667846679688</v>
      </c>
      <c r="BA99" s="12">
        <v>1006.2926635742188</v>
      </c>
      <c r="BB99" s="12">
        <v>817.85491943359375</v>
      </c>
      <c r="BC99" s="12">
        <v>766.81121826171875</v>
      </c>
      <c r="BD99" s="12">
        <v>1462.7513427734375</v>
      </c>
      <c r="BE99" s="12">
        <v>672.5692138671875</v>
      </c>
      <c r="BF99" s="12">
        <v>842.295166015625</v>
      </c>
      <c r="BG99" s="12">
        <v>1621.625732421875</v>
      </c>
      <c r="BH99" s="12">
        <v>1054.76123046875</v>
      </c>
      <c r="BI99" s="12">
        <v>696.65478515625</v>
      </c>
      <c r="BJ99" s="12">
        <v>697.736328125</v>
      </c>
      <c r="BK99" s="12">
        <v>391.61807250976562</v>
      </c>
      <c r="BL99" s="12">
        <v>831.86431884765625</v>
      </c>
      <c r="BM99" s="12">
        <v>944.51116943359375</v>
      </c>
      <c r="BN99" s="12">
        <v>1020.4615478515625</v>
      </c>
      <c r="BO99" s="12">
        <v>724.83770751953125</v>
      </c>
      <c r="BP99" s="12">
        <v>1411.929443359375</v>
      </c>
      <c r="BQ99" s="12"/>
      <c r="BR99" s="12"/>
    </row>
    <row r="100" spans="2:70" x14ac:dyDescent="0.2">
      <c r="B100">
        <v>1895</v>
      </c>
      <c r="C100" s="12">
        <v>1688.2882080078125</v>
      </c>
      <c r="D100" s="12">
        <v>2977.589111328125</v>
      </c>
      <c r="E100" s="12">
        <v>5284.34814453125</v>
      </c>
      <c r="F100" s="12">
        <v>1452.9183349609375</v>
      </c>
      <c r="G100" s="12">
        <v>1296.1729736328125</v>
      </c>
      <c r="H100" s="12">
        <v>760.3388671875</v>
      </c>
      <c r="I100" s="12">
        <v>766.68450927734375</v>
      </c>
      <c r="J100" s="12">
        <v>856.11376953125</v>
      </c>
      <c r="K100" s="12">
        <v>734.14727783203125</v>
      </c>
      <c r="L100" s="12">
        <v>4537.60986328125</v>
      </c>
      <c r="M100" s="12">
        <v>4199.88134765625</v>
      </c>
      <c r="N100" s="12">
        <v>2993.354248046875</v>
      </c>
      <c r="O100" s="12">
        <v>3208.431640625</v>
      </c>
      <c r="P100" s="12">
        <v>6062.0810546875</v>
      </c>
      <c r="Q100" s="12">
        <v>2503.107666015625</v>
      </c>
      <c r="R100" s="12">
        <v>4446.0283203125</v>
      </c>
      <c r="S100" s="12">
        <v>3709.14208984375</v>
      </c>
      <c r="T100" s="12">
        <v>2325.02001953125</v>
      </c>
      <c r="U100" s="12">
        <v>3303.681396484375</v>
      </c>
      <c r="V100" s="12">
        <v>1326.9117431640625</v>
      </c>
      <c r="W100" s="12">
        <v>5825.17724609375</v>
      </c>
      <c r="X100" s="12">
        <v>2609.391357421875</v>
      </c>
      <c r="Y100" s="12">
        <v>5558.8095703125</v>
      </c>
      <c r="Z100" s="12">
        <v>4902.87548828125</v>
      </c>
      <c r="AA100" s="12">
        <v>1055.3155517578125</v>
      </c>
      <c r="AB100" s="12">
        <v>2882.591064453125</v>
      </c>
      <c r="AC100" s="12">
        <v>1402.6153564453125</v>
      </c>
      <c r="AD100" s="12">
        <v>2290.4619140625</v>
      </c>
      <c r="AE100" s="12">
        <v>1145.2913818359375</v>
      </c>
      <c r="AF100" s="12">
        <v>1099.530517578125</v>
      </c>
      <c r="AG100" s="12">
        <v>888.439697265625</v>
      </c>
      <c r="AH100" s="12">
        <v>554.18603515625</v>
      </c>
      <c r="AI100" s="12">
        <v>2232.1904296875</v>
      </c>
      <c r="AJ100" s="12">
        <v>1601.96484375</v>
      </c>
      <c r="AK100" s="12">
        <v>838.77783203125</v>
      </c>
      <c r="AL100" s="12">
        <v>781.9951171875</v>
      </c>
      <c r="AM100" s="12">
        <v>1727.6917724609375</v>
      </c>
      <c r="AN100" s="12">
        <v>1255.6346435546875</v>
      </c>
      <c r="AO100" s="12">
        <v>2022.46142578125</v>
      </c>
      <c r="AP100" s="12">
        <v>994.5682373046875</v>
      </c>
      <c r="AQ100" s="12">
        <v>646.25634765625</v>
      </c>
      <c r="AR100" s="12">
        <v>556.42510986328125</v>
      </c>
      <c r="AS100" s="12">
        <v>794.30194091796875</v>
      </c>
      <c r="AT100" s="12">
        <v>731.33673095703125</v>
      </c>
      <c r="AU100" s="12">
        <v>718.684326171875</v>
      </c>
      <c r="AV100" s="12">
        <v>900.355224609375</v>
      </c>
      <c r="AW100" s="12">
        <v>426.92611694335938</v>
      </c>
      <c r="AX100" s="12">
        <v>359.067138671875</v>
      </c>
      <c r="AY100" s="12">
        <v>2699.791748046875</v>
      </c>
      <c r="AZ100" s="12">
        <v>327.50357055664062</v>
      </c>
      <c r="BA100" s="12">
        <v>983.80322265625</v>
      </c>
      <c r="BB100" s="12">
        <v>799.5770263671875</v>
      </c>
      <c r="BC100" s="12">
        <v>770.52801513671875</v>
      </c>
      <c r="BD100" s="12">
        <v>1439.4525146484375</v>
      </c>
      <c r="BE100" s="12">
        <v>677.59716796875</v>
      </c>
      <c r="BF100" s="12">
        <v>838.234619140625</v>
      </c>
      <c r="BG100" s="12">
        <v>1618.9644775390625</v>
      </c>
      <c r="BH100" s="12">
        <v>1061.6202392578125</v>
      </c>
      <c r="BI100" s="12">
        <v>678.91937255859375</v>
      </c>
      <c r="BJ100" s="12">
        <v>692.81634521484375</v>
      </c>
      <c r="BK100" s="12">
        <v>395.69125366210938</v>
      </c>
      <c r="BL100" s="12">
        <v>837.27386474609375</v>
      </c>
      <c r="BM100" s="12">
        <v>946.5400390625</v>
      </c>
      <c r="BN100" s="12">
        <v>1024.39013671875</v>
      </c>
      <c r="BO100" s="12">
        <v>737.0804443359375</v>
      </c>
      <c r="BP100" s="12">
        <v>1391.29443359375</v>
      </c>
      <c r="BQ100" s="12"/>
      <c r="BR100" s="12"/>
    </row>
    <row r="101" spans="2:70" x14ac:dyDescent="0.2">
      <c r="B101">
        <v>1896</v>
      </c>
      <c r="C101" s="12">
        <v>1704.4644775390625</v>
      </c>
      <c r="D101" s="12">
        <v>3094.97509765625</v>
      </c>
      <c r="E101" s="12">
        <v>5143.021484375</v>
      </c>
      <c r="F101" s="12">
        <v>1388.2098388671875</v>
      </c>
      <c r="G101" s="12">
        <v>1307.9010009765625</v>
      </c>
      <c r="H101" s="12">
        <v>769.7069091796875</v>
      </c>
      <c r="I101" s="12">
        <v>810.78704833984375</v>
      </c>
      <c r="J101" s="12">
        <v>844.49725341796875</v>
      </c>
      <c r="K101" s="12">
        <v>702.19732666015625</v>
      </c>
      <c r="L101" s="12">
        <v>4653.8173828125</v>
      </c>
      <c r="M101" s="12">
        <v>4339.0341796875</v>
      </c>
      <c r="N101" s="12">
        <v>2975.927001953125</v>
      </c>
      <c r="O101" s="12">
        <v>3580.775390625</v>
      </c>
      <c r="P101" s="12">
        <v>6199.60302734375</v>
      </c>
      <c r="Q101" s="12">
        <v>2552.6708984375</v>
      </c>
      <c r="R101" s="12">
        <v>4546.0244140625</v>
      </c>
      <c r="S101" s="12">
        <v>3761.029541015625</v>
      </c>
      <c r="T101" s="12">
        <v>2455.496826171875</v>
      </c>
      <c r="U101" s="12">
        <v>3436.779052734375</v>
      </c>
      <c r="V101" s="12">
        <v>1380.755126953125</v>
      </c>
      <c r="W101" s="12">
        <v>5652.1044921875</v>
      </c>
      <c r="X101" s="12">
        <v>2482.0693359375</v>
      </c>
      <c r="Y101" s="12">
        <v>5672.02783203125</v>
      </c>
      <c r="Z101" s="12">
        <v>5355.2021484375</v>
      </c>
      <c r="AA101" s="12">
        <v>1027.6317138671875</v>
      </c>
      <c r="AB101" s="12">
        <v>2489.765380859375</v>
      </c>
      <c r="AC101" s="12">
        <v>1339.0384521484375</v>
      </c>
      <c r="AD101" s="12">
        <v>2365.8095703125</v>
      </c>
      <c r="AE101" s="12">
        <v>1162.33740234375</v>
      </c>
      <c r="AF101" s="12">
        <v>1112.4306640625</v>
      </c>
      <c r="AG101" s="12">
        <v>850.34844970703125</v>
      </c>
      <c r="AH101" s="12">
        <v>555.50018310546875</v>
      </c>
      <c r="AI101" s="12">
        <v>2269.524658203125</v>
      </c>
      <c r="AJ101" s="12">
        <v>1619.9981689453125</v>
      </c>
      <c r="AK101" s="12">
        <v>848.019287109375</v>
      </c>
      <c r="AL101" s="12">
        <v>785.52655029296875</v>
      </c>
      <c r="AM101" s="12">
        <v>1739.86328125</v>
      </c>
      <c r="AN101" s="12">
        <v>1268.9744873046875</v>
      </c>
      <c r="AO101" s="12">
        <v>2044.6416015625</v>
      </c>
      <c r="AP101" s="12">
        <v>995.99981689453125</v>
      </c>
      <c r="AQ101" s="12">
        <v>645.65301513671875</v>
      </c>
      <c r="AR101" s="12">
        <v>557.16162109375</v>
      </c>
      <c r="AS101" s="12">
        <v>795.35333251953125</v>
      </c>
      <c r="AT101" s="12">
        <v>732.3048095703125</v>
      </c>
      <c r="AU101" s="12">
        <v>719.6356201171875</v>
      </c>
      <c r="AV101" s="12">
        <v>899.1754150390625</v>
      </c>
      <c r="AW101" s="12">
        <v>427.49127197265625</v>
      </c>
      <c r="AX101" s="12">
        <v>359.54208374023438</v>
      </c>
      <c r="AY101" s="12">
        <v>2816.938720703125</v>
      </c>
      <c r="AZ101" s="12">
        <v>331.10992431640625</v>
      </c>
      <c r="BA101" s="12">
        <v>1040.3929443359375</v>
      </c>
      <c r="BB101" s="12">
        <v>845.56951904296875</v>
      </c>
      <c r="BC101" s="12">
        <v>770.86163330078125</v>
      </c>
      <c r="BD101" s="12">
        <v>1333.007568359375</v>
      </c>
      <c r="BE101" s="12">
        <v>682.4324951171875</v>
      </c>
      <c r="BF101" s="12">
        <v>833.9481201171875</v>
      </c>
      <c r="BG101" s="12">
        <v>1600.41162109375</v>
      </c>
      <c r="BH101" s="12">
        <v>1066.929443359375</v>
      </c>
      <c r="BI101" s="12">
        <v>626.10821533203125</v>
      </c>
      <c r="BJ101" s="12">
        <v>687.79376220703125</v>
      </c>
      <c r="BK101" s="12">
        <v>399.21029663085938</v>
      </c>
      <c r="BL101" s="12">
        <v>841.46112060546875</v>
      </c>
      <c r="BM101" s="12">
        <v>954.9788818359375</v>
      </c>
      <c r="BN101" s="12">
        <v>1017.1326293945312</v>
      </c>
      <c r="BO101" s="12">
        <v>742.75640869140625</v>
      </c>
      <c r="BP101" s="12">
        <v>1327.8367919921875</v>
      </c>
      <c r="BQ101" s="12"/>
      <c r="BR101" s="12"/>
    </row>
    <row r="102" spans="2:70" x14ac:dyDescent="0.2">
      <c r="B102">
        <v>1897</v>
      </c>
      <c r="C102" s="12">
        <v>1740.3480224609375</v>
      </c>
      <c r="D102" s="12">
        <v>3097.635498046875</v>
      </c>
      <c r="E102" s="12">
        <v>5330.8740234375</v>
      </c>
      <c r="F102" s="12">
        <v>1524.9251708984375</v>
      </c>
      <c r="G102" s="12">
        <v>1324.0675048828125</v>
      </c>
      <c r="H102" s="12">
        <v>745.8297119140625</v>
      </c>
      <c r="I102" s="12">
        <v>729.18377685546875</v>
      </c>
      <c r="J102" s="12">
        <v>855.4383544921875</v>
      </c>
      <c r="K102" s="12">
        <v>774.5208740234375</v>
      </c>
      <c r="L102" s="12">
        <v>4741.79638671875</v>
      </c>
      <c r="M102" s="12">
        <v>4387.43701171875</v>
      </c>
      <c r="N102" s="12">
        <v>2949.42333984375</v>
      </c>
      <c r="O102" s="12">
        <v>3524.486083984375</v>
      </c>
      <c r="P102" s="12">
        <v>6161.76025390625</v>
      </c>
      <c r="Q102" s="12">
        <v>2559.19384765625</v>
      </c>
      <c r="R102" s="12">
        <v>4564.46826171875</v>
      </c>
      <c r="S102" s="12">
        <v>3954.518798828125</v>
      </c>
      <c r="T102" s="12">
        <v>2534.960205078125</v>
      </c>
      <c r="U102" s="12">
        <v>3435.899169921875</v>
      </c>
      <c r="V102" s="12">
        <v>1380.913330078125</v>
      </c>
      <c r="W102" s="12">
        <v>5851.69482421875</v>
      </c>
      <c r="X102" s="12">
        <v>2724.89990234375</v>
      </c>
      <c r="Y102" s="12">
        <v>5801.5126953125</v>
      </c>
      <c r="Z102" s="12">
        <v>5292.3642578125</v>
      </c>
      <c r="AA102" s="12">
        <v>1065.91064453125</v>
      </c>
      <c r="AB102" s="12">
        <v>2553.720947265625</v>
      </c>
      <c r="AC102" s="12">
        <v>1358.138427734375</v>
      </c>
      <c r="AD102" s="12">
        <v>2223.048095703125</v>
      </c>
      <c r="AE102" s="12">
        <v>1382.4984130859375</v>
      </c>
      <c r="AF102" s="12">
        <v>1456.5050048828125</v>
      </c>
      <c r="AG102" s="12">
        <v>928.96368408203125</v>
      </c>
      <c r="AH102" s="12">
        <v>556.849365234375</v>
      </c>
      <c r="AI102" s="12">
        <v>2308.0771484375</v>
      </c>
      <c r="AJ102" s="12">
        <v>1639.6168212890625</v>
      </c>
      <c r="AK102" s="12">
        <v>857.44769287109375</v>
      </c>
      <c r="AL102" s="12">
        <v>789.1527099609375</v>
      </c>
      <c r="AM102" s="12">
        <v>1752.220458984375</v>
      </c>
      <c r="AN102" s="12">
        <v>1282.53271484375</v>
      </c>
      <c r="AO102" s="12">
        <v>2067.0751953125</v>
      </c>
      <c r="AP102" s="12">
        <v>997.4930419921875</v>
      </c>
      <c r="AQ102" s="12">
        <v>645.08697509765625</v>
      </c>
      <c r="AR102" s="12">
        <v>557.9547119140625</v>
      </c>
      <c r="AS102" s="12">
        <v>796.48541259765625</v>
      </c>
      <c r="AT102" s="12">
        <v>733.34710693359375</v>
      </c>
      <c r="AU102" s="12">
        <v>720.659912109375</v>
      </c>
      <c r="AV102" s="12">
        <v>832.5859375</v>
      </c>
      <c r="AW102" s="12">
        <v>428.09970092773438</v>
      </c>
      <c r="AX102" s="12">
        <v>360.05450439453125</v>
      </c>
      <c r="AY102" s="12">
        <v>2633.384521484375</v>
      </c>
      <c r="AZ102" s="12">
        <v>319.32418823242188</v>
      </c>
      <c r="BA102" s="12">
        <v>935.67926025390625</v>
      </c>
      <c r="BB102" s="12">
        <v>760.46478271484375</v>
      </c>
      <c r="BC102" s="12">
        <v>771.239990234375</v>
      </c>
      <c r="BD102" s="12">
        <v>1411.4578857421875</v>
      </c>
      <c r="BE102" s="12">
        <v>687.3421630859375</v>
      </c>
      <c r="BF102" s="12">
        <v>829.62493896484375</v>
      </c>
      <c r="BG102" s="12">
        <v>1616.6209716796875</v>
      </c>
      <c r="BH102" s="12">
        <v>1072.541259765625</v>
      </c>
      <c r="BI102" s="12">
        <v>738.4136962890625</v>
      </c>
      <c r="BJ102" s="12">
        <v>686.3868408203125</v>
      </c>
      <c r="BK102" s="12">
        <v>402.86428833007812</v>
      </c>
      <c r="BL102" s="12">
        <v>845.8870849609375</v>
      </c>
      <c r="BM102" s="12">
        <v>963.82965087890625</v>
      </c>
      <c r="BN102" s="12">
        <v>1018.8944702148438</v>
      </c>
      <c r="BO102" s="12">
        <v>754.72882080078125</v>
      </c>
      <c r="BP102" s="12">
        <v>1467.0408935546875</v>
      </c>
      <c r="BQ102" s="12"/>
      <c r="BR102" s="12"/>
    </row>
    <row r="103" spans="2:70" x14ac:dyDescent="0.2">
      <c r="B103">
        <v>1898</v>
      </c>
      <c r="C103" s="12">
        <v>1824.9306640625</v>
      </c>
      <c r="D103" s="12">
        <v>3198.80126953125</v>
      </c>
      <c r="E103" s="12">
        <v>5763.4755859375</v>
      </c>
      <c r="F103" s="12">
        <v>1488.1051025390625</v>
      </c>
      <c r="G103" s="12">
        <v>1340.4312744140625</v>
      </c>
      <c r="H103" s="12">
        <v>791.82598876953125</v>
      </c>
      <c r="I103" s="12">
        <v>841.1800537109375</v>
      </c>
      <c r="J103" s="12">
        <v>883.8919677734375</v>
      </c>
      <c r="K103" s="12">
        <v>775.65325927734375</v>
      </c>
      <c r="L103" s="12">
        <v>4960.1708984375</v>
      </c>
      <c r="M103" s="12">
        <v>4288.28857421875</v>
      </c>
      <c r="N103" s="12">
        <v>2852.877685546875</v>
      </c>
      <c r="O103" s="12">
        <v>3683.32763671875</v>
      </c>
      <c r="P103" s="12">
        <v>6392.59619140625</v>
      </c>
      <c r="Q103" s="12">
        <v>2589.224853515625</v>
      </c>
      <c r="R103" s="12">
        <v>4687.12060546875</v>
      </c>
      <c r="S103" s="12">
        <v>4108.68798828125</v>
      </c>
      <c r="T103" s="12">
        <v>2578.32958984375</v>
      </c>
      <c r="U103" s="12">
        <v>3536.20458984375</v>
      </c>
      <c r="V103" s="12">
        <v>1422.2506103515625</v>
      </c>
      <c r="W103" s="12">
        <v>6342.59130859375</v>
      </c>
      <c r="X103" s="12">
        <v>2779.760009765625</v>
      </c>
      <c r="Y103" s="12">
        <v>6159.01953125</v>
      </c>
      <c r="Z103" s="12">
        <v>5336.853515625</v>
      </c>
      <c r="AA103" s="12">
        <v>1152.2994384765625</v>
      </c>
      <c r="AB103" s="12">
        <v>2858.57275390625</v>
      </c>
      <c r="AC103" s="12">
        <v>1126.854248046875</v>
      </c>
      <c r="AD103" s="12">
        <v>2478.298583984375</v>
      </c>
      <c r="AE103" s="12">
        <v>1207.673828125</v>
      </c>
      <c r="AF103" s="12">
        <v>1394.4158935546875</v>
      </c>
      <c r="AG103" s="12">
        <v>933.19146728515625</v>
      </c>
      <c r="AH103" s="12">
        <v>558.3314208984375</v>
      </c>
      <c r="AI103" s="12">
        <v>2349.641357421875</v>
      </c>
      <c r="AJ103" s="12">
        <v>1664.932373046875</v>
      </c>
      <c r="AK103" s="12">
        <v>867.3204345703125</v>
      </c>
      <c r="AL103" s="12">
        <v>793.105712890625</v>
      </c>
      <c r="AM103" s="12">
        <v>1765.075439453125</v>
      </c>
      <c r="AN103" s="12">
        <v>1296.533447265625</v>
      </c>
      <c r="AO103" s="12">
        <v>2094.1865234375</v>
      </c>
      <c r="AP103" s="12">
        <v>967.34454345703125</v>
      </c>
      <c r="AQ103" s="12">
        <v>644.67120361328125</v>
      </c>
      <c r="AR103" s="12">
        <v>558.967529296875</v>
      </c>
      <c r="AS103" s="12">
        <v>797.9312744140625</v>
      </c>
      <c r="AT103" s="12">
        <v>734.67840576171875</v>
      </c>
      <c r="AU103" s="12">
        <v>721.9681396484375</v>
      </c>
      <c r="AV103" s="12">
        <v>879.89764404296875</v>
      </c>
      <c r="AW103" s="12">
        <v>428.8768310546875</v>
      </c>
      <c r="AX103" s="12">
        <v>360.70779418945312</v>
      </c>
      <c r="AY103" s="12">
        <v>3157.201904296875</v>
      </c>
      <c r="AZ103" s="12">
        <v>340.46466064453125</v>
      </c>
      <c r="BA103" s="12">
        <v>1079.392333984375</v>
      </c>
      <c r="BB103" s="12">
        <v>877.26593017578125</v>
      </c>
      <c r="BC103" s="12">
        <v>771.79815673828125</v>
      </c>
      <c r="BD103" s="12">
        <v>1622.90234375</v>
      </c>
      <c r="BE103" s="12">
        <v>698.32568359375</v>
      </c>
      <c r="BF103" s="12">
        <v>832.4493408203125</v>
      </c>
      <c r="BG103" s="12">
        <v>1658.6334228515625</v>
      </c>
      <c r="BH103" s="12">
        <v>1079.265380859375</v>
      </c>
      <c r="BI103" s="12">
        <v>738.18084716796875</v>
      </c>
      <c r="BJ103" s="12">
        <v>681.70428466796875</v>
      </c>
      <c r="BK103" s="12">
        <v>406.96002197265625</v>
      </c>
      <c r="BL103" s="12">
        <v>851.19024658203125</v>
      </c>
      <c r="BM103" s="12">
        <v>965.4322509765625</v>
      </c>
      <c r="BN103" s="12">
        <v>1022.5684204101562</v>
      </c>
      <c r="BO103" s="12">
        <v>761.01263427734375</v>
      </c>
      <c r="BP103" s="12">
        <v>1467.814453125</v>
      </c>
      <c r="BQ103" s="12"/>
      <c r="BR103" s="12"/>
    </row>
    <row r="104" spans="2:70" x14ac:dyDescent="0.2">
      <c r="B104">
        <v>1899</v>
      </c>
      <c r="C104" s="12">
        <v>1859.2789306640625</v>
      </c>
      <c r="D104" s="12">
        <v>3250.58837890625</v>
      </c>
      <c r="E104" s="12">
        <v>6002.0244140625</v>
      </c>
      <c r="F104" s="12">
        <v>1453.4775390625</v>
      </c>
      <c r="G104" s="12">
        <v>1356.2989501953125</v>
      </c>
      <c r="H104" s="12">
        <v>772.57366943359375</v>
      </c>
      <c r="I104" s="12">
        <v>856.17156982421875</v>
      </c>
      <c r="J104" s="12">
        <v>871.54498291015625</v>
      </c>
      <c r="K104" s="12">
        <v>744.7744140625</v>
      </c>
      <c r="L104" s="12">
        <v>4837.14990234375</v>
      </c>
      <c r="M104" s="12">
        <v>4308.8525390625</v>
      </c>
      <c r="N104" s="12">
        <v>2841.785400390625</v>
      </c>
      <c r="O104" s="12">
        <v>3817.3916015625</v>
      </c>
      <c r="P104" s="12">
        <v>6573.4306640625</v>
      </c>
      <c r="Q104" s="12">
        <v>2717.361328125</v>
      </c>
      <c r="R104" s="12">
        <v>4750.39111328125</v>
      </c>
      <c r="S104" s="12">
        <v>4087.253173828125</v>
      </c>
      <c r="T104" s="12">
        <v>2653.303466796875</v>
      </c>
      <c r="U104" s="12">
        <v>3603.681396484375</v>
      </c>
      <c r="V104" s="12">
        <v>1450.3590087890625</v>
      </c>
      <c r="W104" s="12">
        <v>6603.00830078125</v>
      </c>
      <c r="X104" s="12">
        <v>3043.785888671875</v>
      </c>
      <c r="Y104" s="12">
        <v>6226.57275390625</v>
      </c>
      <c r="Z104" s="12">
        <v>5407.796875</v>
      </c>
      <c r="AA104" s="12">
        <v>1199.8994140625</v>
      </c>
      <c r="AB104" s="12">
        <v>2896.755615234375</v>
      </c>
      <c r="AC104" s="12">
        <v>1062.681640625</v>
      </c>
      <c r="AD104" s="12">
        <v>2437.954345703125</v>
      </c>
      <c r="AE104" s="12">
        <v>1122.794189453125</v>
      </c>
      <c r="AF104" s="12">
        <v>1356.57958984375</v>
      </c>
      <c r="AG104" s="12">
        <v>911.11297607421875</v>
      </c>
      <c r="AH104" s="12">
        <v>559.8013916015625</v>
      </c>
      <c r="AI104" s="12">
        <v>2391.6328125</v>
      </c>
      <c r="AJ104" s="12">
        <v>1689.8978271484375</v>
      </c>
      <c r="AK104" s="12">
        <v>877.26019287109375</v>
      </c>
      <c r="AL104" s="12">
        <v>797.03619384765625</v>
      </c>
      <c r="AM104" s="12">
        <v>1777.9737548828125</v>
      </c>
      <c r="AN104" s="12">
        <v>1310.650634765625</v>
      </c>
      <c r="AO104" s="12">
        <v>2120.685302734375</v>
      </c>
      <c r="AP104" s="12">
        <v>969.33428955078125</v>
      </c>
      <c r="AQ104" s="12">
        <v>644.23724365234375</v>
      </c>
      <c r="AR104" s="12">
        <v>559.95245361328125</v>
      </c>
      <c r="AS104" s="12">
        <v>799.3372802734375</v>
      </c>
      <c r="AT104" s="12">
        <v>735.972900390625</v>
      </c>
      <c r="AU104" s="12">
        <v>723.240234375</v>
      </c>
      <c r="AV104" s="12">
        <v>914.00390625</v>
      </c>
      <c r="AW104" s="12">
        <v>429.63253784179688</v>
      </c>
      <c r="AX104" s="12">
        <v>361.34335327148438</v>
      </c>
      <c r="AY104" s="12">
        <v>2769.43017578125</v>
      </c>
      <c r="AZ104" s="12">
        <v>333.95339965820312</v>
      </c>
      <c r="BA104" s="12">
        <v>1098.630126953125</v>
      </c>
      <c r="BB104" s="12">
        <v>892.90130615234375</v>
      </c>
      <c r="BC104" s="12">
        <v>772.33538818359375</v>
      </c>
      <c r="BD104" s="12">
        <v>1519.649169921875</v>
      </c>
      <c r="BE104" s="12">
        <v>703.53302001953125</v>
      </c>
      <c r="BF104" s="12">
        <v>828.61468505859375</v>
      </c>
      <c r="BG104" s="12">
        <v>1640.51806640625</v>
      </c>
      <c r="BH104" s="12">
        <v>1085.8857421875</v>
      </c>
      <c r="BI104" s="12">
        <v>679.77191162109375</v>
      </c>
      <c r="BJ104" s="12">
        <v>708.8646240234375</v>
      </c>
      <c r="BK104" s="12">
        <v>411.0421142578125</v>
      </c>
      <c r="BL104" s="12">
        <v>856.4114990234375</v>
      </c>
      <c r="BM104" s="12">
        <v>966.96026611328125</v>
      </c>
      <c r="BN104" s="12">
        <v>1017.4010009765625</v>
      </c>
      <c r="BO104" s="12">
        <v>767.30792236328125</v>
      </c>
      <c r="BP104" s="12">
        <v>1405.3935546875</v>
      </c>
      <c r="BQ104" s="12"/>
      <c r="BR104" s="12"/>
    </row>
    <row r="105" spans="2:70" x14ac:dyDescent="0.2">
      <c r="B105">
        <v>1900</v>
      </c>
      <c r="C105" s="12">
        <v>1869.2347412109375</v>
      </c>
      <c r="D105" s="12">
        <v>3236.437744140625</v>
      </c>
      <c r="E105" s="12">
        <v>6079.748046875</v>
      </c>
      <c r="F105" s="12">
        <v>1485.560302734375</v>
      </c>
      <c r="G105" s="12">
        <v>1383.0308837890625</v>
      </c>
      <c r="H105" s="12">
        <v>716.32257080078125</v>
      </c>
      <c r="I105" s="12">
        <v>852.3092041015625</v>
      </c>
      <c r="J105" s="12">
        <v>869.81500244140625</v>
      </c>
      <c r="K105" s="12">
        <v>763.05169677734375</v>
      </c>
      <c r="L105" s="12">
        <v>4825.787109375</v>
      </c>
      <c r="M105" s="12">
        <v>4493.00146484375</v>
      </c>
      <c r="N105" s="12">
        <v>2837.00634765625</v>
      </c>
      <c r="O105" s="12">
        <v>3875.935546875</v>
      </c>
      <c r="P105" s="12">
        <v>6397.4384765625</v>
      </c>
      <c r="Q105" s="12">
        <v>2768.01904296875</v>
      </c>
      <c r="R105" s="12">
        <v>4665.7001953125</v>
      </c>
      <c r="S105" s="12">
        <v>4048.095703125</v>
      </c>
      <c r="T105" s="12">
        <v>2672.55712890625</v>
      </c>
      <c r="U105" s="12">
        <v>3592.677734375</v>
      </c>
      <c r="V105" s="12">
        <v>1447.02001953125</v>
      </c>
      <c r="W105" s="12">
        <v>6684.2578125</v>
      </c>
      <c r="X105" s="12">
        <v>3198.306396484375</v>
      </c>
      <c r="Y105" s="12">
        <v>6175.29443359375</v>
      </c>
      <c r="Z105" s="12">
        <v>5416.02734375</v>
      </c>
      <c r="AA105" s="12">
        <v>1216.5772705078125</v>
      </c>
      <c r="AB105" s="12">
        <v>2869.497802734375</v>
      </c>
      <c r="AC105" s="12">
        <v>1110.8858642578125</v>
      </c>
      <c r="AD105" s="12">
        <v>2305.042724609375</v>
      </c>
      <c r="AE105" s="12">
        <v>1110.24755859375</v>
      </c>
      <c r="AF105" s="12">
        <v>1434.30517578125</v>
      </c>
      <c r="AG105" s="12">
        <v>932.06878662109375</v>
      </c>
      <c r="AH105" s="12">
        <v>561.3135986328125</v>
      </c>
      <c r="AI105" s="12">
        <v>2435.0390625</v>
      </c>
      <c r="AJ105" s="12">
        <v>1716.7650146484375</v>
      </c>
      <c r="AK105" s="12">
        <v>887.4072265625</v>
      </c>
      <c r="AL105" s="12">
        <v>801.07098388671875</v>
      </c>
      <c r="AM105" s="12">
        <v>1791.0885009765625</v>
      </c>
      <c r="AN105" s="12">
        <v>1325.0126953125</v>
      </c>
      <c r="AO105" s="12">
        <v>2219.892578125</v>
      </c>
      <c r="AP105" s="12">
        <v>971.59552001953125</v>
      </c>
      <c r="AQ105" s="12">
        <v>643.84716796875</v>
      </c>
      <c r="AR105" s="12">
        <v>560.99853515625</v>
      </c>
      <c r="AS105" s="12">
        <v>800.8304443359375</v>
      </c>
      <c r="AT105" s="12">
        <v>737.347412109375</v>
      </c>
      <c r="AU105" s="12">
        <v>724.59100341796875</v>
      </c>
      <c r="AV105" s="12">
        <v>933.62994384765625</v>
      </c>
      <c r="AW105" s="12">
        <v>430.43511962890625</v>
      </c>
      <c r="AX105" s="12">
        <v>362.0185546875</v>
      </c>
      <c r="AY105" s="12">
        <v>1886.834716796875</v>
      </c>
      <c r="AZ105" s="12">
        <v>313.09500122070312</v>
      </c>
      <c r="BA105" s="12">
        <v>1093.6744384765625</v>
      </c>
      <c r="BB105" s="12">
        <v>888.87408447265625</v>
      </c>
      <c r="BC105" s="12">
        <v>772.92596435546875</v>
      </c>
      <c r="BD105" s="12">
        <v>1492.893798828125</v>
      </c>
      <c r="BE105" s="12">
        <v>708.83905029296875</v>
      </c>
      <c r="BF105" s="12">
        <v>825.1328125</v>
      </c>
      <c r="BG105" s="12">
        <v>1639.3577880859375</v>
      </c>
      <c r="BH105" s="12">
        <v>1092.8446044921875</v>
      </c>
      <c r="BI105" s="12">
        <v>701.715087890625</v>
      </c>
      <c r="BJ105" s="12">
        <v>724.58447265625</v>
      </c>
      <c r="BK105" s="12">
        <v>415.27825927734375</v>
      </c>
      <c r="BL105" s="12">
        <v>861.89971923828125</v>
      </c>
      <c r="BM105" s="12">
        <v>968.64630126953125</v>
      </c>
      <c r="BN105" s="12">
        <v>1021.5067138671875</v>
      </c>
      <c r="BO105" s="12">
        <v>773.73681640625</v>
      </c>
      <c r="BP105" s="12">
        <v>1438.18408203125</v>
      </c>
      <c r="BQ105" s="12"/>
      <c r="BR105" s="12"/>
    </row>
    <row r="106" spans="2:70" x14ac:dyDescent="0.2">
      <c r="B106">
        <v>1901</v>
      </c>
      <c r="C106" s="12">
        <v>1894.786376953125</v>
      </c>
      <c r="D106" s="12">
        <v>3178.04931640625</v>
      </c>
      <c r="E106" s="12">
        <v>6386.77978515625</v>
      </c>
      <c r="F106" s="12">
        <v>1574.1226806640625</v>
      </c>
      <c r="G106" s="12">
        <v>1414.238037109375</v>
      </c>
      <c r="H106" s="12">
        <v>728.7542724609375</v>
      </c>
      <c r="I106" s="12">
        <v>802.97113037109375</v>
      </c>
      <c r="J106" s="12">
        <v>867.16552734375</v>
      </c>
      <c r="K106" s="12">
        <v>770.8037109375</v>
      </c>
      <c r="L106" s="12">
        <v>4799.22998046875</v>
      </c>
      <c r="M106" s="12">
        <v>4445.52734375</v>
      </c>
      <c r="N106" s="12">
        <v>2988.597412109375</v>
      </c>
      <c r="O106" s="12">
        <v>3617.421142578125</v>
      </c>
      <c r="P106" s="12">
        <v>6229.92333984375</v>
      </c>
      <c r="Q106" s="12">
        <v>2813.079345703125</v>
      </c>
      <c r="R106" s="12">
        <v>4686.2890625</v>
      </c>
      <c r="S106" s="12">
        <v>4008.154541015625</v>
      </c>
      <c r="T106" s="12">
        <v>2627.166748046875</v>
      </c>
      <c r="U106" s="12">
        <v>3531.71240234375</v>
      </c>
      <c r="V106" s="12">
        <v>1422.1280517578125</v>
      </c>
      <c r="W106" s="12">
        <v>7033.4228515625</v>
      </c>
      <c r="X106" s="12">
        <v>3417.866943359375</v>
      </c>
      <c r="Y106" s="12">
        <v>6153.5107421875</v>
      </c>
      <c r="Z106" s="12">
        <v>5309.03076171875</v>
      </c>
      <c r="AA106" s="12">
        <v>1276.8348388671875</v>
      </c>
      <c r="AB106" s="12">
        <v>2973.58837890625</v>
      </c>
      <c r="AC106" s="12">
        <v>909.22119140625</v>
      </c>
      <c r="AD106" s="12">
        <v>2331.4296875</v>
      </c>
      <c r="AE106" s="12">
        <v>1045.22265625</v>
      </c>
      <c r="AF106" s="12">
        <v>1879.0428466796875</v>
      </c>
      <c r="AG106" s="12">
        <v>947.5289306640625</v>
      </c>
      <c r="AH106" s="12">
        <v>563.2305908203125</v>
      </c>
      <c r="AI106" s="12">
        <v>2476.464599609375</v>
      </c>
      <c r="AJ106" s="12">
        <v>1814.24462890625</v>
      </c>
      <c r="AK106" s="12">
        <v>898.1214599609375</v>
      </c>
      <c r="AL106" s="12">
        <v>805.529052734375</v>
      </c>
      <c r="AM106" s="12">
        <v>1804.293701171875</v>
      </c>
      <c r="AN106" s="12">
        <v>1340.4837646484375</v>
      </c>
      <c r="AO106" s="12">
        <v>2274.713134765625</v>
      </c>
      <c r="AP106" s="12">
        <v>973.49212646484375</v>
      </c>
      <c r="AQ106" s="12">
        <v>643.91583251953125</v>
      </c>
      <c r="AR106" s="12">
        <v>562.3275146484375</v>
      </c>
      <c r="AS106" s="12">
        <v>802.72760009765625</v>
      </c>
      <c r="AT106" s="12">
        <v>739.094482421875</v>
      </c>
      <c r="AU106" s="12">
        <v>726.307861328125</v>
      </c>
      <c r="AV106" s="12">
        <v>933.38037109375</v>
      </c>
      <c r="AW106" s="12">
        <v>431.454833984375</v>
      </c>
      <c r="AX106" s="12">
        <v>362.87600708007812</v>
      </c>
      <c r="AY106" s="12">
        <v>2027.9212646484375</v>
      </c>
      <c r="AZ106" s="12">
        <v>318.03915405273438</v>
      </c>
      <c r="BA106" s="12">
        <v>1030.3631591796875</v>
      </c>
      <c r="BB106" s="12">
        <v>837.418212890625</v>
      </c>
      <c r="BC106" s="12">
        <v>767.30743408203125</v>
      </c>
      <c r="BD106" s="12">
        <v>1499.6102294921875</v>
      </c>
      <c r="BE106" s="12">
        <v>720.1329345703125</v>
      </c>
      <c r="BF106" s="12">
        <v>814.5802001953125</v>
      </c>
      <c r="BG106" s="12">
        <v>1634.3155517578125</v>
      </c>
      <c r="BH106" s="12">
        <v>1099.431640625</v>
      </c>
      <c r="BI106" s="12">
        <v>720.02783203125</v>
      </c>
      <c r="BJ106" s="12">
        <v>706.87139892578125</v>
      </c>
      <c r="BK106" s="12">
        <v>419.39950561523438</v>
      </c>
      <c r="BL106" s="12">
        <v>867.09478759765625</v>
      </c>
      <c r="BM106" s="12">
        <v>970.54052734375</v>
      </c>
      <c r="BN106" s="12">
        <v>1015.0050659179688</v>
      </c>
      <c r="BO106" s="12">
        <v>780.6103515625</v>
      </c>
      <c r="BP106" s="12">
        <v>1448.5113525390625</v>
      </c>
      <c r="BQ106" s="12"/>
      <c r="BR106" s="12"/>
    </row>
    <row r="107" spans="2:70" x14ac:dyDescent="0.2">
      <c r="B107">
        <v>1902</v>
      </c>
      <c r="C107" s="12">
        <v>1923.6768798828125</v>
      </c>
      <c r="D107" s="12">
        <v>3168.842041015625</v>
      </c>
      <c r="E107" s="12">
        <v>6650.49658203125</v>
      </c>
      <c r="F107" s="12">
        <v>1519.104248046875</v>
      </c>
      <c r="G107" s="12">
        <v>1432.38818359375</v>
      </c>
      <c r="H107" s="12">
        <v>745.92462158203125</v>
      </c>
      <c r="I107" s="12">
        <v>903.937744140625</v>
      </c>
      <c r="J107" s="12">
        <v>847.01123046875</v>
      </c>
      <c r="K107" s="12">
        <v>764.2025146484375</v>
      </c>
      <c r="L107" s="12">
        <v>4795.04541015625</v>
      </c>
      <c r="M107" s="12">
        <v>4468.48291015625</v>
      </c>
      <c r="N107" s="12">
        <v>2919.579345703125</v>
      </c>
      <c r="O107" s="12">
        <v>3564.5263671875</v>
      </c>
      <c r="P107" s="12">
        <v>6243.9326171875</v>
      </c>
      <c r="Q107" s="12">
        <v>2832.406005859375</v>
      </c>
      <c r="R107" s="12">
        <v>4717.73193359375</v>
      </c>
      <c r="S107" s="12">
        <v>3887.296142578125</v>
      </c>
      <c r="T107" s="12">
        <v>2567.74169921875</v>
      </c>
      <c r="U107" s="12">
        <v>3521.46728515625</v>
      </c>
      <c r="V107" s="12">
        <v>1418.1585693359375</v>
      </c>
      <c r="W107" s="12">
        <v>7327.42431640625</v>
      </c>
      <c r="X107" s="12">
        <v>3721.91552734375</v>
      </c>
      <c r="Y107" s="12">
        <v>6062.36328125</v>
      </c>
      <c r="Z107" s="12">
        <v>5586.4453125</v>
      </c>
      <c r="AA107" s="12">
        <v>1328.5504150390625</v>
      </c>
      <c r="AB107" s="12">
        <v>2855.27294921875</v>
      </c>
      <c r="AC107" s="12">
        <v>921.78350830078125</v>
      </c>
      <c r="AD107" s="12">
        <v>2432.2861328125</v>
      </c>
      <c r="AE107" s="12">
        <v>1018.7778930664062</v>
      </c>
      <c r="AF107" s="12">
        <v>1730.39306640625</v>
      </c>
      <c r="AG107" s="12">
        <v>919.5706787109375</v>
      </c>
      <c r="AH107" s="12">
        <v>565.29815673828125</v>
      </c>
      <c r="AI107" s="12">
        <v>2521.25341796875</v>
      </c>
      <c r="AJ107" s="12">
        <v>1841.9176025390625</v>
      </c>
      <c r="AK107" s="12">
        <v>909.33917236328125</v>
      </c>
      <c r="AL107" s="12">
        <v>810.34552001953125</v>
      </c>
      <c r="AM107" s="12">
        <v>1818.059326171875</v>
      </c>
      <c r="AN107" s="12">
        <v>1356.4825439453125</v>
      </c>
      <c r="AO107" s="12">
        <v>2305.100341796875</v>
      </c>
      <c r="AP107" s="12">
        <v>976.41845703125</v>
      </c>
      <c r="AQ107" s="12">
        <v>644.14849853515625</v>
      </c>
      <c r="AR107" s="12">
        <v>563.8919677734375</v>
      </c>
      <c r="AS107" s="12">
        <v>804.9609375</v>
      </c>
      <c r="AT107" s="12">
        <v>741.15081787109375</v>
      </c>
      <c r="AU107" s="12">
        <v>728.32855224609375</v>
      </c>
      <c r="AV107" s="12">
        <v>855.11724853515625</v>
      </c>
      <c r="AW107" s="12">
        <v>432.65518188476562</v>
      </c>
      <c r="AX107" s="12">
        <v>363.88555908203125</v>
      </c>
      <c r="AY107" s="12">
        <v>2419.245361328125</v>
      </c>
      <c r="AZ107" s="12">
        <v>322.67172241210938</v>
      </c>
      <c r="BA107" s="12">
        <v>1159.9210205078125</v>
      </c>
      <c r="BB107" s="12">
        <v>942.71527099609375</v>
      </c>
      <c r="BC107" s="12">
        <v>761.923095703125</v>
      </c>
      <c r="BD107" s="12">
        <v>1366.692626953125</v>
      </c>
      <c r="BE107" s="12">
        <v>725.64813232421875</v>
      </c>
      <c r="BF107" s="12">
        <v>808.3822021484375</v>
      </c>
      <c r="BG107" s="12">
        <v>1602.2186279296875</v>
      </c>
      <c r="BH107" s="12">
        <v>1107.225341796875</v>
      </c>
      <c r="BI107" s="12">
        <v>708.883056640625</v>
      </c>
      <c r="BJ107" s="12">
        <v>690.10760498046875</v>
      </c>
      <c r="BK107" s="12">
        <v>402.20980834960938</v>
      </c>
      <c r="BL107" s="12">
        <v>873.2415771484375</v>
      </c>
      <c r="BM107" s="12">
        <v>973.04443359375</v>
      </c>
      <c r="BN107" s="12">
        <v>1019.4481811523438</v>
      </c>
      <c r="BO107" s="12">
        <v>781.7010498046875</v>
      </c>
      <c r="BP107" s="12">
        <v>1440.6937255859375</v>
      </c>
      <c r="BQ107" s="12"/>
      <c r="BR107" s="12"/>
    </row>
    <row r="108" spans="2:70" x14ac:dyDescent="0.2">
      <c r="B108">
        <v>1903</v>
      </c>
      <c r="C108" s="12">
        <v>1972.0413818359375</v>
      </c>
      <c r="D108" s="12">
        <v>3179.685302734375</v>
      </c>
      <c r="E108" s="12">
        <v>6817.87841796875</v>
      </c>
      <c r="F108" s="12">
        <v>1579.8538818359375</v>
      </c>
      <c r="G108" s="12">
        <v>1450.22802734375</v>
      </c>
      <c r="H108" s="12">
        <v>813.70172119140625</v>
      </c>
      <c r="I108" s="12">
        <v>890.75225830078125</v>
      </c>
      <c r="J108" s="12">
        <v>855.0008544921875</v>
      </c>
      <c r="K108" s="12">
        <v>882.5006103515625</v>
      </c>
      <c r="L108" s="12">
        <v>4826.31982421875</v>
      </c>
      <c r="M108" s="12">
        <v>4795.39501953125</v>
      </c>
      <c r="N108" s="12">
        <v>2999.8798828125</v>
      </c>
      <c r="O108" s="12">
        <v>3759.9130859375</v>
      </c>
      <c r="P108" s="12">
        <v>6015.81298828125</v>
      </c>
      <c r="Q108" s="12">
        <v>2856.923828125</v>
      </c>
      <c r="R108" s="12">
        <v>4645.80322265625</v>
      </c>
      <c r="S108" s="12">
        <v>3749.544921875</v>
      </c>
      <c r="T108" s="12">
        <v>2737.9619140625</v>
      </c>
      <c r="U108" s="12">
        <v>3547.038330078125</v>
      </c>
      <c r="V108" s="12">
        <v>1428.4852294921875</v>
      </c>
      <c r="W108" s="12">
        <v>7533.28662109375</v>
      </c>
      <c r="X108" s="12">
        <v>3782.029296875</v>
      </c>
      <c r="Y108" s="12">
        <v>5723.24365234375</v>
      </c>
      <c r="Z108" s="12">
        <v>5952.4287109375</v>
      </c>
      <c r="AA108" s="12">
        <v>1360.3133544921875</v>
      </c>
      <c r="AB108" s="12">
        <v>3049.574951171875</v>
      </c>
      <c r="AC108" s="12">
        <v>910.8739013671875</v>
      </c>
      <c r="AD108" s="12">
        <v>2259.1533203125</v>
      </c>
      <c r="AE108" s="12">
        <v>1079.6923828125</v>
      </c>
      <c r="AF108" s="12">
        <v>1861.22021484375</v>
      </c>
      <c r="AG108" s="12">
        <v>955.29351806640625</v>
      </c>
      <c r="AH108" s="12">
        <v>567.33612060546875</v>
      </c>
      <c r="AI108" s="12">
        <v>2566.15185546875</v>
      </c>
      <c r="AJ108" s="12">
        <v>1868.9515380859375</v>
      </c>
      <c r="AK108" s="12">
        <v>920.59942626953125</v>
      </c>
      <c r="AL108" s="12">
        <v>815.10394287109375</v>
      </c>
      <c r="AM108" s="12">
        <v>1831.8096923828125</v>
      </c>
      <c r="AN108" s="12">
        <v>1372.58154296875</v>
      </c>
      <c r="AO108" s="12">
        <v>2336.447021484375</v>
      </c>
      <c r="AP108" s="12">
        <v>979.088134765625</v>
      </c>
      <c r="AQ108" s="12">
        <v>644.33941650390625</v>
      </c>
      <c r="AR108" s="12">
        <v>565.40087890625</v>
      </c>
      <c r="AS108" s="12">
        <v>807.1148681640625</v>
      </c>
      <c r="AT108" s="12">
        <v>743.13397216796875</v>
      </c>
      <c r="AU108" s="12">
        <v>730.2774658203125</v>
      </c>
      <c r="AV108" s="12">
        <v>863.861083984375</v>
      </c>
      <c r="AW108" s="12">
        <v>433.81289672851562</v>
      </c>
      <c r="AX108" s="12">
        <v>364.85891723632812</v>
      </c>
      <c r="AY108" s="12">
        <v>3239.130126953125</v>
      </c>
      <c r="AZ108" s="12">
        <v>350.49908447265625</v>
      </c>
      <c r="BA108" s="12">
        <v>1143.0009765625</v>
      </c>
      <c r="BB108" s="12">
        <v>928.96331787109375</v>
      </c>
      <c r="BC108" s="12">
        <v>756.52764892578125</v>
      </c>
      <c r="BD108" s="12">
        <v>1446.320556640625</v>
      </c>
      <c r="BE108" s="12">
        <v>731.14520263671875</v>
      </c>
      <c r="BF108" s="12">
        <v>949.90679931640625</v>
      </c>
      <c r="BG108" s="12">
        <v>1614.102294921875</v>
      </c>
      <c r="BH108" s="12">
        <v>1114.7711181640625</v>
      </c>
      <c r="BI108" s="12">
        <v>887.02313232421875</v>
      </c>
      <c r="BJ108" s="12">
        <v>721.32366943359375</v>
      </c>
      <c r="BK108" s="12">
        <v>385.61965942382812</v>
      </c>
      <c r="BL108" s="12">
        <v>879.19256591796875</v>
      </c>
      <c r="BM108" s="12">
        <v>1153.490478515625</v>
      </c>
      <c r="BN108" s="12">
        <v>1023.2656860351562</v>
      </c>
      <c r="BO108" s="12">
        <v>788.901611328125</v>
      </c>
      <c r="BP108" s="12">
        <v>1644.154541015625</v>
      </c>
      <c r="BQ108" s="12"/>
      <c r="BR108" s="12"/>
    </row>
    <row r="109" spans="2:70" x14ac:dyDescent="0.2">
      <c r="B109">
        <v>1904</v>
      </c>
      <c r="C109" s="12">
        <v>1959.542236328125</v>
      </c>
      <c r="D109" s="12">
        <v>3194.497314453125</v>
      </c>
      <c r="E109" s="12">
        <v>6583.8583984375</v>
      </c>
      <c r="F109" s="12">
        <v>1608.7471923828125</v>
      </c>
      <c r="G109" s="12">
        <v>1468.0531005859375</v>
      </c>
      <c r="H109" s="12">
        <v>819.71795654296875</v>
      </c>
      <c r="I109" s="12">
        <v>926.59466552734375</v>
      </c>
      <c r="J109" s="12">
        <v>850.5589599609375</v>
      </c>
      <c r="K109" s="12">
        <v>858.1365966796875</v>
      </c>
      <c r="L109" s="12">
        <v>4912.8974609375</v>
      </c>
      <c r="M109" s="12">
        <v>4784.24951171875</v>
      </c>
      <c r="N109" s="12">
        <v>3088.37353515625</v>
      </c>
      <c r="O109" s="12">
        <v>3868.1982421875</v>
      </c>
      <c r="P109" s="12">
        <v>5899.2197265625</v>
      </c>
      <c r="Q109" s="12">
        <v>2835.64453125</v>
      </c>
      <c r="R109" s="12">
        <v>4588.935546875</v>
      </c>
      <c r="S109" s="12">
        <v>3736.90771484375</v>
      </c>
      <c r="T109" s="12">
        <v>2812.0244140625</v>
      </c>
      <c r="U109" s="12">
        <v>3570.0166015625</v>
      </c>
      <c r="V109" s="12">
        <v>1437.5313720703125</v>
      </c>
      <c r="W109" s="12">
        <v>7239.9033203125</v>
      </c>
      <c r="X109" s="12">
        <v>3699.337646484375</v>
      </c>
      <c r="Y109" s="12">
        <v>6225.1396484375</v>
      </c>
      <c r="Z109" s="12">
        <v>5746.9560546875</v>
      </c>
      <c r="AA109" s="12">
        <v>1313.142822265625</v>
      </c>
      <c r="AB109" s="12">
        <v>3380.4912109375</v>
      </c>
      <c r="AC109" s="12">
        <v>861.26776123046875</v>
      </c>
      <c r="AD109" s="12">
        <v>2426.03466796875</v>
      </c>
      <c r="AE109" s="12">
        <v>1123.6126708984375</v>
      </c>
      <c r="AF109" s="12">
        <v>1799.2069091796875</v>
      </c>
      <c r="AG109" s="12">
        <v>969.71697998046875</v>
      </c>
      <c r="AH109" s="12">
        <v>569.3084716796875</v>
      </c>
      <c r="AI109" s="12">
        <v>2610.503173828125</v>
      </c>
      <c r="AJ109" s="12">
        <v>1894.35400390625</v>
      </c>
      <c r="AK109" s="12">
        <v>931.81134033203125</v>
      </c>
      <c r="AL109" s="12">
        <v>819.72601318359375</v>
      </c>
      <c r="AM109" s="12">
        <v>1845.4248046875</v>
      </c>
      <c r="AN109" s="12">
        <v>1388.6943359375</v>
      </c>
      <c r="AO109" s="12">
        <v>2367.77734375</v>
      </c>
      <c r="AP109" s="12">
        <v>981.26397705078125</v>
      </c>
      <c r="AQ109" s="12">
        <v>644.44757080078125</v>
      </c>
      <c r="AR109" s="12">
        <v>566.7998046875</v>
      </c>
      <c r="AS109" s="12">
        <v>730.8658447265625</v>
      </c>
      <c r="AT109" s="12">
        <v>744.9722900390625</v>
      </c>
      <c r="AU109" s="12">
        <v>732.084716796875</v>
      </c>
      <c r="AV109" s="12">
        <v>900.01080322265625</v>
      </c>
      <c r="AW109" s="12">
        <v>434.88629150390625</v>
      </c>
      <c r="AX109" s="12">
        <v>365.7618408203125</v>
      </c>
      <c r="AY109" s="12">
        <v>3235.384033203125</v>
      </c>
      <c r="AZ109" s="12">
        <v>353.69613647460938</v>
      </c>
      <c r="BA109" s="12">
        <v>1188.9908447265625</v>
      </c>
      <c r="BB109" s="12">
        <v>966.341796875</v>
      </c>
      <c r="BC109" s="12">
        <v>751.073974609375</v>
      </c>
      <c r="BD109" s="12">
        <v>1436.635498046875</v>
      </c>
      <c r="BE109" s="12">
        <v>743.22186279296875</v>
      </c>
      <c r="BF109" s="12">
        <v>904.777099609375</v>
      </c>
      <c r="BG109" s="12">
        <v>1605.7064208984375</v>
      </c>
      <c r="BH109" s="12">
        <v>1121.7916259765625</v>
      </c>
      <c r="BI109" s="12">
        <v>849.7779541015625</v>
      </c>
      <c r="BJ109" s="12">
        <v>727.71759033203125</v>
      </c>
      <c r="BK109" s="12">
        <v>369.52371215820312</v>
      </c>
      <c r="BL109" s="12">
        <v>884.7294921875</v>
      </c>
      <c r="BM109" s="12">
        <v>981.021240234375</v>
      </c>
      <c r="BN109" s="12">
        <v>1025.879638671875</v>
      </c>
      <c r="BO109" s="12">
        <v>789.59478759765625</v>
      </c>
      <c r="BP109" s="12">
        <v>1601.0054931640625</v>
      </c>
      <c r="BQ109" s="12"/>
      <c r="BR109" s="12"/>
    </row>
    <row r="110" spans="2:70" x14ac:dyDescent="0.2">
      <c r="B110">
        <v>1905</v>
      </c>
      <c r="C110" s="12">
        <v>2044.8084716796875</v>
      </c>
      <c r="D110" s="12">
        <v>3258.195556640625</v>
      </c>
      <c r="E110" s="12">
        <v>7172.71240234375</v>
      </c>
      <c r="F110" s="12">
        <v>1768.1650390625</v>
      </c>
      <c r="G110" s="12">
        <v>1483.1063232421875</v>
      </c>
      <c r="H110" s="12">
        <v>836.16741943359375</v>
      </c>
      <c r="I110" s="12">
        <v>822.6832275390625</v>
      </c>
      <c r="J110" s="12">
        <v>840.934326171875</v>
      </c>
      <c r="K110" s="12">
        <v>893.33111572265625</v>
      </c>
      <c r="L110" s="12">
        <v>5060.19287109375</v>
      </c>
      <c r="M110" s="12">
        <v>4880.64990234375</v>
      </c>
      <c r="N110" s="12">
        <v>2955.846435546875</v>
      </c>
      <c r="O110" s="12">
        <v>3880.62841796875</v>
      </c>
      <c r="P110" s="12">
        <v>6040.87451171875</v>
      </c>
      <c r="Q110" s="12">
        <v>2953.089111328125</v>
      </c>
      <c r="R110" s="12">
        <v>4847.30078125</v>
      </c>
      <c r="S110" s="12">
        <v>3683.76611328125</v>
      </c>
      <c r="T110" s="12">
        <v>2801.50341796875</v>
      </c>
      <c r="U110" s="12">
        <v>3637.529052734375</v>
      </c>
      <c r="V110" s="12">
        <v>1463.58349609375</v>
      </c>
      <c r="W110" s="12">
        <v>7921.19873046875</v>
      </c>
      <c r="X110" s="12">
        <v>4018.779296875</v>
      </c>
      <c r="Y110" s="12">
        <v>6098.08203125</v>
      </c>
      <c r="Z110" s="12">
        <v>6051.26513671875</v>
      </c>
      <c r="AA110" s="12">
        <v>1426.522216796875</v>
      </c>
      <c r="AB110" s="12">
        <v>3774.053955078125</v>
      </c>
      <c r="AC110" s="12">
        <v>844.7652587890625</v>
      </c>
      <c r="AD110" s="12">
        <v>2327.264404296875</v>
      </c>
      <c r="AE110" s="12">
        <v>1063.4005126953125</v>
      </c>
      <c r="AF110" s="12">
        <v>2171.564453125</v>
      </c>
      <c r="AG110" s="12">
        <v>1051.4599609375</v>
      </c>
      <c r="AH110" s="12">
        <v>571.0120849609375</v>
      </c>
      <c r="AI110" s="12">
        <v>2650.494873046875</v>
      </c>
      <c r="AJ110" s="12">
        <v>1912.406005859375</v>
      </c>
      <c r="AK110" s="12">
        <v>942.45294189453125</v>
      </c>
      <c r="AL110" s="12">
        <v>823.755859375</v>
      </c>
      <c r="AM110" s="12">
        <v>1858.2401123046875</v>
      </c>
      <c r="AN110" s="12">
        <v>1404.3201904296875</v>
      </c>
      <c r="AO110" s="12">
        <v>2394.4423828125</v>
      </c>
      <c r="AP110" s="12">
        <v>981.5517578125</v>
      </c>
      <c r="AQ110" s="12">
        <v>644.2442626953125</v>
      </c>
      <c r="AR110" s="12">
        <v>567.77587890625</v>
      </c>
      <c r="AS110" s="12">
        <v>669.49749755859375</v>
      </c>
      <c r="AT110" s="12">
        <v>746.25567626953125</v>
      </c>
      <c r="AU110" s="12">
        <v>733.34503173828125</v>
      </c>
      <c r="AV110" s="12">
        <v>903.54046630859375</v>
      </c>
      <c r="AW110" s="12">
        <v>435.63516235351562</v>
      </c>
      <c r="AX110" s="12">
        <v>366.39227294921875</v>
      </c>
      <c r="AY110" s="12">
        <v>3443.693115234375</v>
      </c>
      <c r="AZ110" s="12">
        <v>359.7117919921875</v>
      </c>
      <c r="BA110" s="12">
        <v>1055.6514892578125</v>
      </c>
      <c r="BB110" s="12">
        <v>857.97113037109375</v>
      </c>
      <c r="BC110" s="12">
        <v>745.30194091796875</v>
      </c>
      <c r="BD110" s="12">
        <v>1398.581298828125</v>
      </c>
      <c r="BE110" s="12">
        <v>748.00677490234375</v>
      </c>
      <c r="BF110" s="12">
        <v>729.27581787109375</v>
      </c>
      <c r="BG110" s="12">
        <v>1589.0458984375</v>
      </c>
      <c r="BH110" s="12">
        <v>1126.686767578125</v>
      </c>
      <c r="BI110" s="12">
        <v>898.686279296875</v>
      </c>
      <c r="BJ110" s="12">
        <v>726.63818359375</v>
      </c>
      <c r="BK110" s="12">
        <v>353.41943359375</v>
      </c>
      <c r="BL110" s="12">
        <v>888.59014892578125</v>
      </c>
      <c r="BM110" s="12">
        <v>1014.5056762695312</v>
      </c>
      <c r="BN110" s="12">
        <v>1023.9268798828125</v>
      </c>
      <c r="BO110" s="12">
        <v>788.58514404296875</v>
      </c>
      <c r="BP110" s="12">
        <v>1676.6138916015625</v>
      </c>
      <c r="BQ110" s="12"/>
      <c r="BR110" s="12"/>
    </row>
    <row r="111" spans="2:70" x14ac:dyDescent="0.2">
      <c r="B111">
        <v>1906</v>
      </c>
      <c r="C111" s="12">
        <v>2088.2900390625</v>
      </c>
      <c r="D111" s="12">
        <v>3310.48291015625</v>
      </c>
      <c r="E111" s="12">
        <v>7354.93896484375</v>
      </c>
      <c r="F111" s="12">
        <v>1861.669677734375</v>
      </c>
      <c r="G111" s="12">
        <v>1501.6490478515625</v>
      </c>
      <c r="H111" s="12">
        <v>860.9747314453125</v>
      </c>
      <c r="I111" s="12">
        <v>771.35577392578125</v>
      </c>
      <c r="J111" s="12">
        <v>858.73175048828125</v>
      </c>
      <c r="K111" s="12">
        <v>867.43560791015625</v>
      </c>
      <c r="L111" s="12">
        <v>4928.3408203125</v>
      </c>
      <c r="M111" s="12">
        <v>4978.1474609375</v>
      </c>
      <c r="N111" s="12">
        <v>3107.311767578125</v>
      </c>
      <c r="O111" s="12">
        <v>3798.010498046875</v>
      </c>
      <c r="P111" s="12">
        <v>6290.04052734375</v>
      </c>
      <c r="Q111" s="12">
        <v>3165.138427734375</v>
      </c>
      <c r="R111" s="12">
        <v>4770.80126953125</v>
      </c>
      <c r="S111" s="12">
        <v>3967.29931640625</v>
      </c>
      <c r="T111" s="12">
        <v>3054.656982421875</v>
      </c>
      <c r="U111" s="12">
        <v>3703.566650390625</v>
      </c>
      <c r="V111" s="12">
        <v>1490.31201171875</v>
      </c>
      <c r="W111" s="12">
        <v>8094.0029296875</v>
      </c>
      <c r="X111" s="12">
        <v>4339.77392578125</v>
      </c>
      <c r="Y111" s="12">
        <v>6416.5302734375</v>
      </c>
      <c r="Z111" s="12">
        <v>6442.75146484375</v>
      </c>
      <c r="AA111" s="12">
        <v>1462.3729248046875</v>
      </c>
      <c r="AB111" s="12">
        <v>3973.6630859375</v>
      </c>
      <c r="AC111" s="12">
        <v>1112.0655517578125</v>
      </c>
      <c r="AD111" s="12">
        <v>2429.74169921875</v>
      </c>
      <c r="AE111" s="12">
        <v>963.7139892578125</v>
      </c>
      <c r="AF111" s="12">
        <v>2042.2816162109375</v>
      </c>
      <c r="AG111" s="12">
        <v>1113.7628173828125</v>
      </c>
      <c r="AH111" s="12">
        <v>573.10028076171875</v>
      </c>
      <c r="AI111" s="12">
        <v>2698.322265625</v>
      </c>
      <c r="AJ111" s="12">
        <v>1941.428466796875</v>
      </c>
      <c r="AK111" s="12">
        <v>954.21038818359375</v>
      </c>
      <c r="AL111" s="12">
        <v>828.6689453125</v>
      </c>
      <c r="AM111" s="12">
        <v>1872.3873291015625</v>
      </c>
      <c r="AN111" s="12">
        <v>1421.059814453125</v>
      </c>
      <c r="AO111" s="12">
        <v>2426.707275390625</v>
      </c>
      <c r="AP111" s="12">
        <v>984.46661376953125</v>
      </c>
      <c r="AQ111" s="12">
        <v>644.46820068359375</v>
      </c>
      <c r="AR111" s="12">
        <v>569.34716796875</v>
      </c>
      <c r="AS111" s="12">
        <v>674.94091796875</v>
      </c>
      <c r="AT111" s="12">
        <v>748.3206787109375</v>
      </c>
      <c r="AU111" s="12">
        <v>735.37445068359375</v>
      </c>
      <c r="AV111" s="12">
        <v>897.8555908203125</v>
      </c>
      <c r="AW111" s="12">
        <v>436.84072875976562</v>
      </c>
      <c r="AX111" s="12">
        <v>367.40582275390625</v>
      </c>
      <c r="AY111" s="12">
        <v>3715.66064453125</v>
      </c>
      <c r="AZ111" s="12">
        <v>369.6793212890625</v>
      </c>
      <c r="BA111" s="12">
        <v>989.78729248046875</v>
      </c>
      <c r="BB111" s="12">
        <v>804.44061279296875</v>
      </c>
      <c r="BC111" s="12">
        <v>740.06195068359375</v>
      </c>
      <c r="BD111" s="12">
        <v>1558.5570068359375</v>
      </c>
      <c r="BE111" s="12">
        <v>747.27154541015625</v>
      </c>
      <c r="BF111" s="12">
        <v>755.65185546875</v>
      </c>
      <c r="BG111" s="12">
        <v>1616.9110107421875</v>
      </c>
      <c r="BH111" s="12">
        <v>1134.63134765625</v>
      </c>
      <c r="BI111" s="12">
        <v>854.03631591796875</v>
      </c>
      <c r="BJ111" s="12">
        <v>742.33441162109375</v>
      </c>
      <c r="BK111" s="12">
        <v>338.92135620117188</v>
      </c>
      <c r="BL111" s="12">
        <v>894.85589599609375</v>
      </c>
      <c r="BM111" s="12">
        <v>1033.631591796875</v>
      </c>
      <c r="BN111" s="12">
        <v>1028.322509765625</v>
      </c>
      <c r="BO111" s="12">
        <v>782.53118896484375</v>
      </c>
      <c r="BP111" s="12">
        <v>1616.133056640625</v>
      </c>
      <c r="BQ111" s="12"/>
      <c r="BR111" s="12"/>
    </row>
    <row r="112" spans="2:70" x14ac:dyDescent="0.2">
      <c r="B112">
        <v>1907</v>
      </c>
      <c r="C112" s="12">
        <v>2140.6640625</v>
      </c>
      <c r="D112" s="12">
        <v>3412.605712890625</v>
      </c>
      <c r="E112" s="12">
        <v>7543.40185546875</v>
      </c>
      <c r="F112" s="12">
        <v>1843.5570068359375</v>
      </c>
      <c r="G112" s="12">
        <v>1520.6136474609375</v>
      </c>
      <c r="H112" s="12">
        <v>862.9361572265625</v>
      </c>
      <c r="I112" s="12">
        <v>809.6480712890625</v>
      </c>
      <c r="J112" s="12">
        <v>854.9718017578125</v>
      </c>
      <c r="K112" s="12">
        <v>841.8460693359375</v>
      </c>
      <c r="L112" s="12">
        <v>5026.16845703125</v>
      </c>
      <c r="M112" s="12">
        <v>4972.55224609375</v>
      </c>
      <c r="N112" s="12">
        <v>3086.243896484375</v>
      </c>
      <c r="O112" s="12">
        <v>4179.4443359375</v>
      </c>
      <c r="P112" s="12">
        <v>6437.826171875</v>
      </c>
      <c r="Q112" s="12">
        <v>3232.20703125</v>
      </c>
      <c r="R112" s="12">
        <v>4600.54052734375</v>
      </c>
      <c r="S112" s="12">
        <v>4109.94921875</v>
      </c>
      <c r="T112" s="12">
        <v>3132.044189453125</v>
      </c>
      <c r="U112" s="12">
        <v>3817.23681640625</v>
      </c>
      <c r="V112" s="12">
        <v>1536.0780029296875</v>
      </c>
      <c r="W112" s="12">
        <v>8275.7900390625</v>
      </c>
      <c r="X112" s="12">
        <v>4550.28125</v>
      </c>
      <c r="Y112" s="12">
        <v>7123.51953125</v>
      </c>
      <c r="Z112" s="12">
        <v>6671.455078125</v>
      </c>
      <c r="AA112" s="12">
        <v>1499.85107421875</v>
      </c>
      <c r="AB112" s="12">
        <v>3981.83203125</v>
      </c>
      <c r="AC112" s="12">
        <v>1041.0928955078125</v>
      </c>
      <c r="AD112" s="12">
        <v>2510.223388671875</v>
      </c>
      <c r="AE112" s="12">
        <v>851.296875</v>
      </c>
      <c r="AF112" s="12">
        <v>2066.784423828125</v>
      </c>
      <c r="AG112" s="12">
        <v>1102.6556396484375</v>
      </c>
      <c r="AH112" s="12">
        <v>575.15826416015625</v>
      </c>
      <c r="AI112" s="12">
        <v>2746.2763671875</v>
      </c>
      <c r="AJ112" s="12">
        <v>1969.7933349609375</v>
      </c>
      <c r="AK112" s="12">
        <v>966.0137939453125</v>
      </c>
      <c r="AL112" s="12">
        <v>833.52459716796875</v>
      </c>
      <c r="AM112" s="12">
        <v>1886.517578125</v>
      </c>
      <c r="AN112" s="12">
        <v>1437.9056396484375</v>
      </c>
      <c r="AO112" s="12">
        <v>2458.7890625</v>
      </c>
      <c r="AP112" s="12">
        <v>987.1273193359375</v>
      </c>
      <c r="AQ112" s="12">
        <v>644.6497802734375</v>
      </c>
      <c r="AR112" s="12">
        <v>570.86346435546875</v>
      </c>
      <c r="AS112" s="12">
        <v>685.671875</v>
      </c>
      <c r="AT112" s="12">
        <v>750.3133544921875</v>
      </c>
      <c r="AU112" s="12">
        <v>737.3326416015625</v>
      </c>
      <c r="AV112" s="12">
        <v>915.28460693359375</v>
      </c>
      <c r="AW112" s="12">
        <v>438.004150390625</v>
      </c>
      <c r="AX112" s="12">
        <v>368.38418579101562</v>
      </c>
      <c r="AY112" s="12">
        <v>3642.96875</v>
      </c>
      <c r="AZ112" s="12">
        <v>371.05874633789062</v>
      </c>
      <c r="BA112" s="12">
        <v>1038.9219970703125</v>
      </c>
      <c r="BB112" s="12">
        <v>844.37451171875</v>
      </c>
      <c r="BC112" s="12">
        <v>734.8109130859375</v>
      </c>
      <c r="BD112" s="12">
        <v>1555.47998046875</v>
      </c>
      <c r="BE112" s="12">
        <v>752.91778564453125</v>
      </c>
      <c r="BF112" s="12">
        <v>814.63311767578125</v>
      </c>
      <c r="BG112" s="12">
        <v>1595.43212890625</v>
      </c>
      <c r="BH112" s="12">
        <v>1142.3275146484375</v>
      </c>
      <c r="BI112" s="12">
        <v>806.38702392578125</v>
      </c>
      <c r="BJ112" s="12">
        <v>752.5435791015625</v>
      </c>
      <c r="BK112" s="12">
        <v>344.98037719726562</v>
      </c>
      <c r="BL112" s="12">
        <v>900.92572021484375</v>
      </c>
      <c r="BM112" s="12">
        <v>1069.6083984375</v>
      </c>
      <c r="BN112" s="12">
        <v>1032.09814453125</v>
      </c>
      <c r="BO112" s="12">
        <v>782.94757080078125</v>
      </c>
      <c r="BP112" s="12">
        <v>1563.9229736328125</v>
      </c>
      <c r="BQ112" s="12"/>
      <c r="BR112" s="12"/>
    </row>
    <row r="113" spans="2:70" x14ac:dyDescent="0.2">
      <c r="B113">
        <v>1908</v>
      </c>
      <c r="C113" s="12">
        <v>2044.034423828125</v>
      </c>
      <c r="D113" s="12">
        <v>3354.943115234375</v>
      </c>
      <c r="E113" s="12">
        <v>6728.982421875</v>
      </c>
      <c r="F113" s="12">
        <v>1829.32373046875</v>
      </c>
      <c r="G113" s="12">
        <v>1541.5888671875</v>
      </c>
      <c r="H113" s="12">
        <v>803.47161865234375</v>
      </c>
      <c r="I113" s="12">
        <v>801.52984619140625</v>
      </c>
      <c r="J113" s="12">
        <v>852.6163330078125</v>
      </c>
      <c r="K113" s="12">
        <v>834.2662353515625</v>
      </c>
      <c r="L113" s="12">
        <v>5158.9462890625</v>
      </c>
      <c r="M113" s="12">
        <v>4924.2626953125</v>
      </c>
      <c r="N113" s="12">
        <v>3151.514892578125</v>
      </c>
      <c r="O113" s="12">
        <v>4047.54638671875</v>
      </c>
      <c r="P113" s="12">
        <v>6064.4970703125</v>
      </c>
      <c r="Q113" s="12">
        <v>3229.2705078125</v>
      </c>
      <c r="R113" s="12">
        <v>4575.73583984375</v>
      </c>
      <c r="S113" s="12">
        <v>4204.0478515625</v>
      </c>
      <c r="T113" s="12">
        <v>3090.58056640625</v>
      </c>
      <c r="U113" s="12">
        <v>3754.692626953125</v>
      </c>
      <c r="V113" s="12">
        <v>1511.3133544921875</v>
      </c>
      <c r="W113" s="12">
        <v>7358.53759765625</v>
      </c>
      <c r="X113" s="12">
        <v>4132.974609375</v>
      </c>
      <c r="Y113" s="12">
        <v>6802.46484375</v>
      </c>
      <c r="Z113" s="12">
        <v>6057.72802734375</v>
      </c>
      <c r="AA113" s="12">
        <v>1339.3175048828125</v>
      </c>
      <c r="AB113" s="12">
        <v>3958.955810546875</v>
      </c>
      <c r="AC113" s="12">
        <v>938.434814453125</v>
      </c>
      <c r="AD113" s="12">
        <v>2715.392333984375</v>
      </c>
      <c r="AE113" s="12">
        <v>973.5604248046875</v>
      </c>
      <c r="AF113" s="12">
        <v>2071.090087890625</v>
      </c>
      <c r="AG113" s="12">
        <v>1095.2562255859375</v>
      </c>
      <c r="AH113" s="12">
        <v>577.34075927734375</v>
      </c>
      <c r="AI113" s="12">
        <v>2797.288330078125</v>
      </c>
      <c r="AJ113" s="12">
        <v>2001.8497314453125</v>
      </c>
      <c r="AK113" s="12">
        <v>978.2628173828125</v>
      </c>
      <c r="AL113" s="12">
        <v>838.665771484375</v>
      </c>
      <c r="AM113" s="12">
        <v>1901.139892578125</v>
      </c>
      <c r="AN113" s="12">
        <v>1455.247314453125</v>
      </c>
      <c r="AO113" s="12">
        <v>2492.82568359375</v>
      </c>
      <c r="AP113" s="12">
        <v>990.57177734375</v>
      </c>
      <c r="AQ113" s="12">
        <v>644.96209716796875</v>
      </c>
      <c r="AR113" s="12">
        <v>572.55902099609375</v>
      </c>
      <c r="AS113" s="12">
        <v>705.54754638671875</v>
      </c>
      <c r="AT113" s="12">
        <v>752.54193115234375</v>
      </c>
      <c r="AU113" s="12">
        <v>739.5225830078125</v>
      </c>
      <c r="AV113" s="12">
        <v>912.68621826171875</v>
      </c>
      <c r="AW113" s="12">
        <v>439.3050537109375</v>
      </c>
      <c r="AX113" s="12">
        <v>369.47866821289062</v>
      </c>
      <c r="AY113" s="12">
        <v>2861.309814453125</v>
      </c>
      <c r="AZ113" s="12">
        <v>346.943115234375</v>
      </c>
      <c r="BA113" s="12">
        <v>1028.50341796875</v>
      </c>
      <c r="BB113" s="12">
        <v>835.90704345703125</v>
      </c>
      <c r="BC113" s="12">
        <v>723.78289794921875</v>
      </c>
      <c r="BD113" s="12">
        <v>1600.6356201171875</v>
      </c>
      <c r="BE113" s="12">
        <v>758.779541015625</v>
      </c>
      <c r="BF113" s="12">
        <v>820.50140380859375</v>
      </c>
      <c r="BG113" s="12">
        <v>1597.1192626953125</v>
      </c>
      <c r="BH113" s="12">
        <v>1141.4124755859375</v>
      </c>
      <c r="BI113" s="12">
        <v>788.31048583984375</v>
      </c>
      <c r="BJ113" s="12">
        <v>728.93115234375</v>
      </c>
      <c r="BK113" s="12">
        <v>348.50271606445312</v>
      </c>
      <c r="BL113" s="12">
        <v>900.20404052734375</v>
      </c>
      <c r="BM113" s="12">
        <v>1100.7236328125</v>
      </c>
      <c r="BN113" s="12">
        <v>1037.7730712890625</v>
      </c>
      <c r="BO113" s="12">
        <v>791.217529296875</v>
      </c>
      <c r="BP113" s="12">
        <v>1559.797119140625</v>
      </c>
      <c r="BQ113" s="12"/>
      <c r="BR113" s="12"/>
    </row>
    <row r="114" spans="2:70" x14ac:dyDescent="0.2">
      <c r="B114">
        <v>1909</v>
      </c>
      <c r="C114" s="12">
        <v>2108.770751953125</v>
      </c>
      <c r="D114" s="12">
        <v>3407.39892578125</v>
      </c>
      <c r="E114" s="12">
        <v>7026.32568359375</v>
      </c>
      <c r="F114" s="12">
        <v>1971.1234130859375</v>
      </c>
      <c r="G114" s="12">
        <v>1561.342041015625</v>
      </c>
      <c r="H114" s="12">
        <v>830.7960205078125</v>
      </c>
      <c r="I114" s="12">
        <v>888.08099365234375</v>
      </c>
      <c r="J114" s="12">
        <v>847.49505615234375</v>
      </c>
      <c r="K114" s="12">
        <v>825.2706298828125</v>
      </c>
      <c r="L114" s="12">
        <v>5151.0595703125</v>
      </c>
      <c r="M114" s="12">
        <v>5169.43798828125</v>
      </c>
      <c r="N114" s="12">
        <v>3247.908447265625</v>
      </c>
      <c r="O114" s="12">
        <v>4214.11474609375</v>
      </c>
      <c r="P114" s="12">
        <v>6003.3486328125</v>
      </c>
      <c r="Q114" s="12">
        <v>3432.9609375</v>
      </c>
      <c r="R114" s="12">
        <v>4740.61865234375</v>
      </c>
      <c r="S114" s="12">
        <v>4337.9970703125</v>
      </c>
      <c r="T114" s="12">
        <v>3046.87841796875</v>
      </c>
      <c r="U114" s="12">
        <v>3818.34130859375</v>
      </c>
      <c r="V114" s="12">
        <v>1536.744140625</v>
      </c>
      <c r="W114" s="12">
        <v>7685.48486328125</v>
      </c>
      <c r="X114" s="12">
        <v>4386.1044921875</v>
      </c>
      <c r="Y114" s="12">
        <v>7043.25390625</v>
      </c>
      <c r="Z114" s="12">
        <v>5968.66455078125</v>
      </c>
      <c r="AA114" s="12">
        <v>1397.0731201171875</v>
      </c>
      <c r="AB114" s="12">
        <v>4340.7451171875</v>
      </c>
      <c r="AC114" s="12">
        <v>1006.0308837890625</v>
      </c>
      <c r="AD114" s="12">
        <v>2689.974365234375</v>
      </c>
      <c r="AE114" s="12">
        <v>1059.0421142578125</v>
      </c>
      <c r="AF114" s="12">
        <v>2211.2900390625</v>
      </c>
      <c r="AG114" s="12">
        <v>1173.8612060546875</v>
      </c>
      <c r="AH114" s="12">
        <v>579.3504638671875</v>
      </c>
      <c r="AI114" s="12">
        <v>2845.76220703125</v>
      </c>
      <c r="AJ114" s="12">
        <v>2029.26708984375</v>
      </c>
      <c r="AK114" s="12">
        <v>990.19696044921875</v>
      </c>
      <c r="AL114" s="12">
        <v>843.43792724609375</v>
      </c>
      <c r="AM114" s="12">
        <v>1915.273681640625</v>
      </c>
      <c r="AN114" s="12">
        <v>1472.335693359375</v>
      </c>
      <c r="AO114" s="12">
        <v>2525.10986328125</v>
      </c>
      <c r="AP114" s="12">
        <v>992.8212890625</v>
      </c>
      <c r="AQ114" s="12">
        <v>645.07373046875</v>
      </c>
      <c r="AR114" s="12">
        <v>573.98699951171875</v>
      </c>
      <c r="AS114" s="12">
        <v>703.66064453125</v>
      </c>
      <c r="AT114" s="12">
        <v>754.4188232421875</v>
      </c>
      <c r="AU114" s="12">
        <v>741.36773681640625</v>
      </c>
      <c r="AV114" s="12">
        <v>979.29266357421875</v>
      </c>
      <c r="AW114" s="12">
        <v>440.40072631835938</v>
      </c>
      <c r="AX114" s="12">
        <v>370.39981079101562</v>
      </c>
      <c r="AY114" s="12">
        <v>2993.335693359375</v>
      </c>
      <c r="AZ114" s="12">
        <v>359.96551513671875</v>
      </c>
      <c r="BA114" s="12">
        <v>1139.5615234375</v>
      </c>
      <c r="BB114" s="12">
        <v>926.16851806640625</v>
      </c>
      <c r="BC114" s="12">
        <v>718.5296630859375</v>
      </c>
      <c r="BD114" s="12">
        <v>1589.0523681640625</v>
      </c>
      <c r="BE114" s="12">
        <v>757.98724365234375</v>
      </c>
      <c r="BF114" s="12">
        <v>889.2314453125</v>
      </c>
      <c r="BG114" s="12">
        <v>1575.872314453125</v>
      </c>
      <c r="BH114" s="12">
        <v>1148.5697021484375</v>
      </c>
      <c r="BI114" s="12">
        <v>772.2369384765625</v>
      </c>
      <c r="BJ114" s="12">
        <v>758.09722900390625</v>
      </c>
      <c r="BK114" s="12">
        <v>354.55267333984375</v>
      </c>
      <c r="BL114" s="12">
        <v>905.84881591796875</v>
      </c>
      <c r="BM114" s="12">
        <v>1100.3201904296875</v>
      </c>
      <c r="BN114" s="12">
        <v>1040.5421142578125</v>
      </c>
      <c r="BO114" s="12">
        <v>791.11383056640625</v>
      </c>
      <c r="BP114" s="12">
        <v>1523.040283203125</v>
      </c>
      <c r="BQ114" s="12"/>
      <c r="BR114" s="12"/>
    </row>
    <row r="115" spans="2:70" x14ac:dyDescent="0.2">
      <c r="B115">
        <v>1910</v>
      </c>
      <c r="C115" s="12">
        <v>2167.927978515625</v>
      </c>
      <c r="D115" s="12">
        <v>3417.352783203125</v>
      </c>
      <c r="E115" s="12">
        <v>7299.90869140625</v>
      </c>
      <c r="F115" s="12">
        <v>2163.05224609375</v>
      </c>
      <c r="G115" s="12">
        <v>1578.6253662109375</v>
      </c>
      <c r="H115" s="12">
        <v>726.9681396484375</v>
      </c>
      <c r="I115" s="12">
        <v>879.71478271484375</v>
      </c>
      <c r="J115" s="12">
        <v>842.10552978515625</v>
      </c>
      <c r="K115" s="12">
        <v>946.1549072265625</v>
      </c>
      <c r="L115" s="12">
        <v>5257.52392578125</v>
      </c>
      <c r="M115" s="12">
        <v>5326.603515625</v>
      </c>
      <c r="N115" s="12">
        <v>3047.239990234375</v>
      </c>
      <c r="O115" s="12">
        <v>4064.27001953125</v>
      </c>
      <c r="P115" s="12">
        <v>6149.341796875</v>
      </c>
      <c r="Q115" s="12">
        <v>3467.06201171875</v>
      </c>
      <c r="R115" s="12">
        <v>4903.580078125</v>
      </c>
      <c r="S115" s="12">
        <v>4556.26123046875</v>
      </c>
      <c r="T115" s="12">
        <v>3265.142333984375</v>
      </c>
      <c r="U115" s="12">
        <v>3843.661865234375</v>
      </c>
      <c r="V115" s="12">
        <v>1547.3258056640625</v>
      </c>
      <c r="W115" s="12">
        <v>7987.6884765625</v>
      </c>
      <c r="X115" s="12">
        <v>4465.29052734375</v>
      </c>
      <c r="Y115" s="12">
        <v>7415.1005859375</v>
      </c>
      <c r="Z115" s="12">
        <v>6366.02978515625</v>
      </c>
      <c r="AA115" s="12">
        <v>1454.3201904296875</v>
      </c>
      <c r="AB115" s="12">
        <v>4683.71337890625</v>
      </c>
      <c r="AC115" s="12">
        <v>1124.3033447265625</v>
      </c>
      <c r="AD115" s="12">
        <v>2881.8603515625</v>
      </c>
      <c r="AE115" s="12">
        <v>1033.6944580078125</v>
      </c>
      <c r="AF115" s="12">
        <v>2435.62744140625</v>
      </c>
      <c r="AG115" s="12">
        <v>1340.5296630859375</v>
      </c>
      <c r="AH115" s="12">
        <v>581.5501708984375</v>
      </c>
      <c r="AI115" s="12">
        <v>2898.57275390625</v>
      </c>
      <c r="AJ115" s="12">
        <v>2062.2138671875</v>
      </c>
      <c r="AK115" s="12">
        <v>978.63037109375</v>
      </c>
      <c r="AL115" s="12">
        <v>848.63427734375</v>
      </c>
      <c r="AM115" s="12">
        <v>1930.1224365234375</v>
      </c>
      <c r="AN115" s="12">
        <v>1490.094482421875</v>
      </c>
      <c r="AO115" s="12">
        <v>2553.1640625</v>
      </c>
      <c r="AP115" s="12">
        <v>996.2706298828125</v>
      </c>
      <c r="AQ115" s="12">
        <v>624.7208251953125</v>
      </c>
      <c r="AR115" s="12">
        <v>575.68798828125</v>
      </c>
      <c r="AS115" s="12">
        <v>821.79986572265625</v>
      </c>
      <c r="AT115" s="12">
        <v>756.65484619140625</v>
      </c>
      <c r="AU115" s="12">
        <v>743.56439208984375</v>
      </c>
      <c r="AV115" s="12">
        <v>883.82720947265625</v>
      </c>
      <c r="AW115" s="12">
        <v>441.70584106445312</v>
      </c>
      <c r="AX115" s="12">
        <v>371.497314453125</v>
      </c>
      <c r="AY115" s="12">
        <v>1441.9239501953125</v>
      </c>
      <c r="AZ115" s="12">
        <v>329.48236083984375</v>
      </c>
      <c r="BA115" s="12">
        <v>1128.82470703125</v>
      </c>
      <c r="BB115" s="12">
        <v>917.44171142578125</v>
      </c>
      <c r="BC115" s="12">
        <v>713.64691162109375</v>
      </c>
      <c r="BD115" s="12">
        <v>1571.31787109375</v>
      </c>
      <c r="BE115" s="12">
        <v>763.882568359375</v>
      </c>
      <c r="BF115" s="12">
        <v>907.04205322265625</v>
      </c>
      <c r="BG115" s="12">
        <v>1564.29052734375</v>
      </c>
      <c r="BH115" s="12">
        <v>1157.4503173828125</v>
      </c>
      <c r="BI115" s="12">
        <v>947.9130859375</v>
      </c>
      <c r="BJ115" s="12">
        <v>802.72119140625</v>
      </c>
      <c r="BK115" s="12">
        <v>361.23165893554688</v>
      </c>
      <c r="BL115" s="12">
        <v>912.85260009765625</v>
      </c>
      <c r="BM115" s="12">
        <v>1242.123779296875</v>
      </c>
      <c r="BN115" s="12">
        <v>1046.2193603515625</v>
      </c>
      <c r="BO115" s="12">
        <v>792.8031005859375</v>
      </c>
      <c r="BP115" s="12">
        <v>1749.7392578125</v>
      </c>
      <c r="BQ115" s="12"/>
      <c r="BR115" s="12"/>
    </row>
    <row r="116" spans="2:70" x14ac:dyDescent="0.2">
      <c r="B116">
        <v>1911</v>
      </c>
      <c r="C116" s="12">
        <v>2167.66162109375</v>
      </c>
      <c r="D116" s="12">
        <v>3543.095947265625</v>
      </c>
      <c r="E116" s="12">
        <v>6930.32177734375</v>
      </c>
      <c r="F116" s="12">
        <v>2223.34619140625</v>
      </c>
      <c r="G116" s="12">
        <v>1580.1287841796875</v>
      </c>
      <c r="H116" s="12">
        <v>739.2904052734375</v>
      </c>
      <c r="I116" s="12">
        <v>798.0894775390625</v>
      </c>
      <c r="J116" s="12">
        <v>856.31884765625</v>
      </c>
      <c r="K116" s="12">
        <v>950.59429931640625</v>
      </c>
      <c r="L116" s="12">
        <v>5394.34326171875</v>
      </c>
      <c r="M116" s="12">
        <v>5698.21435546875</v>
      </c>
      <c r="N116" s="12">
        <v>3424.352783203125</v>
      </c>
      <c r="O116" s="12">
        <v>4117.60009765625</v>
      </c>
      <c r="P116" s="12">
        <v>6328.88671875</v>
      </c>
      <c r="Q116" s="12">
        <v>3735.2255859375</v>
      </c>
      <c r="R116" s="12">
        <v>5146.83935546875</v>
      </c>
      <c r="S116" s="12">
        <v>4714.2978515625</v>
      </c>
      <c r="T116" s="12">
        <v>3199.93212890625</v>
      </c>
      <c r="U116" s="12">
        <v>3995.910400390625</v>
      </c>
      <c r="V116" s="12">
        <v>1608.8038330078125</v>
      </c>
      <c r="W116" s="12">
        <v>7536.09716796875</v>
      </c>
      <c r="X116" s="12">
        <v>4663.69384765625</v>
      </c>
      <c r="Y116" s="12">
        <v>7364.81787109375</v>
      </c>
      <c r="Z116" s="12">
        <v>6591.20703125</v>
      </c>
      <c r="AA116" s="12">
        <v>1382.367919921875</v>
      </c>
      <c r="AB116" s="12">
        <v>4668.75732421875</v>
      </c>
      <c r="AC116" s="12">
        <v>1306.51318359375</v>
      </c>
      <c r="AD116" s="12">
        <v>2867.2099609375</v>
      </c>
      <c r="AE116" s="12">
        <v>1083.027587890625</v>
      </c>
      <c r="AF116" s="12">
        <v>2418.443115234375</v>
      </c>
      <c r="AG116" s="12">
        <v>1385.539306640625</v>
      </c>
      <c r="AH116" s="12">
        <v>586.63909912109375</v>
      </c>
      <c r="AI116" s="12">
        <v>2897.61279296875</v>
      </c>
      <c r="AJ116" s="12">
        <v>2063.97607421875</v>
      </c>
      <c r="AK116" s="12">
        <v>979.0313720703125</v>
      </c>
      <c r="AL116" s="12">
        <v>848.77008056640625</v>
      </c>
      <c r="AM116" s="12">
        <v>1928.96435546875</v>
      </c>
      <c r="AN116" s="12">
        <v>1490.272705078125</v>
      </c>
      <c r="AO116" s="12">
        <v>2556.18408203125</v>
      </c>
      <c r="AP116" s="12">
        <v>1009.4004516601562</v>
      </c>
      <c r="AQ116" s="12">
        <v>625.13970947265625</v>
      </c>
      <c r="AR116" s="12">
        <v>575.780029296875</v>
      </c>
      <c r="AS116" s="12">
        <v>761.64898681640625</v>
      </c>
      <c r="AT116" s="12">
        <v>758.771728515625</v>
      </c>
      <c r="AU116" s="12">
        <v>753.17645263671875</v>
      </c>
      <c r="AV116" s="12">
        <v>901.6944580078125</v>
      </c>
      <c r="AW116" s="12">
        <v>442.94168090820312</v>
      </c>
      <c r="AX116" s="12">
        <v>373.63558959960938</v>
      </c>
      <c r="AY116" s="12">
        <v>1451.567626953125</v>
      </c>
      <c r="AZ116" s="12">
        <v>340.2476806640625</v>
      </c>
      <c r="BA116" s="12">
        <v>1024.0843505859375</v>
      </c>
      <c r="BB116" s="12">
        <v>832.315185546875</v>
      </c>
      <c r="BC116" s="12">
        <v>715.5491943359375</v>
      </c>
      <c r="BD116" s="12">
        <v>1656.15380859375</v>
      </c>
      <c r="BE116" s="12">
        <v>763.9813232421875</v>
      </c>
      <c r="BF116" s="12">
        <v>849.76361083984375</v>
      </c>
      <c r="BG116" s="12">
        <v>1588.9312744140625</v>
      </c>
      <c r="BH116" s="12">
        <v>1154.6029052734375</v>
      </c>
      <c r="BI116" s="12">
        <v>941.402587890625</v>
      </c>
      <c r="BJ116" s="12">
        <v>839.16339111328125</v>
      </c>
      <c r="BK116" s="12">
        <v>361.41073608398438</v>
      </c>
      <c r="BL116" s="12">
        <v>910.60699462890625</v>
      </c>
      <c r="BM116" s="12">
        <v>1297.940185546875</v>
      </c>
      <c r="BN116" s="12">
        <v>1065.110107421875</v>
      </c>
      <c r="BO116" s="12">
        <v>800.2039794921875</v>
      </c>
      <c r="BP116" s="12">
        <v>1754.5819091796875</v>
      </c>
      <c r="BQ116" s="12"/>
      <c r="BR116" s="12"/>
    </row>
    <row r="117" spans="2:70" x14ac:dyDescent="0.2">
      <c r="B117">
        <v>1912</v>
      </c>
      <c r="C117" s="12">
        <v>2231.683349609375</v>
      </c>
      <c r="D117" s="12">
        <v>3638.564208984375</v>
      </c>
      <c r="E117" s="12">
        <v>7175.6142578125</v>
      </c>
      <c r="F117" s="12">
        <v>2257.2822265625</v>
      </c>
      <c r="G117" s="12">
        <v>1579.406982421875</v>
      </c>
      <c r="H117" s="12">
        <v>747.98193359375</v>
      </c>
      <c r="I117" s="12">
        <v>896.1124267578125</v>
      </c>
      <c r="J117" s="12">
        <v>892.58447265625</v>
      </c>
      <c r="K117" s="12">
        <v>888.88323974609375</v>
      </c>
      <c r="L117" s="12">
        <v>5411.21484375</v>
      </c>
      <c r="M117" s="12">
        <v>5613.7294921875</v>
      </c>
      <c r="N117" s="12">
        <v>3312.5751953125</v>
      </c>
      <c r="O117" s="12">
        <v>4511.40771484375</v>
      </c>
      <c r="P117" s="12">
        <v>6454.5546875</v>
      </c>
      <c r="Q117" s="12">
        <v>3876.780029296875</v>
      </c>
      <c r="R117" s="12">
        <v>5293.501953125</v>
      </c>
      <c r="S117" s="12">
        <v>4846.69873046875</v>
      </c>
      <c r="T117" s="12">
        <v>3330.556640625</v>
      </c>
      <c r="U117" s="12">
        <v>4115.7080078125</v>
      </c>
      <c r="V117" s="12">
        <v>1657.24462890625</v>
      </c>
      <c r="W117" s="12">
        <v>7837.533203125</v>
      </c>
      <c r="X117" s="12">
        <v>4868.05322265625</v>
      </c>
      <c r="Y117" s="12">
        <v>7005.20166015625</v>
      </c>
      <c r="Z117" s="12">
        <v>6262.7666015625</v>
      </c>
      <c r="AA117" s="12">
        <v>1431.2437744140625</v>
      </c>
      <c r="AB117" s="12">
        <v>4738.85546875</v>
      </c>
      <c r="AC117" s="12">
        <v>1256.1768798828125</v>
      </c>
      <c r="AD117" s="12">
        <v>3102.796875</v>
      </c>
      <c r="AE117" s="12">
        <v>1269.720458984375</v>
      </c>
      <c r="AF117" s="12">
        <v>2463.1689453125</v>
      </c>
      <c r="AG117" s="12">
        <v>1410.0621337890625</v>
      </c>
      <c r="AH117" s="12">
        <v>586.72674560546875</v>
      </c>
      <c r="AI117" s="12">
        <v>2896.788818359375</v>
      </c>
      <c r="AJ117" s="12">
        <v>2065.9384765625</v>
      </c>
      <c r="AK117" s="12">
        <v>979.47772216796875</v>
      </c>
      <c r="AL117" s="12">
        <v>848.92120361328125</v>
      </c>
      <c r="AM117" s="12">
        <v>1927.836669921875</v>
      </c>
      <c r="AN117" s="12">
        <v>1490.473388671875</v>
      </c>
      <c r="AO117" s="12">
        <v>2555.044189453125</v>
      </c>
      <c r="AP117" s="12">
        <v>1022.7517700195312</v>
      </c>
      <c r="AQ117" s="12">
        <v>625.587646484375</v>
      </c>
      <c r="AR117" s="12">
        <v>575.88250732421875</v>
      </c>
      <c r="AS117" s="12">
        <v>785.89007568359375</v>
      </c>
      <c r="AT117" s="12">
        <v>760.908203125</v>
      </c>
      <c r="AU117" s="12">
        <v>762.926513671875</v>
      </c>
      <c r="AV117" s="12">
        <v>918.37091064453125</v>
      </c>
      <c r="AW117" s="12">
        <v>444.18893432617188</v>
      </c>
      <c r="AX117" s="12">
        <v>375.79266357421875</v>
      </c>
      <c r="AY117" s="12">
        <v>1462.3118896484375</v>
      </c>
      <c r="AZ117" s="12">
        <v>344.43878173828125</v>
      </c>
      <c r="BA117" s="12">
        <v>1149.8636474609375</v>
      </c>
      <c r="BB117" s="12">
        <v>934.541259765625</v>
      </c>
      <c r="BC117" s="12">
        <v>749.180908203125</v>
      </c>
      <c r="BD117" s="12">
        <v>1711.576904296875</v>
      </c>
      <c r="BE117" s="12">
        <v>745.8692626953125</v>
      </c>
      <c r="BF117" s="12">
        <v>800.5599365234375</v>
      </c>
      <c r="BG117" s="12">
        <v>1656.93505859375</v>
      </c>
      <c r="BH117" s="12">
        <v>1161.15576171875</v>
      </c>
      <c r="BI117" s="12">
        <v>836.54925537109375</v>
      </c>
      <c r="BJ117" s="12">
        <v>837.99407958984375</v>
      </c>
      <c r="BK117" s="12">
        <v>387.88739013671875</v>
      </c>
      <c r="BL117" s="12">
        <v>915.775146484375</v>
      </c>
      <c r="BM117" s="12">
        <v>1295.8546142578125</v>
      </c>
      <c r="BN117" s="12">
        <v>1057.1650390625</v>
      </c>
      <c r="BO117" s="12">
        <v>794.23486328125</v>
      </c>
      <c r="BP117" s="12">
        <v>1649.677978515625</v>
      </c>
      <c r="BQ117" s="12"/>
      <c r="BR117" s="12"/>
    </row>
    <row r="118" spans="2:70" x14ac:dyDescent="0.2">
      <c r="B118">
        <v>1913</v>
      </c>
      <c r="C118" s="12">
        <v>2279.73291015625</v>
      </c>
      <c r="D118" s="12">
        <v>3714.1416015625</v>
      </c>
      <c r="E118" s="12">
        <v>7265.76806640625</v>
      </c>
      <c r="F118" s="12">
        <v>2201.88916015625</v>
      </c>
      <c r="G118" s="12">
        <v>1579.3218994140625</v>
      </c>
      <c r="H118" s="12">
        <v>756.36590576171875</v>
      </c>
      <c r="I118" s="12">
        <v>960.248046875</v>
      </c>
      <c r="J118" s="12">
        <v>923.23565673828125</v>
      </c>
      <c r="K118" s="12">
        <v>934.89892578125</v>
      </c>
      <c r="L118" s="12">
        <v>5564.50830078125</v>
      </c>
      <c r="M118" s="12">
        <v>5687.89013671875</v>
      </c>
      <c r="N118" s="12">
        <v>3524.7529296875</v>
      </c>
      <c r="O118" s="12">
        <v>4268.42333984375</v>
      </c>
      <c r="P118" s="12">
        <v>6724.00048828125</v>
      </c>
      <c r="Q118" s="12">
        <v>4030.278076171875</v>
      </c>
      <c r="R118" s="12">
        <v>5301.99658203125</v>
      </c>
      <c r="S118" s="12">
        <v>5127.29833984375</v>
      </c>
      <c r="T118" s="12">
        <v>3548.912353515625</v>
      </c>
      <c r="U118" s="12">
        <v>4197.04931640625</v>
      </c>
      <c r="V118" s="12">
        <v>1690.103271484375</v>
      </c>
      <c r="W118" s="12">
        <v>7923.0537109375</v>
      </c>
      <c r="X118" s="12">
        <v>4867.5595703125</v>
      </c>
      <c r="Y118" s="12">
        <v>7528.8896484375</v>
      </c>
      <c r="Z118" s="12">
        <v>6201.4833984375</v>
      </c>
      <c r="AA118" s="12">
        <v>1449.06005859375</v>
      </c>
      <c r="AB118" s="12">
        <v>4636.662109375</v>
      </c>
      <c r="AC118" s="12">
        <v>1109.9453125</v>
      </c>
      <c r="AD118" s="12">
        <v>3110.984375</v>
      </c>
      <c r="AE118" s="12">
        <v>1185.2261962890625</v>
      </c>
      <c r="AF118" s="12">
        <v>2535.82275390625</v>
      </c>
      <c r="AG118" s="12">
        <v>1371.46435546875</v>
      </c>
      <c r="AH118" s="12">
        <v>586.78045654296875</v>
      </c>
      <c r="AI118" s="12">
        <v>2895.37939453125</v>
      </c>
      <c r="AJ118" s="12">
        <v>2067.037841796875</v>
      </c>
      <c r="AK118" s="12">
        <v>979.72802734375</v>
      </c>
      <c r="AL118" s="12">
        <v>849.0059814453125</v>
      </c>
      <c r="AM118" s="12">
        <v>1926.607177734375</v>
      </c>
      <c r="AN118" s="12">
        <v>1490.595947265625</v>
      </c>
      <c r="AO118" s="12">
        <v>2555.779296875</v>
      </c>
      <c r="AP118" s="12">
        <v>1036.072021484375</v>
      </c>
      <c r="AQ118" s="12">
        <v>625.910400390625</v>
      </c>
      <c r="AR118" s="12">
        <v>575.93994140625</v>
      </c>
      <c r="AS118" s="12">
        <v>828.90594482421875</v>
      </c>
      <c r="AT118" s="12">
        <v>762.99114990234375</v>
      </c>
      <c r="AU118" s="12">
        <v>772.7423095703125</v>
      </c>
      <c r="AV118" s="12">
        <v>930.73272705078125</v>
      </c>
      <c r="AW118" s="12">
        <v>445.40496826171875</v>
      </c>
      <c r="AX118" s="12">
        <v>377.93264770507812</v>
      </c>
      <c r="AY118" s="12">
        <v>1468.4183349609375</v>
      </c>
      <c r="AZ118" s="12">
        <v>348.46871948242188</v>
      </c>
      <c r="BA118" s="12">
        <v>1232.1719970703125</v>
      </c>
      <c r="BB118" s="12">
        <v>1001.4364013671875</v>
      </c>
      <c r="BC118" s="12">
        <v>782.9271240234375</v>
      </c>
      <c r="BD118" s="12">
        <v>1703.6339111328125</v>
      </c>
      <c r="BE118" s="12">
        <v>801.0699462890625</v>
      </c>
      <c r="BF118" s="12">
        <v>863.44000244140625</v>
      </c>
      <c r="BG118" s="12">
        <v>1717.2110595703125</v>
      </c>
      <c r="BH118" s="12">
        <v>1158.0211181640625</v>
      </c>
      <c r="BI118" s="12">
        <v>894.7855224609375</v>
      </c>
      <c r="BJ118" s="12">
        <v>874.11669921875</v>
      </c>
      <c r="BK118" s="12">
        <v>411.34103393554688</v>
      </c>
      <c r="BL118" s="12">
        <v>913.30291748046875</v>
      </c>
      <c r="BM118" s="12">
        <v>1405.9864501953125</v>
      </c>
      <c r="BN118" s="12">
        <v>1057.7275390625</v>
      </c>
      <c r="BO118" s="12">
        <v>794.65753173828125</v>
      </c>
      <c r="BP118" s="12">
        <v>1731.23388671875</v>
      </c>
      <c r="BQ118" s="12"/>
      <c r="BR118" s="12"/>
    </row>
    <row r="119" spans="2:70" x14ac:dyDescent="0.2">
      <c r="B119">
        <v>1914</v>
      </c>
      <c r="C119" s="12">
        <v>2172.31640625</v>
      </c>
      <c r="D119" s="12">
        <v>3562.21240234375</v>
      </c>
      <c r="E119" s="12">
        <v>6563.7666015625</v>
      </c>
      <c r="F119" s="12">
        <v>2091.762939453125</v>
      </c>
      <c r="G119" s="12">
        <v>1528.9630126953125</v>
      </c>
      <c r="H119" s="12">
        <v>767.53155517578125</v>
      </c>
      <c r="I119" s="12">
        <v>922.199951171875</v>
      </c>
      <c r="J119" s="12">
        <v>924.11260986328125</v>
      </c>
      <c r="K119" s="12">
        <v>949.42901611328125</v>
      </c>
      <c r="L119" s="12">
        <v>5050.54248046875</v>
      </c>
      <c r="M119" s="12">
        <v>6029.58056640625</v>
      </c>
      <c r="N119" s="12">
        <v>3498.0107421875</v>
      </c>
      <c r="O119" s="12">
        <v>3829.150146484375</v>
      </c>
      <c r="P119" s="12">
        <v>6862.0576171875</v>
      </c>
      <c r="Q119" s="12">
        <v>3781.419921875</v>
      </c>
      <c r="R119" s="12">
        <v>5059.25634765625</v>
      </c>
      <c r="S119" s="12">
        <v>5174.6640625</v>
      </c>
      <c r="T119" s="12">
        <v>3583.040283203125</v>
      </c>
      <c r="U119" s="12">
        <v>4060.69140625</v>
      </c>
      <c r="V119" s="12">
        <v>1648.2923583984375</v>
      </c>
      <c r="W119" s="12">
        <v>7115.267578125</v>
      </c>
      <c r="X119" s="12">
        <v>4348.8408203125</v>
      </c>
      <c r="Y119" s="12">
        <v>7624.51708984375</v>
      </c>
      <c r="Z119" s="12">
        <v>6317.60546875</v>
      </c>
      <c r="AA119" s="12">
        <v>1310.6534423828125</v>
      </c>
      <c r="AB119" s="12">
        <v>4113.94580078125</v>
      </c>
      <c r="AC119" s="12">
        <v>1108.9576416015625</v>
      </c>
      <c r="AD119" s="12">
        <v>2638.959716796875</v>
      </c>
      <c r="AE119" s="12">
        <v>1063.2347412109375</v>
      </c>
      <c r="AF119" s="12">
        <v>2602.533447265625</v>
      </c>
      <c r="AG119" s="12">
        <v>1305.6126708984375</v>
      </c>
      <c r="AH119" s="12">
        <v>641.55670166015625</v>
      </c>
      <c r="AI119" s="12">
        <v>2913.013916015625</v>
      </c>
      <c r="AJ119" s="12">
        <v>2069.643310546875</v>
      </c>
      <c r="AK119" s="12">
        <v>1002.68212890625</v>
      </c>
      <c r="AL119" s="12">
        <v>866.45611572265625</v>
      </c>
      <c r="AM119" s="12">
        <v>1996.214599609375</v>
      </c>
      <c r="AN119" s="12">
        <v>1330.60595703125</v>
      </c>
      <c r="AO119" s="12">
        <v>2478.640625</v>
      </c>
      <c r="AP119" s="12">
        <v>1051.885498046875</v>
      </c>
      <c r="AQ119" s="12">
        <v>627.6180419921875</v>
      </c>
      <c r="AR119" s="12">
        <v>576.49493408203125</v>
      </c>
      <c r="AS119" s="12">
        <v>859.95513916015625</v>
      </c>
      <c r="AT119" s="12">
        <v>765.7410888671875</v>
      </c>
      <c r="AU119" s="12">
        <v>783.3609619140625</v>
      </c>
      <c r="AV119" s="12">
        <v>944.06573486328125</v>
      </c>
      <c r="AW119" s="12">
        <v>447.010009765625</v>
      </c>
      <c r="AX119" s="12">
        <v>380.41305541992188</v>
      </c>
      <c r="AY119" s="12">
        <v>1526.0313720703125</v>
      </c>
      <c r="AZ119" s="12">
        <v>353.00576782226562</v>
      </c>
      <c r="BA119" s="12">
        <v>1183.3328857421875</v>
      </c>
      <c r="BB119" s="12">
        <v>961.7427978515625</v>
      </c>
      <c r="BC119" s="12">
        <v>786.53131103515625</v>
      </c>
      <c r="BD119" s="12">
        <v>1677.6058349609375</v>
      </c>
      <c r="BE119" s="12">
        <v>852.022216796875</v>
      </c>
      <c r="BF119" s="12">
        <v>827.33447265625</v>
      </c>
      <c r="BG119" s="12">
        <v>1721.1016845703125</v>
      </c>
      <c r="BH119" s="12">
        <v>1166.0928955078125</v>
      </c>
      <c r="BI119" s="12">
        <v>915.454345703125</v>
      </c>
      <c r="BJ119" s="12">
        <v>869.42071533203125</v>
      </c>
      <c r="BK119" s="12">
        <v>441.6456298828125</v>
      </c>
      <c r="BL119" s="12">
        <v>919.6688232421875</v>
      </c>
      <c r="BM119" s="12">
        <v>1347.4100341796875</v>
      </c>
      <c r="BN119" s="12">
        <v>1059.239013671875</v>
      </c>
      <c r="BO119" s="12">
        <v>796.7510986328125</v>
      </c>
      <c r="BP119" s="12">
        <v>1732.12451171875</v>
      </c>
      <c r="BQ119" s="12"/>
      <c r="BR119" s="12"/>
    </row>
    <row r="120" spans="2:70" x14ac:dyDescent="0.2">
      <c r="B120">
        <v>1915</v>
      </c>
      <c r="C120" s="12">
        <v>2187.26318359375</v>
      </c>
      <c r="D120" s="12">
        <v>3569.20263671875</v>
      </c>
      <c r="E120" s="12">
        <v>6644.291015625</v>
      </c>
      <c r="F120" s="12">
        <v>2081.140380859375</v>
      </c>
      <c r="G120" s="12">
        <v>1483.0506591796875</v>
      </c>
      <c r="H120" s="12">
        <v>759.8497314453125</v>
      </c>
      <c r="I120" s="12">
        <v>922.60626220703125</v>
      </c>
      <c r="J120" s="12">
        <v>954.57513427734375</v>
      </c>
      <c r="K120" s="12">
        <v>911.74371337890625</v>
      </c>
      <c r="L120" s="12">
        <v>4599.81005859375</v>
      </c>
      <c r="M120" s="12">
        <v>5732.74658203125</v>
      </c>
      <c r="N120" s="12">
        <v>3469.83349609375</v>
      </c>
      <c r="O120" s="12">
        <v>3683.637451171875</v>
      </c>
      <c r="P120" s="12">
        <v>7303.66748046875</v>
      </c>
      <c r="Q120" s="12">
        <v>3878.15283203125</v>
      </c>
      <c r="R120" s="12">
        <v>5034.35546875</v>
      </c>
      <c r="S120" s="12">
        <v>6098.60693359375</v>
      </c>
      <c r="T120" s="12">
        <v>3589.2919921875</v>
      </c>
      <c r="U120" s="12">
        <v>4085.058349609375</v>
      </c>
      <c r="V120" s="12">
        <v>1671.130126953125</v>
      </c>
      <c r="W120" s="12">
        <v>7238.7041015625</v>
      </c>
      <c r="X120" s="12">
        <v>4635.6826171875</v>
      </c>
      <c r="Y120" s="12">
        <v>6584.78271484375</v>
      </c>
      <c r="Z120" s="12">
        <v>6316.7333984375</v>
      </c>
      <c r="AA120" s="12">
        <v>1325.07666015625</v>
      </c>
      <c r="AB120" s="12">
        <v>4005.62744140625</v>
      </c>
      <c r="AC120" s="12">
        <v>1131.53662109375</v>
      </c>
      <c r="AD120" s="12">
        <v>2474.526123046875</v>
      </c>
      <c r="AE120" s="12">
        <v>1191.4669189453125</v>
      </c>
      <c r="AF120" s="12">
        <v>2628.070556640625</v>
      </c>
      <c r="AG120" s="12">
        <v>1307.503662109375</v>
      </c>
      <c r="AH120" s="12">
        <v>701.01617431640625</v>
      </c>
      <c r="AI120" s="12">
        <v>2925.2529296875</v>
      </c>
      <c r="AJ120" s="12">
        <v>2064.23876953125</v>
      </c>
      <c r="AK120" s="12">
        <v>1024.2659912109375</v>
      </c>
      <c r="AL120" s="12">
        <v>883.62213134765625</v>
      </c>
      <c r="AM120" s="12">
        <v>2067.239501953125</v>
      </c>
      <c r="AN120" s="12">
        <v>1187.16357421875</v>
      </c>
      <c r="AO120" s="12">
        <v>2407.81494140625</v>
      </c>
      <c r="AP120" s="12">
        <v>1065.9542236328125</v>
      </c>
      <c r="AQ120" s="12">
        <v>628.159423828125</v>
      </c>
      <c r="AR120" s="12">
        <v>576.6304931640625</v>
      </c>
      <c r="AS120" s="12">
        <v>891.518310546875</v>
      </c>
      <c r="AT120" s="12">
        <v>767.94146728515625</v>
      </c>
      <c r="AU120" s="12">
        <v>793.5474853515625</v>
      </c>
      <c r="AV120" s="12">
        <v>880.455078125</v>
      </c>
      <c r="AW120" s="12">
        <v>448.29434204101562</v>
      </c>
      <c r="AX120" s="12">
        <v>382.63128662109375</v>
      </c>
      <c r="AY120" s="12">
        <v>1540.3507080078125</v>
      </c>
      <c r="AZ120" s="12">
        <v>347.8612060546875</v>
      </c>
      <c r="BA120" s="12">
        <v>1183.851318359375</v>
      </c>
      <c r="BB120" s="12">
        <v>962.16400146484375</v>
      </c>
      <c r="BC120" s="12">
        <v>789.580078125</v>
      </c>
      <c r="BD120" s="12">
        <v>1871.2225341796875</v>
      </c>
      <c r="BE120" s="12">
        <v>856.8818359375</v>
      </c>
      <c r="BF120" s="12">
        <v>856.67547607421875</v>
      </c>
      <c r="BG120" s="12">
        <v>1769.7147216796875</v>
      </c>
      <c r="BH120" s="12">
        <v>1154.722412109375</v>
      </c>
      <c r="BI120" s="12">
        <v>854.869140625</v>
      </c>
      <c r="BJ120" s="12">
        <v>871.86767578125</v>
      </c>
      <c r="BK120" s="12">
        <v>466.3089599609375</v>
      </c>
      <c r="BL120" s="12">
        <v>910.70123291015625</v>
      </c>
      <c r="BM120" s="12">
        <v>1239.9503173828125</v>
      </c>
      <c r="BN120" s="12">
        <v>1056.6514892578125</v>
      </c>
      <c r="BO120" s="12">
        <v>795.76141357421875</v>
      </c>
      <c r="BP120" s="12">
        <v>1659.449951171875</v>
      </c>
      <c r="BQ120" s="12"/>
      <c r="BR120" s="12"/>
    </row>
    <row r="121" spans="2:70" x14ac:dyDescent="0.2">
      <c r="B121">
        <v>1916</v>
      </c>
      <c r="C121" s="12">
        <v>2357.63916015625</v>
      </c>
      <c r="D121" s="12">
        <v>3739.3427734375</v>
      </c>
      <c r="E121" s="12">
        <v>7660.59033203125</v>
      </c>
      <c r="F121" s="12">
        <v>2077.68115234375</v>
      </c>
      <c r="G121" s="12">
        <v>1440.889892578125</v>
      </c>
      <c r="H121" s="12">
        <v>745.74359130859375</v>
      </c>
      <c r="I121" s="12">
        <v>890.24029541015625</v>
      </c>
      <c r="J121" s="12">
        <v>1005.0011596679688</v>
      </c>
      <c r="K121" s="12">
        <v>918.31304931640625</v>
      </c>
      <c r="L121" s="12">
        <v>4372.05078125</v>
      </c>
      <c r="M121" s="12">
        <v>6301.32861328125</v>
      </c>
      <c r="N121" s="12">
        <v>3367.760986328125</v>
      </c>
      <c r="O121" s="12">
        <v>4245.232421875</v>
      </c>
      <c r="P121" s="12">
        <v>7484.03857421875</v>
      </c>
      <c r="Q121" s="12">
        <v>4390.9345703125</v>
      </c>
      <c r="R121" s="12">
        <v>5177.9541015625</v>
      </c>
      <c r="S121" s="12">
        <v>7566.3076171875</v>
      </c>
      <c r="T121" s="12">
        <v>3980.40771484375</v>
      </c>
      <c r="U121" s="12">
        <v>4293.90625</v>
      </c>
      <c r="V121" s="12">
        <v>1756.696533203125</v>
      </c>
      <c r="W121" s="12">
        <v>8370.2724609375</v>
      </c>
      <c r="X121" s="12">
        <v>5127.6708984375</v>
      </c>
      <c r="Y121" s="12">
        <v>7507.05517578125</v>
      </c>
      <c r="Z121" s="12">
        <v>6176.857421875</v>
      </c>
      <c r="AA121" s="12">
        <v>1520.882080078125</v>
      </c>
      <c r="AB121" s="12">
        <v>3900.785400390625</v>
      </c>
      <c r="AC121" s="12">
        <v>1250.661865234375</v>
      </c>
      <c r="AD121" s="12">
        <v>2959.95703125</v>
      </c>
      <c r="AE121" s="12">
        <v>1045.9097900390625</v>
      </c>
      <c r="AF121" s="12">
        <v>2473.490478515625</v>
      </c>
      <c r="AG121" s="12">
        <v>1314.0814208984375</v>
      </c>
      <c r="AH121" s="12">
        <v>765.1202392578125</v>
      </c>
      <c r="AI121" s="12">
        <v>2928.103759765625</v>
      </c>
      <c r="AJ121" s="12">
        <v>2045.277099609375</v>
      </c>
      <c r="AK121" s="12">
        <v>1042.990234375</v>
      </c>
      <c r="AL121" s="12">
        <v>900.00726318359375</v>
      </c>
      <c r="AM121" s="12">
        <v>2138.79541015625</v>
      </c>
      <c r="AN121" s="12">
        <v>1058.2076416015625</v>
      </c>
      <c r="AO121" s="12">
        <v>2341.208984375</v>
      </c>
      <c r="AP121" s="12">
        <v>1076.7784423828125</v>
      </c>
      <c r="AQ121" s="12">
        <v>626.7039794921875</v>
      </c>
      <c r="AR121" s="12">
        <v>576.0491943359375</v>
      </c>
      <c r="AS121" s="12">
        <v>923.09124755859375</v>
      </c>
      <c r="AT121" s="12">
        <v>769.190185546875</v>
      </c>
      <c r="AU121" s="12">
        <v>802.866455078125</v>
      </c>
      <c r="AV121" s="12">
        <v>809.0064697265625</v>
      </c>
      <c r="AW121" s="12">
        <v>449.02359008789062</v>
      </c>
      <c r="AX121" s="12">
        <v>384.38333129882812</v>
      </c>
      <c r="AY121" s="12">
        <v>1480.2601318359375</v>
      </c>
      <c r="AZ121" s="12">
        <v>340.7655029296875</v>
      </c>
      <c r="BA121" s="12">
        <v>1142.307861328125</v>
      </c>
      <c r="BB121" s="12">
        <v>928.4000244140625</v>
      </c>
      <c r="BC121" s="12">
        <v>791.66082763671875</v>
      </c>
      <c r="BD121" s="12">
        <v>2189.118896484375</v>
      </c>
      <c r="BE121" s="12">
        <v>892.49139404296875</v>
      </c>
      <c r="BF121" s="12">
        <v>920.049072265625</v>
      </c>
      <c r="BG121" s="12">
        <v>1847.6739501953125</v>
      </c>
      <c r="BH121" s="12">
        <v>1148.344970703125</v>
      </c>
      <c r="BI121" s="12">
        <v>857.86431884765625</v>
      </c>
      <c r="BJ121" s="12">
        <v>867.6951904296875</v>
      </c>
      <c r="BK121" s="12">
        <v>494.45166015625</v>
      </c>
      <c r="BL121" s="12">
        <v>905.6715087890625</v>
      </c>
      <c r="BM121" s="12">
        <v>1416.849609375</v>
      </c>
      <c r="BN121" s="12">
        <v>1055.711181640625</v>
      </c>
      <c r="BO121" s="12">
        <v>796.01019287109375</v>
      </c>
      <c r="BP121" s="12">
        <v>1659.1307373046875</v>
      </c>
      <c r="BQ121" s="12"/>
      <c r="BR121" s="12"/>
    </row>
    <row r="122" spans="2:70" x14ac:dyDescent="0.2">
      <c r="B122">
        <v>1917</v>
      </c>
      <c r="C122" s="12">
        <v>2321.3251953125</v>
      </c>
      <c r="D122" s="12">
        <v>3615.058349609375</v>
      </c>
      <c r="E122" s="12">
        <v>7579.85400390625</v>
      </c>
      <c r="F122" s="12">
        <v>2002.5596923828125</v>
      </c>
      <c r="G122" s="12">
        <v>1409.6102294921875</v>
      </c>
      <c r="H122" s="12">
        <v>736.58599853515625</v>
      </c>
      <c r="I122" s="12">
        <v>845.26873779296875</v>
      </c>
      <c r="J122" s="12">
        <v>1034.4713134765625</v>
      </c>
      <c r="K122" s="12">
        <v>942.98028564453125</v>
      </c>
      <c r="L122" s="12">
        <v>4248.314453125</v>
      </c>
      <c r="M122" s="12">
        <v>5704.7529296875</v>
      </c>
      <c r="N122" s="12">
        <v>3077.74560546875</v>
      </c>
      <c r="O122" s="12">
        <v>4256.44482421875</v>
      </c>
      <c r="P122" s="12">
        <v>7012.92919921875</v>
      </c>
      <c r="Q122" s="12">
        <v>4455.20361328125</v>
      </c>
      <c r="R122" s="12">
        <v>5089.87939453125</v>
      </c>
      <c r="S122" s="12">
        <v>6742.654296875</v>
      </c>
      <c r="T122" s="12">
        <v>3597.771484375</v>
      </c>
      <c r="U122" s="12">
        <v>4181.34765625</v>
      </c>
      <c r="V122" s="12">
        <v>1725.4036865234375</v>
      </c>
      <c r="W122" s="12">
        <v>8265.580078125</v>
      </c>
      <c r="X122" s="12">
        <v>5291.47509765625</v>
      </c>
      <c r="Y122" s="12">
        <v>7366.1767578125</v>
      </c>
      <c r="Z122" s="12">
        <v>6039.44091796875</v>
      </c>
      <c r="AA122" s="12">
        <v>1502.1141357421875</v>
      </c>
      <c r="AB122" s="12">
        <v>3881.531494140625</v>
      </c>
      <c r="AC122" s="12">
        <v>1319.3023681640625</v>
      </c>
      <c r="AD122" s="12">
        <v>2970.70751953125</v>
      </c>
      <c r="AE122" s="12">
        <v>885.68402099609375</v>
      </c>
      <c r="AF122" s="12">
        <v>2122.505859375</v>
      </c>
      <c r="AG122" s="12">
        <v>1242.2666015625</v>
      </c>
      <c r="AH122" s="12">
        <v>835.81781005859375</v>
      </c>
      <c r="AI122" s="12">
        <v>2938.3251953125</v>
      </c>
      <c r="AJ122" s="12">
        <v>2036.9805908203125</v>
      </c>
      <c r="AK122" s="12">
        <v>1064.6978759765625</v>
      </c>
      <c r="AL122" s="12">
        <v>917.58734130859375</v>
      </c>
      <c r="AM122" s="12">
        <v>2214.432861328125</v>
      </c>
      <c r="AN122" s="12">
        <v>943.9381103515625</v>
      </c>
      <c r="AO122" s="12">
        <v>2291.56884765625</v>
      </c>
      <c r="AP122" s="12">
        <v>1090.421630859375</v>
      </c>
      <c r="AQ122" s="12">
        <v>626.807373046875</v>
      </c>
      <c r="AR122" s="12">
        <v>576.027587890625</v>
      </c>
      <c r="AS122" s="12">
        <v>956.71087646484375</v>
      </c>
      <c r="AT122" s="12">
        <v>771.19012451171875</v>
      </c>
      <c r="AU122" s="12">
        <v>813.08489990234375</v>
      </c>
      <c r="AV122" s="12">
        <v>744.0780029296875</v>
      </c>
      <c r="AW122" s="12">
        <v>450.19082641601562</v>
      </c>
      <c r="AX122" s="12">
        <v>386.51937866210938</v>
      </c>
      <c r="AY122" s="12">
        <v>1478.197509765625</v>
      </c>
      <c r="AZ122" s="12">
        <v>335.1551513671875</v>
      </c>
      <c r="BA122" s="12">
        <v>1084.593505859375</v>
      </c>
      <c r="BB122" s="12">
        <v>881.4783935546875</v>
      </c>
      <c r="BC122" s="12">
        <v>794.51416015625</v>
      </c>
      <c r="BD122" s="12">
        <v>2354.32958984375</v>
      </c>
      <c r="BE122" s="12">
        <v>927.173583984375</v>
      </c>
      <c r="BF122" s="12">
        <v>1049.8121337890625</v>
      </c>
      <c r="BG122" s="12">
        <v>1906.0770263671875</v>
      </c>
      <c r="BH122" s="12">
        <v>1144.8426513671875</v>
      </c>
      <c r="BI122" s="12">
        <v>894.33026123046875</v>
      </c>
      <c r="BJ122" s="12">
        <v>849.86602783203125</v>
      </c>
      <c r="BK122" s="12">
        <v>480.1104736328125</v>
      </c>
      <c r="BL122" s="12">
        <v>902.90924072265625</v>
      </c>
      <c r="BM122" s="12">
        <v>1634.2572021484375</v>
      </c>
      <c r="BN122" s="12">
        <v>1051.6290283203125</v>
      </c>
      <c r="BO122" s="12">
        <v>793.88623046875</v>
      </c>
      <c r="BP122" s="12">
        <v>1697.9788818359375</v>
      </c>
      <c r="BQ122" s="12"/>
      <c r="BR122" s="12"/>
    </row>
    <row r="123" spans="2:70" x14ac:dyDescent="0.2">
      <c r="B123">
        <v>1918</v>
      </c>
      <c r="C123" s="12">
        <v>2315.66064453125</v>
      </c>
      <c r="D123" s="12">
        <v>3401.64794921875</v>
      </c>
      <c r="E123" s="12">
        <v>8072.43017578125</v>
      </c>
      <c r="F123" s="12">
        <v>1888.081787109375</v>
      </c>
      <c r="G123" s="12">
        <v>1383.99951171875</v>
      </c>
      <c r="H123" s="12">
        <v>730.48095703125</v>
      </c>
      <c r="I123" s="12">
        <v>624.4930419921875</v>
      </c>
      <c r="J123" s="12">
        <v>1036.7913818359375</v>
      </c>
      <c r="K123" s="12">
        <v>991.2244873046875</v>
      </c>
      <c r="L123" s="12">
        <v>4155.84375</v>
      </c>
      <c r="M123" s="12">
        <v>5693.20166015625</v>
      </c>
      <c r="N123" s="12">
        <v>2556.997314453125</v>
      </c>
      <c r="O123" s="12">
        <v>3799.5859375</v>
      </c>
      <c r="P123" s="12">
        <v>6600.18115234375</v>
      </c>
      <c r="Q123" s="12">
        <v>4408.9453125</v>
      </c>
      <c r="R123" s="12">
        <v>4823.408203125</v>
      </c>
      <c r="S123" s="12">
        <v>5356.01171875</v>
      </c>
      <c r="T123" s="12">
        <v>3301.777587890625</v>
      </c>
      <c r="U123" s="12">
        <v>3949.15966796875</v>
      </c>
      <c r="V123" s="12">
        <v>1643.6776123046875</v>
      </c>
      <c r="W123" s="12">
        <v>8893.4638671875</v>
      </c>
      <c r="X123" s="12">
        <v>4951.732421875</v>
      </c>
      <c r="Y123" s="12">
        <v>7013.43359375</v>
      </c>
      <c r="Z123" s="12">
        <v>5954.61083984375</v>
      </c>
      <c r="AA123" s="12">
        <v>1597.3211669921875</v>
      </c>
      <c r="AB123" s="12">
        <v>3857.761474609375</v>
      </c>
      <c r="AC123" s="12">
        <v>1228.84716796875</v>
      </c>
      <c r="AD123" s="12">
        <v>2970.287109375</v>
      </c>
      <c r="AE123" s="12">
        <v>767.20513916015625</v>
      </c>
      <c r="AF123" s="12">
        <v>1855.0760498046875</v>
      </c>
      <c r="AG123" s="12">
        <v>1180.2415771484375</v>
      </c>
      <c r="AH123" s="12">
        <v>913.43695068359375</v>
      </c>
      <c r="AI123" s="12">
        <v>2952.394287109375</v>
      </c>
      <c r="AJ123" s="12">
        <v>2034.11181640625</v>
      </c>
      <c r="AK123" s="12">
        <v>1088.2449951171875</v>
      </c>
      <c r="AL123" s="12">
        <v>935.97723388671875</v>
      </c>
      <c r="AM123" s="12">
        <v>2293.58447265625</v>
      </c>
      <c r="AN123" s="12">
        <v>842.31298828125</v>
      </c>
      <c r="AO123" s="12">
        <v>2253.939697265625</v>
      </c>
      <c r="AP123" s="12">
        <v>1105.6412353515625</v>
      </c>
      <c r="AQ123" s="12">
        <v>627.7105712890625</v>
      </c>
      <c r="AR123" s="12">
        <v>576.293212890625</v>
      </c>
      <c r="AS123" s="12">
        <v>992.04925537109375</v>
      </c>
      <c r="AT123" s="12">
        <v>773.58050537109375</v>
      </c>
      <c r="AU123" s="12">
        <v>823.843505859375</v>
      </c>
      <c r="AV123" s="12">
        <v>684.7021484375</v>
      </c>
      <c r="AW123" s="12">
        <v>451.58651733398438</v>
      </c>
      <c r="AX123" s="12">
        <v>388.8612060546875</v>
      </c>
      <c r="AY123" s="12">
        <v>1506.0191650390625</v>
      </c>
      <c r="AZ123" s="12">
        <v>330.54147338867188</v>
      </c>
      <c r="BA123" s="12">
        <v>801.2984619140625</v>
      </c>
      <c r="BB123" s="12">
        <v>651.23602294921875</v>
      </c>
      <c r="BC123" s="12">
        <v>804.0911865234375</v>
      </c>
      <c r="BD123" s="12">
        <v>2283.0390625</v>
      </c>
      <c r="BE123" s="12">
        <v>968.93865966796875</v>
      </c>
      <c r="BF123" s="12">
        <v>1025.622802734375</v>
      </c>
      <c r="BG123" s="12">
        <v>1902.208251953125</v>
      </c>
      <c r="BH123" s="12">
        <v>1151.5557861328125</v>
      </c>
      <c r="BI123" s="12">
        <v>944.706298828125</v>
      </c>
      <c r="BJ123" s="12">
        <v>890.578369140625</v>
      </c>
      <c r="BK123" s="12">
        <v>470.35385131835938</v>
      </c>
      <c r="BL123" s="12">
        <v>908.2037353515625</v>
      </c>
      <c r="BM123" s="12">
        <v>1832.88671875</v>
      </c>
      <c r="BN123" s="12">
        <v>1050.0482177734375</v>
      </c>
      <c r="BO123" s="12">
        <v>793.6468505859375</v>
      </c>
      <c r="BP123" s="12">
        <v>1781.283447265625</v>
      </c>
      <c r="BQ123" s="12"/>
      <c r="BR123" s="12"/>
    </row>
    <row r="124" spans="2:70" x14ac:dyDescent="0.2">
      <c r="B124">
        <v>1919</v>
      </c>
      <c r="C124" s="12">
        <v>2218.089599609375</v>
      </c>
      <c r="D124" s="12">
        <v>3410.912353515625</v>
      </c>
      <c r="E124" s="12">
        <v>7225.09130859375</v>
      </c>
      <c r="F124" s="12">
        <v>1913.4241943359375</v>
      </c>
      <c r="G124" s="12">
        <v>1418.15087890625</v>
      </c>
      <c r="H124" s="12">
        <v>723.57904052734375</v>
      </c>
      <c r="I124" s="12">
        <v>579.30712890625</v>
      </c>
      <c r="J124" s="12">
        <v>1043.964111328125</v>
      </c>
      <c r="K124" s="12">
        <v>906.9573974609375</v>
      </c>
      <c r="L124" s="12">
        <v>3540.4833984375</v>
      </c>
      <c r="M124" s="12">
        <v>5792.39892578125</v>
      </c>
      <c r="N124" s="12">
        <v>2741.503662109375</v>
      </c>
      <c r="O124" s="12">
        <v>4018.698486328125</v>
      </c>
      <c r="P124" s="12">
        <v>6499.66015625</v>
      </c>
      <c r="Q124" s="12">
        <v>4778.7255859375</v>
      </c>
      <c r="R124" s="12">
        <v>5050.24853515625</v>
      </c>
      <c r="S124" s="12">
        <v>6175.916015625</v>
      </c>
      <c r="T124" s="12">
        <v>3547.43994140625</v>
      </c>
      <c r="U124" s="12">
        <v>3949.6279296875</v>
      </c>
      <c r="V124" s="12">
        <v>1643.906982421875</v>
      </c>
      <c r="W124" s="12">
        <v>7934.12255859375</v>
      </c>
      <c r="X124" s="12">
        <v>4529.12158203125</v>
      </c>
      <c r="Y124" s="12">
        <v>6446.0966796875</v>
      </c>
      <c r="Z124" s="12">
        <v>6412.591796875</v>
      </c>
      <c r="AA124" s="12">
        <v>1425.38134765625</v>
      </c>
      <c r="AB124" s="12">
        <v>4129.68505859375</v>
      </c>
      <c r="AC124" s="12">
        <v>1363.1519775390625</v>
      </c>
      <c r="AD124" s="12">
        <v>2489.201416015625</v>
      </c>
      <c r="AE124" s="12">
        <v>774.95343017578125</v>
      </c>
      <c r="AF124" s="12">
        <v>1664.276123046875</v>
      </c>
      <c r="AG124" s="12">
        <v>1208.8436279296875</v>
      </c>
      <c r="AH124" s="12">
        <v>997.951416015625</v>
      </c>
      <c r="AI124" s="12">
        <v>2963.6884765625</v>
      </c>
      <c r="AJ124" s="12">
        <v>2027.2486572265625</v>
      </c>
      <c r="AK124" s="12">
        <v>1111.26123046875</v>
      </c>
      <c r="AL124" s="12">
        <v>954.38287353515625</v>
      </c>
      <c r="AM124" s="12">
        <v>2374.920166015625</v>
      </c>
      <c r="AN124" s="12">
        <v>873.756591796875</v>
      </c>
      <c r="AO124" s="12">
        <v>2295.487548828125</v>
      </c>
      <c r="AP124" s="12">
        <v>1120.0164794921875</v>
      </c>
      <c r="AQ124" s="12">
        <v>628.02069091796875</v>
      </c>
      <c r="AR124" s="12">
        <v>576.34576416015625</v>
      </c>
      <c r="AS124" s="12">
        <v>1028.312744140625</v>
      </c>
      <c r="AT124" s="12">
        <v>775.6917724609375</v>
      </c>
      <c r="AU124" s="12">
        <v>834.436279296875</v>
      </c>
      <c r="AV124" s="12">
        <v>629.8316650390625</v>
      </c>
      <c r="AW124" s="12">
        <v>452.81890869140625</v>
      </c>
      <c r="AX124" s="12">
        <v>391.07168579101562</v>
      </c>
      <c r="AY124" s="12">
        <v>1533.630859375</v>
      </c>
      <c r="AZ124" s="12">
        <v>326.15817260742188</v>
      </c>
      <c r="BA124" s="12">
        <v>743.30426025390625</v>
      </c>
      <c r="BB124" s="12">
        <v>604.1019287109375</v>
      </c>
      <c r="BC124" s="12">
        <v>807.07330322265625</v>
      </c>
      <c r="BD124" s="12">
        <v>2307.425048828125</v>
      </c>
      <c r="BE124" s="12">
        <v>925.64996337890625</v>
      </c>
      <c r="BF124" s="12">
        <v>1063.496337890625</v>
      </c>
      <c r="BG124" s="12">
        <v>1927.426513671875</v>
      </c>
      <c r="BH124" s="12">
        <v>1148.3663330078125</v>
      </c>
      <c r="BI124" s="12">
        <v>775.3631591796875</v>
      </c>
      <c r="BJ124" s="12">
        <v>953.14739990234375</v>
      </c>
      <c r="BK124" s="12">
        <v>456.8402099609375</v>
      </c>
      <c r="BL124" s="12">
        <v>905.6883544921875</v>
      </c>
      <c r="BM124" s="12">
        <v>1740.9293212890625</v>
      </c>
      <c r="BN124" s="12">
        <v>1046.62744140625</v>
      </c>
      <c r="BO124" s="12">
        <v>798.2274169921875</v>
      </c>
      <c r="BP124" s="12">
        <v>1628.9874267578125</v>
      </c>
      <c r="BQ124" s="12"/>
      <c r="BR124" s="12"/>
    </row>
    <row r="125" spans="2:70" x14ac:dyDescent="0.2">
      <c r="B125">
        <v>1920</v>
      </c>
      <c r="C125" s="12">
        <v>2226.12841796875</v>
      </c>
      <c r="D125" s="12">
        <v>3501.1552734375</v>
      </c>
      <c r="E125" s="12">
        <v>6911.638671875</v>
      </c>
      <c r="F125" s="12">
        <v>1969.8572998046875</v>
      </c>
      <c r="G125" s="12">
        <v>1471.609375</v>
      </c>
      <c r="H125" s="12">
        <v>807.15826416015625</v>
      </c>
      <c r="I125" s="12">
        <v>558.3189697265625</v>
      </c>
      <c r="J125" s="12">
        <v>1024.351806640625</v>
      </c>
      <c r="K125" s="12">
        <v>984.90618896484375</v>
      </c>
      <c r="L125" s="12">
        <v>3733.740966796875</v>
      </c>
      <c r="M125" s="12">
        <v>6110.15087890625</v>
      </c>
      <c r="N125" s="12">
        <v>3133.00439453125</v>
      </c>
      <c r="O125" s="12">
        <v>4255.310546875</v>
      </c>
      <c r="P125" s="12">
        <v>5867.49267578125</v>
      </c>
      <c r="Q125" s="12">
        <v>5098.87060546875</v>
      </c>
      <c r="R125" s="12">
        <v>5978.130859375</v>
      </c>
      <c r="S125" s="12">
        <v>6314.712890625</v>
      </c>
      <c r="T125" s="12">
        <v>3891.966552734375</v>
      </c>
      <c r="U125" s="12">
        <v>4040.2939453125</v>
      </c>
      <c r="V125" s="12">
        <v>1696.8017578125</v>
      </c>
      <c r="W125" s="12">
        <v>7545.94677734375</v>
      </c>
      <c r="X125" s="12">
        <v>4393.779296875</v>
      </c>
      <c r="Y125" s="12">
        <v>6753.42724609375</v>
      </c>
      <c r="Z125" s="12">
        <v>6804.744140625</v>
      </c>
      <c r="AA125" s="12">
        <v>1365.893798828125</v>
      </c>
      <c r="AB125" s="12">
        <v>4121.57958984375</v>
      </c>
      <c r="AC125" s="12">
        <v>1606.7919921875</v>
      </c>
      <c r="AD125" s="12">
        <v>2730.826416015625</v>
      </c>
      <c r="AE125" s="12">
        <v>797.60272216796875</v>
      </c>
      <c r="AF125" s="12">
        <v>1469.1741943359375</v>
      </c>
      <c r="AG125" s="12">
        <v>1223.367431640625</v>
      </c>
      <c r="AH125" s="12">
        <v>1089.6993408203125</v>
      </c>
      <c r="AI125" s="12">
        <v>2970.246337890625</v>
      </c>
      <c r="AJ125" s="12">
        <v>2096.43798828125</v>
      </c>
      <c r="AK125" s="12">
        <v>1132.9677734375</v>
      </c>
      <c r="AL125" s="12">
        <v>972.54779052734375</v>
      </c>
      <c r="AM125" s="12">
        <v>2458.012451171875</v>
      </c>
      <c r="AN125" s="12">
        <v>905.966796875</v>
      </c>
      <c r="AO125" s="12">
        <v>2370.93359375</v>
      </c>
      <c r="AP125" s="12">
        <v>1132.781494140625</v>
      </c>
      <c r="AQ125" s="12">
        <v>627.3363037109375</v>
      </c>
      <c r="AR125" s="12">
        <v>576.04156494140625</v>
      </c>
      <c r="AS125" s="12">
        <v>1065.2418212890625</v>
      </c>
      <c r="AT125" s="12">
        <v>777.32684326171875</v>
      </c>
      <c r="AU125" s="12">
        <v>844.6416015625</v>
      </c>
      <c r="AV125" s="12">
        <v>995.5347900390625</v>
      </c>
      <c r="AW125" s="12">
        <v>453.7735595703125</v>
      </c>
      <c r="AX125" s="12">
        <v>393.05218505859375</v>
      </c>
      <c r="AY125" s="12">
        <v>1523.4315185546875</v>
      </c>
      <c r="AZ125" s="12">
        <v>373.37384033203125</v>
      </c>
      <c r="BA125" s="12">
        <v>716.40020751953125</v>
      </c>
      <c r="BB125" s="12">
        <v>582.2469482421875</v>
      </c>
      <c r="BC125" s="12">
        <v>809.702392578125</v>
      </c>
      <c r="BD125" s="12">
        <v>2149.404296875</v>
      </c>
      <c r="BE125" s="12">
        <v>969.72991943359375</v>
      </c>
      <c r="BF125" s="12">
        <v>1044.7034912109375</v>
      </c>
      <c r="BG125" s="12">
        <v>1901.8438720703125</v>
      </c>
      <c r="BH125" s="12">
        <v>1143.74658203125</v>
      </c>
      <c r="BI125" s="12">
        <v>923.58392333984375</v>
      </c>
      <c r="BJ125" s="12">
        <v>928.1824951171875</v>
      </c>
      <c r="BK125" s="12">
        <v>443.1572265625</v>
      </c>
      <c r="BL125" s="12">
        <v>902.044921875</v>
      </c>
      <c r="BM125" s="12">
        <v>1849.7802734375</v>
      </c>
      <c r="BN125" s="12">
        <v>1040.1531982421875</v>
      </c>
      <c r="BO125" s="12">
        <v>794.48004150390625</v>
      </c>
      <c r="BP125" s="12">
        <v>1774.12841796875</v>
      </c>
      <c r="BQ125" s="12"/>
      <c r="BR125" s="12"/>
    </row>
    <row r="126" spans="2:70" x14ac:dyDescent="0.2">
      <c r="B126">
        <v>1921</v>
      </c>
      <c r="C126" s="12">
        <v>2201.56494140625</v>
      </c>
      <c r="D126" s="12">
        <v>3580.981689453125</v>
      </c>
      <c r="E126" s="12">
        <v>6498.02783203125</v>
      </c>
      <c r="F126" s="12">
        <v>1798.48486328125</v>
      </c>
      <c r="G126" s="12">
        <v>1506.7867431640625</v>
      </c>
      <c r="H126" s="12">
        <v>829.31744384765625</v>
      </c>
      <c r="I126" s="12">
        <v>497.23345947265625</v>
      </c>
      <c r="J126" s="12">
        <v>1046.6763916015625</v>
      </c>
      <c r="K126" s="12">
        <v>933.51458740234375</v>
      </c>
      <c r="L126" s="12">
        <v>3898.818359375</v>
      </c>
      <c r="M126" s="12">
        <v>5604.89453125</v>
      </c>
      <c r="N126" s="12">
        <v>3500.694091796875</v>
      </c>
      <c r="O126" s="12">
        <v>4927.859375</v>
      </c>
      <c r="P126" s="12">
        <v>6088.55712890625</v>
      </c>
      <c r="Q126" s="12">
        <v>4329.0380859375</v>
      </c>
      <c r="R126" s="12">
        <v>6490.4296875</v>
      </c>
      <c r="S126" s="12">
        <v>4738.9296875</v>
      </c>
      <c r="T126" s="12">
        <v>3411.570068359375</v>
      </c>
      <c r="U126" s="12">
        <v>4133.6962890625</v>
      </c>
      <c r="V126" s="12">
        <v>1736.0946044921875</v>
      </c>
      <c r="W126" s="12">
        <v>7032.912109375</v>
      </c>
      <c r="X126" s="12">
        <v>3914.564697265625</v>
      </c>
      <c r="Y126" s="12">
        <v>8063.38427734375</v>
      </c>
      <c r="Z126" s="12">
        <v>6189.9443359375</v>
      </c>
      <c r="AA126" s="12">
        <v>1285.7677001953125</v>
      </c>
      <c r="AB126" s="12">
        <v>3509.995361328125</v>
      </c>
      <c r="AC126" s="12">
        <v>1319.3231201171875</v>
      </c>
      <c r="AD126" s="12">
        <v>2393.30517578125</v>
      </c>
      <c r="AE126" s="12">
        <v>845.51971435546875</v>
      </c>
      <c r="AF126" s="12">
        <v>1721.506103515625</v>
      </c>
      <c r="AG126" s="12">
        <v>1128.2335205078125</v>
      </c>
      <c r="AH126" s="12">
        <v>1190.4827880859375</v>
      </c>
      <c r="AI126" s="12">
        <v>2981.343017578125</v>
      </c>
      <c r="AJ126" s="12">
        <v>2088.6591796875</v>
      </c>
      <c r="AK126" s="12">
        <v>1156.830322265625</v>
      </c>
      <c r="AL126" s="12">
        <v>991.63934326171875</v>
      </c>
      <c r="AM126" s="12">
        <v>2545.109130859375</v>
      </c>
      <c r="AN126" s="12">
        <v>939.7630615234375</v>
      </c>
      <c r="AO126" s="12">
        <v>2414.356201171875</v>
      </c>
      <c r="AP126" s="12">
        <v>1147.4119873046875</v>
      </c>
      <c r="AQ126" s="12">
        <v>627.59222412109375</v>
      </c>
      <c r="AR126" s="12">
        <v>576.07452392578125</v>
      </c>
      <c r="AS126" s="12">
        <v>1104.143310546875</v>
      </c>
      <c r="AT126" s="12">
        <v>779.42181396484375</v>
      </c>
      <c r="AU126" s="12">
        <v>855.4727783203125</v>
      </c>
      <c r="AV126" s="12">
        <v>896.973876953125</v>
      </c>
      <c r="AW126" s="12">
        <v>454.99639892578125</v>
      </c>
      <c r="AX126" s="12">
        <v>395.27340698242188</v>
      </c>
      <c r="AY126" s="12">
        <v>2320.991943359375</v>
      </c>
      <c r="AZ126" s="12">
        <v>365.13528442382812</v>
      </c>
      <c r="BA126" s="12">
        <v>638.36041259765625</v>
      </c>
      <c r="BB126" s="12">
        <v>518.854736328125</v>
      </c>
      <c r="BC126" s="12">
        <v>812.68426513671875</v>
      </c>
      <c r="BD126" s="12">
        <v>2264.49365234375</v>
      </c>
      <c r="BE126" s="12">
        <v>1000.3707885742188</v>
      </c>
      <c r="BF126" s="12">
        <v>1078.4000244140625</v>
      </c>
      <c r="BG126" s="12">
        <v>1939.571533203125</v>
      </c>
      <c r="BH126" s="12">
        <v>1140.500732421875</v>
      </c>
      <c r="BI126" s="12">
        <v>837.52276611328125</v>
      </c>
      <c r="BJ126" s="12">
        <v>926.42315673828125</v>
      </c>
      <c r="BK126" s="12">
        <v>430.3955078125</v>
      </c>
      <c r="BL126" s="12">
        <v>899.48486328125</v>
      </c>
      <c r="BM126" s="12">
        <v>1772.575439453125</v>
      </c>
      <c r="BN126" s="12">
        <v>1036.5994873046875</v>
      </c>
      <c r="BO126" s="12">
        <v>792.693359375</v>
      </c>
      <c r="BP126" s="12">
        <v>1690.9132080078125</v>
      </c>
      <c r="BQ126" s="12"/>
      <c r="BR126" s="12"/>
    </row>
    <row r="127" spans="2:70" x14ac:dyDescent="0.2">
      <c r="B127">
        <v>1922</v>
      </c>
      <c r="C127" s="12">
        <v>2307.634033203125</v>
      </c>
      <c r="D127" s="12">
        <v>3753.522216796875</v>
      </c>
      <c r="E127" s="12">
        <v>6858.7548828125</v>
      </c>
      <c r="F127" s="12">
        <v>1859.22998046875</v>
      </c>
      <c r="G127" s="12">
        <v>1539.70947265625</v>
      </c>
      <c r="H127" s="12">
        <v>841.15728759765625</v>
      </c>
      <c r="I127" s="12">
        <v>596.050048828125</v>
      </c>
      <c r="J127" s="12">
        <v>1057.035888671875</v>
      </c>
      <c r="K127" s="12">
        <v>957.15740966796875</v>
      </c>
      <c r="L127" s="12">
        <v>4205.46240234375</v>
      </c>
      <c r="M127" s="12">
        <v>5772.21484375</v>
      </c>
      <c r="N127" s="12">
        <v>4044.887939453125</v>
      </c>
      <c r="O127" s="12">
        <v>5469.83740234375</v>
      </c>
      <c r="P127" s="12">
        <v>5909.12451171875</v>
      </c>
      <c r="Q127" s="12">
        <v>4627.82568359375</v>
      </c>
      <c r="R127" s="12">
        <v>6894.40625</v>
      </c>
      <c r="S127" s="12">
        <v>5270.2138671875</v>
      </c>
      <c r="T127" s="12">
        <v>3490.093505859375</v>
      </c>
      <c r="U127" s="12">
        <v>4355.6044921875</v>
      </c>
      <c r="V127" s="12">
        <v>1828.2501220703125</v>
      </c>
      <c r="W127" s="12">
        <v>7446.73876953125</v>
      </c>
      <c r="X127" s="12">
        <v>4362.3330078125</v>
      </c>
      <c r="Y127" s="12">
        <v>7958.65576171875</v>
      </c>
      <c r="Z127" s="12">
        <v>5770.36083984375</v>
      </c>
      <c r="AA127" s="12">
        <v>1347.62646484375</v>
      </c>
      <c r="AB127" s="12">
        <v>3948.16845703125</v>
      </c>
      <c r="AC127" s="12">
        <v>1381.4014892578125</v>
      </c>
      <c r="AD127" s="12">
        <v>2424.255615234375</v>
      </c>
      <c r="AE127" s="12">
        <v>925.24908447265625</v>
      </c>
      <c r="AF127" s="12">
        <v>1486.69287109375</v>
      </c>
      <c r="AG127" s="12">
        <v>1170.985595703125</v>
      </c>
      <c r="AH127" s="12">
        <v>1299.45458984375</v>
      </c>
      <c r="AI127" s="12">
        <v>2983.86474609375</v>
      </c>
      <c r="AJ127" s="12">
        <v>2075.015625</v>
      </c>
      <c r="AK127" s="12">
        <v>1177.8487548828125</v>
      </c>
      <c r="AL127" s="12">
        <v>1009.986083984375</v>
      </c>
      <c r="AM127" s="12">
        <v>2633.1943359375</v>
      </c>
      <c r="AN127" s="12">
        <v>974.0577392578125</v>
      </c>
      <c r="AO127" s="12">
        <v>2451.10986328125</v>
      </c>
      <c r="AP127" s="12">
        <v>1158.9405517578125</v>
      </c>
      <c r="AQ127" s="12">
        <v>626.07000732421875</v>
      </c>
      <c r="AR127" s="12">
        <v>575.46990966796875</v>
      </c>
      <c r="AS127" s="12">
        <v>1143.1988525390625</v>
      </c>
      <c r="AT127" s="12">
        <v>780.6575927734375</v>
      </c>
      <c r="AU127" s="12">
        <v>865.48388671875</v>
      </c>
      <c r="AV127" s="12">
        <v>883.80596923828125</v>
      </c>
      <c r="AW127" s="12">
        <v>455.71768188476562</v>
      </c>
      <c r="AX127" s="12">
        <v>397.06768798828125</v>
      </c>
      <c r="AY127" s="12">
        <v>2499.4794921875</v>
      </c>
      <c r="AZ127" s="12">
        <v>366.66574096679688</v>
      </c>
      <c r="BA127" s="12">
        <v>765.2320556640625</v>
      </c>
      <c r="BB127" s="12">
        <v>621.95306396484375</v>
      </c>
      <c r="BC127" s="12">
        <v>815.04180908203125</v>
      </c>
      <c r="BD127" s="12">
        <v>2299.03466796875</v>
      </c>
      <c r="BE127" s="12">
        <v>1012.278076171875</v>
      </c>
      <c r="BF127" s="12">
        <v>1171.7056884765625</v>
      </c>
      <c r="BG127" s="12">
        <v>1959.5760498046875</v>
      </c>
      <c r="BH127" s="12">
        <v>1134.707275390625</v>
      </c>
      <c r="BI127" s="12">
        <v>869.0006103515625</v>
      </c>
      <c r="BJ127" s="12">
        <v>922.906494140625</v>
      </c>
      <c r="BK127" s="12">
        <v>441.316162109375</v>
      </c>
      <c r="BL127" s="12">
        <v>894.91571044921875</v>
      </c>
      <c r="BM127" s="12">
        <v>1943.0712890625</v>
      </c>
      <c r="BN127" s="12">
        <v>1027.62060546875</v>
      </c>
      <c r="BO127" s="12">
        <v>794.03680419921875</v>
      </c>
      <c r="BP127" s="12">
        <v>1706.73974609375</v>
      </c>
      <c r="BQ127" s="12"/>
      <c r="BR127" s="12"/>
    </row>
    <row r="128" spans="2:70" x14ac:dyDescent="0.2">
      <c r="B128">
        <v>1923</v>
      </c>
      <c r="C128" s="12">
        <v>2400.784912109375</v>
      </c>
      <c r="D128" s="12">
        <v>3703.52783203125</v>
      </c>
      <c r="E128" s="12">
        <v>7492.638671875</v>
      </c>
      <c r="F128" s="12">
        <v>2152.06494140625</v>
      </c>
      <c r="G128" s="12">
        <v>1574.20166015625</v>
      </c>
      <c r="H128" s="12">
        <v>823.447509765625</v>
      </c>
      <c r="I128" s="12">
        <v>675.856689453125</v>
      </c>
      <c r="J128" s="12">
        <v>1064.9063720703125</v>
      </c>
      <c r="K128" s="12">
        <v>976.22247314453125</v>
      </c>
      <c r="L128" s="12">
        <v>3637.208984375</v>
      </c>
      <c r="M128" s="12">
        <v>6100.0869140625</v>
      </c>
      <c r="N128" s="12">
        <v>4021.5986328125</v>
      </c>
      <c r="O128" s="12">
        <v>5461.91259765625</v>
      </c>
      <c r="P128" s="12">
        <v>5983.07666015625</v>
      </c>
      <c r="Q128" s="12">
        <v>4981.93115234375</v>
      </c>
      <c r="R128" s="12">
        <v>6688.89501953125</v>
      </c>
      <c r="S128" s="12">
        <v>5608.41650390625</v>
      </c>
      <c r="T128" s="12">
        <v>3673.490478515625</v>
      </c>
      <c r="U128" s="12">
        <v>4299.9619140625</v>
      </c>
      <c r="V128" s="12">
        <v>1804.957275390625</v>
      </c>
      <c r="W128" s="12">
        <v>8145.90869140625</v>
      </c>
      <c r="X128" s="12">
        <v>4635.71875</v>
      </c>
      <c r="Y128" s="12">
        <v>8582.8984375</v>
      </c>
      <c r="Z128" s="12">
        <v>6137.44140625</v>
      </c>
      <c r="AA128" s="12">
        <v>1484.0086669921875</v>
      </c>
      <c r="AB128" s="12">
        <v>4543.0146484375</v>
      </c>
      <c r="AC128" s="12">
        <v>1743.9364013671875</v>
      </c>
      <c r="AD128" s="12">
        <v>2866.80078125</v>
      </c>
      <c r="AE128" s="12">
        <v>986.9368896484375</v>
      </c>
      <c r="AF128" s="12">
        <v>1514.6295166015625</v>
      </c>
      <c r="AG128" s="12">
        <v>1353.1826171875</v>
      </c>
      <c r="AH128" s="12">
        <v>1419.65283203125</v>
      </c>
      <c r="AI128" s="12">
        <v>2995.17919921875</v>
      </c>
      <c r="AJ128" s="12">
        <v>2067.435302734375</v>
      </c>
      <c r="AK128" s="12">
        <v>1202.7257080078125</v>
      </c>
      <c r="AL128" s="12">
        <v>1029.8350830078125</v>
      </c>
      <c r="AM128" s="12">
        <v>2726.533935546875</v>
      </c>
      <c r="AN128" s="12">
        <v>1010.4085083007812</v>
      </c>
      <c r="AO128" s="12">
        <v>2492.59521484375</v>
      </c>
      <c r="AP128" s="12">
        <v>1173.97412109375</v>
      </c>
      <c r="AQ128" s="12">
        <v>626.3614501953125</v>
      </c>
      <c r="AR128" s="12">
        <v>575.51580810546875</v>
      </c>
      <c r="AS128" s="12">
        <v>1184.9737548828125</v>
      </c>
      <c r="AT128" s="12">
        <v>782.77911376953125</v>
      </c>
      <c r="AU128" s="12">
        <v>876.60205078125</v>
      </c>
      <c r="AV128" s="12">
        <v>753.9241943359375</v>
      </c>
      <c r="AW128" s="12">
        <v>456.95602416992188</v>
      </c>
      <c r="AX128" s="12">
        <v>399.32058715820312</v>
      </c>
      <c r="AY128" s="12">
        <v>2537.3935546875</v>
      </c>
      <c r="AZ128" s="12">
        <v>355.11288452148438</v>
      </c>
      <c r="BA128" s="12">
        <v>867.69927978515625</v>
      </c>
      <c r="BB128" s="12">
        <v>705.21441650390625</v>
      </c>
      <c r="BC128" s="12">
        <v>818.0550537109375</v>
      </c>
      <c r="BD128" s="12">
        <v>2321.4462890625</v>
      </c>
      <c r="BE128" s="12">
        <v>1020.8486938476562</v>
      </c>
      <c r="BF128" s="12">
        <v>1194.3214111328125</v>
      </c>
      <c r="BG128" s="12">
        <v>1974.367919921875</v>
      </c>
      <c r="BH128" s="12">
        <v>1122.1419677734375</v>
      </c>
      <c r="BI128" s="12">
        <v>907.43377685546875</v>
      </c>
      <c r="BJ128" s="12">
        <v>927.92059326171875</v>
      </c>
      <c r="BK128" s="12">
        <v>449.787841796875</v>
      </c>
      <c r="BL128" s="12">
        <v>885.005859375</v>
      </c>
      <c r="BM128" s="12">
        <v>1789.748291015625</v>
      </c>
      <c r="BN128" s="12">
        <v>1024.219970703125</v>
      </c>
      <c r="BO128" s="12">
        <v>799.03814697265625</v>
      </c>
      <c r="BP128" s="12">
        <v>1735.2252197265625</v>
      </c>
      <c r="BQ128" s="12"/>
      <c r="BR128" s="12"/>
    </row>
    <row r="129" spans="2:70" x14ac:dyDescent="0.2">
      <c r="B129">
        <v>1924</v>
      </c>
      <c r="C129" s="12">
        <v>2419.23583984375</v>
      </c>
      <c r="D129" s="12">
        <v>3752.35400390625</v>
      </c>
      <c r="E129" s="12">
        <v>7441.2578125</v>
      </c>
      <c r="F129" s="12">
        <v>2181.087646484375</v>
      </c>
      <c r="G129" s="12">
        <v>1617.81396484375</v>
      </c>
      <c r="H129" s="12">
        <v>864.2630615234375</v>
      </c>
      <c r="I129" s="12">
        <v>785.7742919921875</v>
      </c>
      <c r="J129" s="12">
        <v>1080.0418701171875</v>
      </c>
      <c r="K129" s="12">
        <v>944.080078125</v>
      </c>
      <c r="L129" s="12">
        <v>4038.297607421875</v>
      </c>
      <c r="M129" s="12">
        <v>6239.87158203125</v>
      </c>
      <c r="N129" s="12">
        <v>3948.394775390625</v>
      </c>
      <c r="O129" s="12">
        <v>5443.55712890625</v>
      </c>
      <c r="P129" s="12">
        <v>5953.60888671875</v>
      </c>
      <c r="Q129" s="12">
        <v>4857.68408203125</v>
      </c>
      <c r="R129" s="12">
        <v>6920.5263671875</v>
      </c>
      <c r="S129" s="12">
        <v>5721.22265625</v>
      </c>
      <c r="T129" s="12">
        <v>3774.08349609375</v>
      </c>
      <c r="U129" s="12">
        <v>4352.55908203125</v>
      </c>
      <c r="V129" s="12">
        <v>1827.6077880859375</v>
      </c>
      <c r="W129" s="12">
        <v>8081.0830078125</v>
      </c>
      <c r="X129" s="12">
        <v>4606.4033203125</v>
      </c>
      <c r="Y129" s="12">
        <v>8633.6630859375</v>
      </c>
      <c r="Z129" s="12">
        <v>6181.8662109375</v>
      </c>
      <c r="AA129" s="12">
        <v>1475.83203125</v>
      </c>
      <c r="AB129" s="12">
        <v>4950.94140625</v>
      </c>
      <c r="AC129" s="12">
        <v>1653.1312255859375</v>
      </c>
      <c r="AD129" s="12">
        <v>3047.8662109375</v>
      </c>
      <c r="AE129" s="12">
        <v>1093.7864990234375</v>
      </c>
      <c r="AF129" s="12">
        <v>1344.9932861328125</v>
      </c>
      <c r="AG129" s="12">
        <v>1384.1971435546875</v>
      </c>
      <c r="AH129" s="12">
        <v>1551.6104736328125</v>
      </c>
      <c r="AI129" s="12">
        <v>3010.725830078125</v>
      </c>
      <c r="AJ129" s="12">
        <v>2062.702392578125</v>
      </c>
      <c r="AK129" s="12">
        <v>1229.807373046875</v>
      </c>
      <c r="AL129" s="12">
        <v>1050.6348876953125</v>
      </c>
      <c r="AM129" s="12">
        <v>2824.260986328125</v>
      </c>
      <c r="AN129" s="12">
        <v>1096.8525390625</v>
      </c>
      <c r="AO129" s="12">
        <v>2553.165771484375</v>
      </c>
      <c r="AP129" s="12">
        <v>1190.828857421875</v>
      </c>
      <c r="AQ129" s="12">
        <v>627.510498046875</v>
      </c>
      <c r="AR129" s="12">
        <v>575.8692626953125</v>
      </c>
      <c r="AS129" s="12">
        <v>1228.9317626953125</v>
      </c>
      <c r="AT129" s="12">
        <v>785.3255615234375</v>
      </c>
      <c r="AU129" s="12">
        <v>888.33709716796875</v>
      </c>
      <c r="AV129" s="12">
        <v>897.36309814453125</v>
      </c>
      <c r="AW129" s="12">
        <v>458.44268798828125</v>
      </c>
      <c r="AX129" s="12">
        <v>401.80111694335938</v>
      </c>
      <c r="AY129" s="12">
        <v>2577.63916015625</v>
      </c>
      <c r="AZ129" s="12">
        <v>377.248291015625</v>
      </c>
      <c r="BA129" s="12">
        <v>1008.8165283203125</v>
      </c>
      <c r="BB129" s="12">
        <v>819.9066162109375</v>
      </c>
      <c r="BC129" s="12">
        <v>821.3865966796875</v>
      </c>
      <c r="BD129" s="12">
        <v>2410.60693359375</v>
      </c>
      <c r="BE129" s="12">
        <v>964.91802978515625</v>
      </c>
      <c r="BF129" s="12">
        <v>1300.850341796875</v>
      </c>
      <c r="BG129" s="12">
        <v>1997.19189453125</v>
      </c>
      <c r="BH129" s="12">
        <v>1129.604248046875</v>
      </c>
      <c r="BI129" s="12">
        <v>827.48162841796875</v>
      </c>
      <c r="BJ129" s="12">
        <v>971.75958251953125</v>
      </c>
      <c r="BK129" s="12">
        <v>466.63800048828125</v>
      </c>
      <c r="BL129" s="12">
        <v>890.89117431640625</v>
      </c>
      <c r="BM129" s="12">
        <v>1918.8251953125</v>
      </c>
      <c r="BN129" s="12">
        <v>1023.4318237304688</v>
      </c>
      <c r="BO129" s="12">
        <v>798.56573486328125</v>
      </c>
      <c r="BP129" s="12">
        <v>1676.0849609375</v>
      </c>
      <c r="BQ129" s="12"/>
      <c r="BR129" s="12"/>
    </row>
    <row r="130" spans="2:70" x14ac:dyDescent="0.2">
      <c r="B130">
        <v>1925</v>
      </c>
      <c r="C130" s="12">
        <v>2489.60888671875</v>
      </c>
      <c r="D130" s="12">
        <v>3898.00341796875</v>
      </c>
      <c r="E130" s="12">
        <v>7490.1748046875</v>
      </c>
      <c r="F130" s="12">
        <v>2301.2001953125</v>
      </c>
      <c r="G130" s="12">
        <v>1649.5986328125</v>
      </c>
      <c r="H130" s="12">
        <v>892.9862060546875</v>
      </c>
      <c r="I130" s="12">
        <v>925.54400634765625</v>
      </c>
      <c r="J130" s="12">
        <v>1091.7860107421875</v>
      </c>
      <c r="K130" s="12">
        <v>1006.480712890625</v>
      </c>
      <c r="L130" s="12">
        <v>4274.46484375</v>
      </c>
      <c r="M130" s="12">
        <v>5920.3876953125</v>
      </c>
      <c r="N130" s="12">
        <v>4124.38525390625</v>
      </c>
      <c r="O130" s="12">
        <v>5568.94091796875</v>
      </c>
      <c r="P130" s="12">
        <v>6088.41357421875</v>
      </c>
      <c r="Q130" s="12">
        <v>5339.0791015625</v>
      </c>
      <c r="R130" s="12">
        <v>7031.91943359375</v>
      </c>
      <c r="S130" s="12">
        <v>5640.53515625</v>
      </c>
      <c r="T130" s="12">
        <v>3823.016845703125</v>
      </c>
      <c r="U130" s="12">
        <v>4531.2041015625</v>
      </c>
      <c r="V130" s="12">
        <v>1901.981201171875</v>
      </c>
      <c r="W130" s="12">
        <v>8084.32080078125</v>
      </c>
      <c r="X130" s="12">
        <v>4969.42919921875</v>
      </c>
      <c r="Y130" s="12">
        <v>9224.271484375</v>
      </c>
      <c r="Z130" s="12">
        <v>6310.23193359375</v>
      </c>
      <c r="AA130" s="12">
        <v>1486.802490234375</v>
      </c>
      <c r="AB130" s="12">
        <v>5142.87060546875</v>
      </c>
      <c r="AC130" s="12">
        <v>1790.5614013671875</v>
      </c>
      <c r="AD130" s="12">
        <v>3108.539306640625</v>
      </c>
      <c r="AE130" s="12">
        <v>1198.980224609375</v>
      </c>
      <c r="AF130" s="12">
        <v>1429.421142578125</v>
      </c>
      <c r="AG130" s="12">
        <v>1440.2294921875</v>
      </c>
      <c r="AH130" s="12">
        <v>1694.1688232421875</v>
      </c>
      <c r="AI130" s="12">
        <v>3016.274658203125</v>
      </c>
      <c r="AJ130" s="12">
        <v>2051.249267578125</v>
      </c>
      <c r="AK130" s="12">
        <v>1148.0909423828125</v>
      </c>
      <c r="AL130" s="12">
        <v>1070.485595703125</v>
      </c>
      <c r="AM130" s="12">
        <v>2922.815673828125</v>
      </c>
      <c r="AN130" s="12">
        <v>1212.6505126953125</v>
      </c>
      <c r="AO130" s="12">
        <v>2591.2216796875</v>
      </c>
      <c r="AP130" s="12">
        <v>1203.978515625</v>
      </c>
      <c r="AQ130" s="12">
        <v>626.60565185546875</v>
      </c>
      <c r="AR130" s="12">
        <v>575.48638916015625</v>
      </c>
      <c r="AS130" s="12">
        <v>1272.8912353515625</v>
      </c>
      <c r="AT130" s="12">
        <v>786.87310791015625</v>
      </c>
      <c r="AU130" s="12">
        <v>899.07843017578125</v>
      </c>
      <c r="AV130" s="12">
        <v>931.1279296875</v>
      </c>
      <c r="AW130" s="12">
        <v>459.34616088867188</v>
      </c>
      <c r="AX130" s="12">
        <v>403.78057861328125</v>
      </c>
      <c r="AY130" s="12">
        <v>2742.849853515625</v>
      </c>
      <c r="AZ130" s="12">
        <v>390.18960571289062</v>
      </c>
      <c r="BA130" s="12">
        <v>1188.2607421875</v>
      </c>
      <c r="BB130" s="12">
        <v>965.74761962890625</v>
      </c>
      <c r="BC130" s="12">
        <v>823.99468994140625</v>
      </c>
      <c r="BD130" s="12">
        <v>2457.376953125</v>
      </c>
      <c r="BE130" s="12">
        <v>996.64892578125</v>
      </c>
      <c r="BF130" s="12">
        <v>1353.3829345703125</v>
      </c>
      <c r="BG130" s="12">
        <v>1996.61962890625</v>
      </c>
      <c r="BH130" s="12">
        <v>1124.7457275390625</v>
      </c>
      <c r="BI130" s="12">
        <v>916.60284423828125</v>
      </c>
      <c r="BJ130" s="12">
        <v>1039.63623046875</v>
      </c>
      <c r="BK130" s="12">
        <v>478.852783203125</v>
      </c>
      <c r="BL130" s="12">
        <v>887.05938720703125</v>
      </c>
      <c r="BM130" s="12">
        <v>1894.6722412109375</v>
      </c>
      <c r="BN130" s="12">
        <v>1016.4288940429688</v>
      </c>
      <c r="BO130" s="12">
        <v>794.9381103515625</v>
      </c>
      <c r="BP130" s="12">
        <v>1790.97509765625</v>
      </c>
      <c r="BQ130" s="12"/>
      <c r="BR130" s="12"/>
    </row>
    <row r="131" spans="2:70" x14ac:dyDescent="0.2">
      <c r="B131">
        <v>1926</v>
      </c>
      <c r="C131" s="12">
        <v>2525.412353515625</v>
      </c>
      <c r="D131" s="12">
        <v>3907.614990234375</v>
      </c>
      <c r="E131" s="12">
        <v>7721.83642578125</v>
      </c>
      <c r="F131" s="12">
        <v>2135.110595703125</v>
      </c>
      <c r="G131" s="12">
        <v>1726.590087890625</v>
      </c>
      <c r="H131" s="12">
        <v>936.70538330078125</v>
      </c>
      <c r="I131" s="12">
        <v>1052.3414306640625</v>
      </c>
      <c r="J131" s="12">
        <v>1089.8494873046875</v>
      </c>
      <c r="K131" s="12">
        <v>1004.3961791992188</v>
      </c>
      <c r="L131" s="12">
        <v>4342.74365234375</v>
      </c>
      <c r="M131" s="12">
        <v>6193.876953125</v>
      </c>
      <c r="N131" s="12">
        <v>4323.10888671875</v>
      </c>
      <c r="O131" s="12">
        <v>5279.36865234375</v>
      </c>
      <c r="P131" s="12">
        <v>6204.02734375</v>
      </c>
      <c r="Q131" s="12">
        <v>5290.8505859375</v>
      </c>
      <c r="R131" s="12">
        <v>7393.4296875</v>
      </c>
      <c r="S131" s="12">
        <v>5440.94970703125</v>
      </c>
      <c r="T131" s="12">
        <v>3962.3408203125</v>
      </c>
      <c r="U131" s="12">
        <v>4551.833984375</v>
      </c>
      <c r="V131" s="12">
        <v>1910.651611328125</v>
      </c>
      <c r="W131" s="12">
        <v>8381.98828125</v>
      </c>
      <c r="X131" s="12">
        <v>5175.3955078125</v>
      </c>
      <c r="Y131" s="12">
        <v>8619.013671875</v>
      </c>
      <c r="Z131" s="12">
        <v>5849.64697265625</v>
      </c>
      <c r="AA131" s="12">
        <v>1542.6614990234375</v>
      </c>
      <c r="AB131" s="12">
        <v>4897.5927734375</v>
      </c>
      <c r="AC131" s="12">
        <v>1465.70068359375</v>
      </c>
      <c r="AD131" s="12">
        <v>2980.6025390625</v>
      </c>
      <c r="AE131" s="12">
        <v>1421.5220947265625</v>
      </c>
      <c r="AF131" s="12">
        <v>1423.7449951171875</v>
      </c>
      <c r="AG131" s="12">
        <v>1334.6741943359375</v>
      </c>
      <c r="AH131" s="12">
        <v>1850.78759765625</v>
      </c>
      <c r="AI131" s="12">
        <v>3027.189453125</v>
      </c>
      <c r="AJ131" s="12">
        <v>2043.4124755859375</v>
      </c>
      <c r="AK131" s="12">
        <v>1172.2379150390625</v>
      </c>
      <c r="AL131" s="12">
        <v>1091.451904296875</v>
      </c>
      <c r="AM131" s="12">
        <v>3026.27685546875</v>
      </c>
      <c r="AN131" s="12">
        <v>1397.7459716796875</v>
      </c>
      <c r="AO131" s="12">
        <v>2702.4912109375</v>
      </c>
      <c r="AP131" s="12">
        <v>1219.3924560546875</v>
      </c>
      <c r="AQ131" s="12">
        <v>626.79193115234375</v>
      </c>
      <c r="AR131" s="12">
        <v>575.49468994140625</v>
      </c>
      <c r="AS131" s="12">
        <v>1319.3192138671875</v>
      </c>
      <c r="AT131" s="12">
        <v>788.9599609375</v>
      </c>
      <c r="AU131" s="12">
        <v>910.5684814453125</v>
      </c>
      <c r="AV131" s="12">
        <v>1075.153564453125</v>
      </c>
      <c r="AW131" s="12">
        <v>460.56430053710938</v>
      </c>
      <c r="AX131" s="12">
        <v>406.044677734375</v>
      </c>
      <c r="AY131" s="12">
        <v>2812.84033203125</v>
      </c>
      <c r="AZ131" s="12">
        <v>413.39727783203125</v>
      </c>
      <c r="BA131" s="12">
        <v>1351.0494384765625</v>
      </c>
      <c r="BB131" s="12">
        <v>1098.0528564453125</v>
      </c>
      <c r="BC131" s="12">
        <v>827.0035400390625</v>
      </c>
      <c r="BD131" s="12">
        <v>2382.203857421875</v>
      </c>
      <c r="BE131" s="12">
        <v>1037.1129150390625</v>
      </c>
      <c r="BF131" s="12">
        <v>1350.0875244140625</v>
      </c>
      <c r="BG131" s="12">
        <v>2007.4503173828125</v>
      </c>
      <c r="BH131" s="12">
        <v>1121.4554443359375</v>
      </c>
      <c r="BI131" s="12">
        <v>899.23687744140625</v>
      </c>
      <c r="BJ131" s="12">
        <v>1074.5635986328125</v>
      </c>
      <c r="BK131" s="12">
        <v>492.06625366210938</v>
      </c>
      <c r="BL131" s="12">
        <v>884.46441650390625</v>
      </c>
      <c r="BM131" s="12">
        <v>1953.1231689453125</v>
      </c>
      <c r="BN131" s="12">
        <v>1021.5435180664062</v>
      </c>
      <c r="BO131" s="12">
        <v>792.99334716796875</v>
      </c>
      <c r="BP131" s="12">
        <v>1781.56787109375</v>
      </c>
      <c r="BQ131" s="12"/>
      <c r="BR131" s="12"/>
    </row>
    <row r="132" spans="2:70" x14ac:dyDescent="0.2">
      <c r="B132">
        <v>1927</v>
      </c>
      <c r="C132" s="12">
        <v>2524.141845703125</v>
      </c>
      <c r="D132" s="12">
        <v>3947.04931640625</v>
      </c>
      <c r="E132" s="12">
        <v>7609.3525390625</v>
      </c>
      <c r="F132" s="12">
        <v>2143.994140625</v>
      </c>
      <c r="G132" s="12">
        <v>1696.76513671875</v>
      </c>
      <c r="H132" s="12">
        <v>928.7232666015625</v>
      </c>
      <c r="I132" s="12">
        <v>1083.151611328125</v>
      </c>
      <c r="J132" s="12">
        <v>1087.5447998046875</v>
      </c>
      <c r="K132" s="12">
        <v>1006.0834350585938</v>
      </c>
      <c r="L132" s="12">
        <v>4632.41455078125</v>
      </c>
      <c r="M132" s="12">
        <v>6138.48388671875</v>
      </c>
      <c r="N132" s="12">
        <v>4701.974609375</v>
      </c>
      <c r="O132" s="12">
        <v>5214.5771484375</v>
      </c>
      <c r="P132" s="12">
        <v>6257.32421875</v>
      </c>
      <c r="Q132" s="12">
        <v>5051.4892578125</v>
      </c>
      <c r="R132" s="12">
        <v>7519.802734375</v>
      </c>
      <c r="S132" s="12">
        <v>5449.8994140625</v>
      </c>
      <c r="T132" s="12">
        <v>4061.36474609375</v>
      </c>
      <c r="U132" s="12">
        <v>4602.52685546875</v>
      </c>
      <c r="V132" s="12">
        <v>1931.927490234375</v>
      </c>
      <c r="W132" s="12">
        <v>8237.45703125</v>
      </c>
      <c r="X132" s="12">
        <v>5374.26025390625</v>
      </c>
      <c r="Y132" s="12">
        <v>8630.3564453125</v>
      </c>
      <c r="Z132" s="12">
        <v>5585.30810546875</v>
      </c>
      <c r="AA132" s="12">
        <v>1521.6585693359375</v>
      </c>
      <c r="AB132" s="12">
        <v>4997.4140625</v>
      </c>
      <c r="AC132" s="12">
        <v>1515.885009765625</v>
      </c>
      <c r="AD132" s="12">
        <v>2880.963134765625</v>
      </c>
      <c r="AE132" s="12">
        <v>1463.2198486328125</v>
      </c>
      <c r="AF132" s="12">
        <v>1267.2850341796875</v>
      </c>
      <c r="AG132" s="12">
        <v>1343.3232421875</v>
      </c>
      <c r="AH132" s="12">
        <v>2021.859619140625</v>
      </c>
      <c r="AI132" s="12">
        <v>3038.00390625</v>
      </c>
      <c r="AJ132" s="12">
        <v>2035.5145263671875</v>
      </c>
      <c r="AK132" s="12">
        <v>1196.7183837890625</v>
      </c>
      <c r="AL132" s="12">
        <v>1112.8096923828125</v>
      </c>
      <c r="AM132" s="12">
        <v>3133.35986328125</v>
      </c>
      <c r="AN132" s="12">
        <v>1262.217041015625</v>
      </c>
      <c r="AO132" s="12">
        <v>2656.4990234375</v>
      </c>
      <c r="AP132" s="12">
        <v>1234.9461669921875</v>
      </c>
      <c r="AQ132" s="12">
        <v>626.9500732421875</v>
      </c>
      <c r="AR132" s="12">
        <v>575.49285888671875</v>
      </c>
      <c r="AS132" s="12">
        <v>1533.914794921875</v>
      </c>
      <c r="AT132" s="12">
        <v>791.0380859375</v>
      </c>
      <c r="AU132" s="12">
        <v>922.18890380859375</v>
      </c>
      <c r="AV132" s="12">
        <v>948.32220458984375</v>
      </c>
      <c r="AW132" s="12">
        <v>461.777587890625</v>
      </c>
      <c r="AX132" s="12">
        <v>408.31503295898438</v>
      </c>
      <c r="AY132" s="12">
        <v>2865.000732421875</v>
      </c>
      <c r="AZ132" s="12">
        <v>406.36383056640625</v>
      </c>
      <c r="BA132" s="12">
        <v>1390.6044921875</v>
      </c>
      <c r="BB132" s="12">
        <v>1130.201416015625</v>
      </c>
      <c r="BC132" s="12">
        <v>830.0133056640625</v>
      </c>
      <c r="BD132" s="12">
        <v>2329.150634765625</v>
      </c>
      <c r="BE132" s="12">
        <v>1092.8291015625</v>
      </c>
      <c r="BF132" s="12">
        <v>1337.9473876953125</v>
      </c>
      <c r="BG132" s="12">
        <v>2000.5220947265625</v>
      </c>
      <c r="BH132" s="12">
        <v>1118.1351318359375</v>
      </c>
      <c r="BI132" s="12">
        <v>883.07421875</v>
      </c>
      <c r="BJ132" s="12">
        <v>1134.761474609375</v>
      </c>
      <c r="BK132" s="12">
        <v>502.24725341796875</v>
      </c>
      <c r="BL132" s="12">
        <v>881.84576416015625</v>
      </c>
      <c r="BM132" s="12">
        <v>1955.8057861328125</v>
      </c>
      <c r="BN132" s="12">
        <v>1017.7612915039062</v>
      </c>
      <c r="BO132" s="12">
        <v>791.0106201171875</v>
      </c>
      <c r="BP132" s="12">
        <v>1780.2490234375</v>
      </c>
      <c r="BQ132" s="12"/>
      <c r="BR132" s="12"/>
    </row>
    <row r="133" spans="2:70" x14ac:dyDescent="0.2">
      <c r="B133">
        <v>1928</v>
      </c>
      <c r="C133" s="12">
        <v>2617.576416015625</v>
      </c>
      <c r="D133" s="12">
        <v>4142.513671875</v>
      </c>
      <c r="E133" s="12">
        <v>7711.94189453125</v>
      </c>
      <c r="F133" s="12">
        <v>2487.467529296875</v>
      </c>
      <c r="G133" s="12">
        <v>1751.291015625</v>
      </c>
      <c r="H133" s="12">
        <v>971.29803466796875</v>
      </c>
      <c r="I133" s="12">
        <v>1117.5380859375</v>
      </c>
      <c r="J133" s="12">
        <v>1118.91845703125</v>
      </c>
      <c r="K133" s="12">
        <v>1053.987060546875</v>
      </c>
      <c r="L133" s="12">
        <v>4800.91064453125</v>
      </c>
      <c r="M133" s="12">
        <v>6239.24072265625</v>
      </c>
      <c r="N133" s="12">
        <v>4409.31201171875</v>
      </c>
      <c r="O133" s="12">
        <v>5651.32421875</v>
      </c>
      <c r="P133" s="12">
        <v>6666.044921875</v>
      </c>
      <c r="Q133" s="12">
        <v>5470.58203125</v>
      </c>
      <c r="R133" s="12">
        <v>7698.10546875</v>
      </c>
      <c r="S133" s="12">
        <v>5833.7412109375</v>
      </c>
      <c r="T133" s="12">
        <v>4152.72216796875</v>
      </c>
      <c r="U133" s="12">
        <v>4830.314453125</v>
      </c>
      <c r="V133" s="12">
        <v>2028.09375</v>
      </c>
      <c r="W133" s="12">
        <v>8339.158203125</v>
      </c>
      <c r="X133" s="12">
        <v>5721.63916015625</v>
      </c>
      <c r="Y133" s="12">
        <v>8474.220703125</v>
      </c>
      <c r="Z133" s="12">
        <v>6171.97998046875</v>
      </c>
      <c r="AA133" s="12">
        <v>1540.0601806640625</v>
      </c>
      <c r="AB133" s="12">
        <v>5709.22314453125</v>
      </c>
      <c r="AC133" s="12">
        <v>1880.476318359375</v>
      </c>
      <c r="AD133" s="12">
        <v>3572.95556640625</v>
      </c>
      <c r="AE133" s="12">
        <v>1698.06689453125</v>
      </c>
      <c r="AF133" s="12">
        <v>1236.054443359375</v>
      </c>
      <c r="AG133" s="12">
        <v>1579.5069580078125</v>
      </c>
      <c r="AH133" s="12">
        <v>2209.677490234375</v>
      </c>
      <c r="AI133" s="12">
        <v>3053.272216796875</v>
      </c>
      <c r="AJ133" s="12">
        <v>2030.524658203125</v>
      </c>
      <c r="AK133" s="12">
        <v>1227.388916015625</v>
      </c>
      <c r="AL133" s="12">
        <v>1135.2137451171875</v>
      </c>
      <c r="AM133" s="12">
        <v>3245.514404296875</v>
      </c>
      <c r="AN133" s="12">
        <v>1377.0364990234375</v>
      </c>
      <c r="AO133" s="12">
        <v>2734.77587890625</v>
      </c>
      <c r="AP133" s="12">
        <v>1252.473388671875</v>
      </c>
      <c r="AQ133" s="12">
        <v>627.9981689453125</v>
      </c>
      <c r="AR133" s="12">
        <v>575.8094482421875</v>
      </c>
      <c r="AS133" s="12">
        <v>1434.6339111328125</v>
      </c>
      <c r="AT133" s="12">
        <v>793.56097412109375</v>
      </c>
      <c r="AU133" s="12">
        <v>934.47479248046875</v>
      </c>
      <c r="AV133" s="12">
        <v>1043.6614990234375</v>
      </c>
      <c r="AW133" s="12">
        <v>463.25042724609375</v>
      </c>
      <c r="AX133" s="12">
        <v>410.82550048828125</v>
      </c>
      <c r="AY133" s="12">
        <v>3083.146240234375</v>
      </c>
      <c r="AZ133" s="12">
        <v>427.17550659179688</v>
      </c>
      <c r="BA133" s="12">
        <v>1434.75244140625</v>
      </c>
      <c r="BB133" s="12">
        <v>1166.08154296875</v>
      </c>
      <c r="BC133" s="12">
        <v>833.35552978515625</v>
      </c>
      <c r="BD133" s="12">
        <v>2513.2353515625</v>
      </c>
      <c r="BE133" s="12">
        <v>1021.1021728515625</v>
      </c>
      <c r="BF133" s="12">
        <v>1354.1334228515625</v>
      </c>
      <c r="BG133" s="12">
        <v>2049.677001953125</v>
      </c>
      <c r="BH133" s="12">
        <v>1116.0792236328125</v>
      </c>
      <c r="BI133" s="12">
        <v>945.81121826171875</v>
      </c>
      <c r="BJ133" s="12">
        <v>1182.5048828125</v>
      </c>
      <c r="BK133" s="12">
        <v>513.21612548828125</v>
      </c>
      <c r="BL133" s="12">
        <v>880.22430419921875</v>
      </c>
      <c r="BM133" s="12">
        <v>1995.77001953125</v>
      </c>
      <c r="BN133" s="12">
        <v>1016.3546752929688</v>
      </c>
      <c r="BO133" s="12">
        <v>783.93304443359375</v>
      </c>
      <c r="BP133" s="12">
        <v>1867.7545166015625</v>
      </c>
      <c r="BQ133" s="12"/>
      <c r="BR133" s="12"/>
    </row>
    <row r="134" spans="2:70" x14ac:dyDescent="0.2">
      <c r="B134">
        <v>1929</v>
      </c>
      <c r="C134" s="12">
        <v>2644.86767578125</v>
      </c>
      <c r="D134" s="12">
        <v>4174.921875</v>
      </c>
      <c r="E134" s="12">
        <v>7900.23828125</v>
      </c>
      <c r="F134" s="12">
        <v>2301.548095703125</v>
      </c>
      <c r="G134" s="12">
        <v>1830.7923583984375</v>
      </c>
      <c r="H134" s="12">
        <v>961.8651123046875</v>
      </c>
      <c r="I134" s="12">
        <v>1133.8231201171875</v>
      </c>
      <c r="J134" s="12">
        <v>1127.246337890625</v>
      </c>
      <c r="K134" s="12">
        <v>1051.182373046875</v>
      </c>
      <c r="L134" s="12">
        <v>4694.58447265625</v>
      </c>
      <c r="M134" s="12">
        <v>6690.6181640625</v>
      </c>
      <c r="N134" s="12">
        <v>4582.9189453125</v>
      </c>
      <c r="O134" s="12">
        <v>5689.447265625</v>
      </c>
      <c r="P134" s="12">
        <v>6796.0009765625</v>
      </c>
      <c r="Q134" s="12">
        <v>5458.109375</v>
      </c>
      <c r="R134" s="12">
        <v>7832.65625</v>
      </c>
      <c r="S134" s="12">
        <v>6268.763671875</v>
      </c>
      <c r="T134" s="12">
        <v>4407.81103515625</v>
      </c>
      <c r="U134" s="12">
        <v>4878.6474609375</v>
      </c>
      <c r="V134" s="12">
        <v>2048.16748046875</v>
      </c>
      <c r="W134" s="12">
        <v>8582.7294921875</v>
      </c>
      <c r="X134" s="12">
        <v>5622.9052734375</v>
      </c>
      <c r="Y134" s="12">
        <v>8226.337890625</v>
      </c>
      <c r="Z134" s="12">
        <v>6302.083984375</v>
      </c>
      <c r="AA134" s="12">
        <v>1595.947021484375</v>
      </c>
      <c r="AB134" s="12">
        <v>5034.61669921875</v>
      </c>
      <c r="AC134" s="12">
        <v>1807.890625</v>
      </c>
      <c r="AD134" s="12">
        <v>3614.21337890625</v>
      </c>
      <c r="AE134" s="12">
        <v>1515.1456298828125</v>
      </c>
      <c r="AF134" s="12">
        <v>1144.896484375</v>
      </c>
      <c r="AG134" s="12">
        <v>1459.514892578125</v>
      </c>
      <c r="AH134" s="12">
        <v>2413.54736328125</v>
      </c>
      <c r="AI134" s="12">
        <v>3062.58251953125</v>
      </c>
      <c r="AJ134" s="12">
        <v>2021.643798828125</v>
      </c>
      <c r="AK134" s="12">
        <v>1250.93408203125</v>
      </c>
      <c r="AL134" s="12">
        <v>1157.197265625</v>
      </c>
      <c r="AM134" s="12">
        <v>3359.86962890625</v>
      </c>
      <c r="AN134" s="12">
        <v>1572.0838623046875</v>
      </c>
      <c r="AO134" s="12">
        <v>2849.304931640625</v>
      </c>
      <c r="AP134" s="12">
        <v>1267.8070068359375</v>
      </c>
      <c r="AQ134" s="12">
        <v>627.83642578125</v>
      </c>
      <c r="AR134" s="12">
        <v>575.6929931640625</v>
      </c>
      <c r="AS134" s="12">
        <v>1230.4261474609375</v>
      </c>
      <c r="AT134" s="12">
        <v>795.49322509765625</v>
      </c>
      <c r="AU134" s="12">
        <v>946.2122802734375</v>
      </c>
      <c r="AV134" s="12">
        <v>1061.016357421875</v>
      </c>
      <c r="AW134" s="12">
        <v>464.37808227539062</v>
      </c>
      <c r="AX134" s="12">
        <v>413.03958129882812</v>
      </c>
      <c r="AY134" s="12">
        <v>3006.976318359375</v>
      </c>
      <c r="AZ134" s="12">
        <v>423.49649047851562</v>
      </c>
      <c r="BA134" s="12">
        <v>1455.6595458984375</v>
      </c>
      <c r="BB134" s="12">
        <v>1183.0738525390625</v>
      </c>
      <c r="BC134" s="12">
        <v>836.271484375</v>
      </c>
      <c r="BD134" s="12">
        <v>2540.815673828125</v>
      </c>
      <c r="BE134" s="12">
        <v>1022.958740234375</v>
      </c>
      <c r="BF134" s="12">
        <v>1391.8731689453125</v>
      </c>
      <c r="BG134" s="12">
        <v>2070.2001953125</v>
      </c>
      <c r="BH134" s="12">
        <v>1112.324462890625</v>
      </c>
      <c r="BI134" s="12">
        <v>932.71002197265625</v>
      </c>
      <c r="BJ134" s="12">
        <v>1211.8671875</v>
      </c>
      <c r="BK134" s="12">
        <v>523.62249755859375</v>
      </c>
      <c r="BL134" s="12">
        <v>877.26300048828125</v>
      </c>
      <c r="BM134" s="12">
        <v>2024.6162109375</v>
      </c>
      <c r="BN134" s="12">
        <v>1020.260009765625</v>
      </c>
      <c r="BO134" s="12">
        <v>781.4039306640625</v>
      </c>
      <c r="BP134" s="12">
        <v>1857.7509765625</v>
      </c>
      <c r="BQ134" s="12"/>
      <c r="BR134" s="12"/>
    </row>
    <row r="135" spans="2:70" x14ac:dyDescent="0.2">
      <c r="B135">
        <v>1930</v>
      </c>
      <c r="C135" s="12">
        <v>2500.805908203125</v>
      </c>
      <c r="D135" s="12">
        <v>4057.826904296875</v>
      </c>
      <c r="E135" s="12">
        <v>7082.30517578125</v>
      </c>
      <c r="F135" s="12">
        <v>2087.0888671875</v>
      </c>
      <c r="G135" s="12">
        <v>1869.675048828125</v>
      </c>
      <c r="H135" s="12">
        <v>946.87005615234375</v>
      </c>
      <c r="I135" s="12">
        <v>1173.8819580078125</v>
      </c>
      <c r="J135" s="12">
        <v>1104.4671630859375</v>
      </c>
      <c r="K135" s="12">
        <v>1028.0067138671875</v>
      </c>
      <c r="L135" s="12">
        <v>4454.99462890625</v>
      </c>
      <c r="M135" s="12">
        <v>6918.31494140625</v>
      </c>
      <c r="N135" s="12">
        <v>4489.42041015625</v>
      </c>
      <c r="O135" s="12">
        <v>5391.0087890625</v>
      </c>
      <c r="P135" s="12">
        <v>6952.9091796875</v>
      </c>
      <c r="Q135" s="12">
        <v>4932.93701171875</v>
      </c>
      <c r="R135" s="12">
        <v>7874.72900390625</v>
      </c>
      <c r="S135" s="12">
        <v>6456.28466796875</v>
      </c>
      <c r="T135" s="12">
        <v>4581.78076171875</v>
      </c>
      <c r="U135" s="12">
        <v>4765.54443359375</v>
      </c>
      <c r="V135" s="12">
        <v>1995.924560546875</v>
      </c>
      <c r="W135" s="12">
        <v>7637.234375</v>
      </c>
      <c r="X135" s="12">
        <v>5219.494140625</v>
      </c>
      <c r="Y135" s="12">
        <v>8070.17041015625</v>
      </c>
      <c r="Z135" s="12">
        <v>6465.4736328125</v>
      </c>
      <c r="AA135" s="12">
        <v>1450.4107666015625</v>
      </c>
      <c r="AB135" s="12">
        <v>4394.529296875</v>
      </c>
      <c r="AC135" s="12">
        <v>1714.8643798828125</v>
      </c>
      <c r="AD135" s="12">
        <v>3275.11865234375</v>
      </c>
      <c r="AE135" s="12">
        <v>1192.8228759765625</v>
      </c>
      <c r="AF135" s="12">
        <v>1101.77294921875</v>
      </c>
      <c r="AG135" s="12">
        <v>1326.230712890625</v>
      </c>
      <c r="AH135" s="12">
        <v>2635.859375</v>
      </c>
      <c r="AI135" s="12">
        <v>3086.8876953125</v>
      </c>
      <c r="AJ135" s="12">
        <v>2022.3946533203125</v>
      </c>
      <c r="AK135" s="12">
        <v>1294.8092041015625</v>
      </c>
      <c r="AL135" s="12">
        <v>1181.8004150390625</v>
      </c>
      <c r="AM135" s="12">
        <v>3481.59765625</v>
      </c>
      <c r="AN135" s="12">
        <v>1619.91259765625</v>
      </c>
      <c r="AO135" s="12">
        <v>2904.78125</v>
      </c>
      <c r="AP135" s="12">
        <v>1289.4415283203125</v>
      </c>
      <c r="AQ135" s="12">
        <v>630.6656494140625</v>
      </c>
      <c r="AR135" s="12">
        <v>576.64691162109375</v>
      </c>
      <c r="AS135" s="12">
        <v>1551.6705322265625</v>
      </c>
      <c r="AT135" s="12">
        <v>798.912841796875</v>
      </c>
      <c r="AU135" s="12">
        <v>959.8785400390625</v>
      </c>
      <c r="AV135" s="12">
        <v>989.5438232421875</v>
      </c>
      <c r="AW135" s="12">
        <v>466.37442016601562</v>
      </c>
      <c r="AX135" s="12">
        <v>407.08740234375</v>
      </c>
      <c r="AY135" s="12">
        <v>2789.760986328125</v>
      </c>
      <c r="AZ135" s="12">
        <v>420.164794921875</v>
      </c>
      <c r="BA135" s="12">
        <v>1507.0882568359375</v>
      </c>
      <c r="BB135" s="12">
        <v>1224.872802734375</v>
      </c>
      <c r="BC135" s="12">
        <v>846.5618896484375</v>
      </c>
      <c r="BD135" s="12">
        <v>2318.279296875</v>
      </c>
      <c r="BE135" s="12">
        <v>1120.50830078125</v>
      </c>
      <c r="BF135" s="12">
        <v>1442.0316162109375</v>
      </c>
      <c r="BG135" s="12">
        <v>2044.5882568359375</v>
      </c>
      <c r="BH135" s="12">
        <v>1112.773681640625</v>
      </c>
      <c r="BI135" s="12">
        <v>893.57049560546875</v>
      </c>
      <c r="BJ135" s="12">
        <v>1223.9029541015625</v>
      </c>
      <c r="BK135" s="12">
        <v>536.26007080078125</v>
      </c>
      <c r="BL135" s="12">
        <v>877.6173095703125</v>
      </c>
      <c r="BM135" s="12">
        <v>1987.2342529296875</v>
      </c>
      <c r="BN135" s="12">
        <v>1031.119384765625</v>
      </c>
      <c r="BO135" s="12">
        <v>784.167236328125</v>
      </c>
      <c r="BP135" s="12">
        <v>1817.12939453125</v>
      </c>
      <c r="BQ135" s="12"/>
      <c r="BR135" s="12"/>
    </row>
    <row r="136" spans="2:70" x14ac:dyDescent="0.2">
      <c r="B136">
        <v>1931</v>
      </c>
      <c r="C136" s="12">
        <v>2366.4658203125</v>
      </c>
      <c r="D136" s="12">
        <v>3868.0712890625</v>
      </c>
      <c r="E136" s="12">
        <v>6413.83984375</v>
      </c>
      <c r="F136" s="12">
        <v>1961.58642578125</v>
      </c>
      <c r="G136" s="12">
        <v>1914.2152099609375</v>
      </c>
      <c r="H136" s="12">
        <v>933.6015625</v>
      </c>
      <c r="I136" s="12">
        <v>1229.9896240234375</v>
      </c>
      <c r="J136" s="12">
        <v>1111.460205078125</v>
      </c>
      <c r="K136" s="12">
        <v>993.62347412109375</v>
      </c>
      <c r="L136" s="12">
        <v>3895.318359375</v>
      </c>
      <c r="M136" s="12">
        <v>6767.0263671875</v>
      </c>
      <c r="N136" s="12">
        <v>4270.4384765625</v>
      </c>
      <c r="O136" s="12">
        <v>5192.16748046875</v>
      </c>
      <c r="P136" s="12">
        <v>6861.529296875</v>
      </c>
      <c r="Q136" s="12">
        <v>4821.74560546875</v>
      </c>
      <c r="R136" s="12">
        <v>7491.3115234375</v>
      </c>
      <c r="S136" s="12">
        <v>5864.7548828125</v>
      </c>
      <c r="T136" s="12">
        <v>4276.36083984375</v>
      </c>
      <c r="U136" s="12">
        <v>4572.77392578125</v>
      </c>
      <c r="V136" s="12">
        <v>1915.926025390625</v>
      </c>
      <c r="W136" s="12">
        <v>6941.1171875</v>
      </c>
      <c r="X136" s="12">
        <v>4671.46923828125</v>
      </c>
      <c r="Y136" s="12">
        <v>6837.9658203125</v>
      </c>
      <c r="Z136" s="12">
        <v>5824.71826171875</v>
      </c>
      <c r="AA136" s="12">
        <v>1333.111328125</v>
      </c>
      <c r="AB136" s="12">
        <v>4529.76953125</v>
      </c>
      <c r="AC136" s="12">
        <v>1465.378662109375</v>
      </c>
      <c r="AD136" s="12">
        <v>2623.913818359375</v>
      </c>
      <c r="AE136" s="12">
        <v>1007.7286987304688</v>
      </c>
      <c r="AF136" s="12">
        <v>1062.690185546875</v>
      </c>
      <c r="AG136" s="12">
        <v>1253.6070556640625</v>
      </c>
      <c r="AH136" s="12">
        <v>2875.032958984375</v>
      </c>
      <c r="AI136" s="12">
        <v>3108.292236328125</v>
      </c>
      <c r="AJ136" s="12">
        <v>2020.1827392578125</v>
      </c>
      <c r="AK136" s="12">
        <v>1326.1436767578125</v>
      </c>
      <c r="AL136" s="12">
        <v>1207.01806640625</v>
      </c>
      <c r="AM136" s="12">
        <v>3608.670654296875</v>
      </c>
      <c r="AN136" s="12">
        <v>1689.5511474609375</v>
      </c>
      <c r="AO136" s="12">
        <v>2968.646728515625</v>
      </c>
      <c r="AP136" s="12">
        <v>1306.5377197265625</v>
      </c>
      <c r="AQ136" s="12">
        <v>632.1849365234375</v>
      </c>
      <c r="AR136" s="12">
        <v>576.7945556640625</v>
      </c>
      <c r="AS136" s="12">
        <v>1501.73779296875</v>
      </c>
      <c r="AT136" s="12">
        <v>801.8973388671875</v>
      </c>
      <c r="AU136" s="12">
        <v>972.027587890625</v>
      </c>
      <c r="AV136" s="12">
        <v>994.52886962890625</v>
      </c>
      <c r="AW136" s="12">
        <v>467.86676025390625</v>
      </c>
      <c r="AX136" s="12">
        <v>409.8184814453125</v>
      </c>
      <c r="AY136" s="12">
        <v>2638.146728515625</v>
      </c>
      <c r="AZ136" s="12">
        <v>414.62451171875</v>
      </c>
      <c r="BA136" s="12">
        <v>1579.123291015625</v>
      </c>
      <c r="BB136" s="12">
        <v>1283.417724609375</v>
      </c>
      <c r="BC136" s="12">
        <v>849.95208740234375</v>
      </c>
      <c r="BD136" s="12">
        <v>2357.1875</v>
      </c>
      <c r="BE136" s="12">
        <v>1108.4630126953125</v>
      </c>
      <c r="BF136" s="12">
        <v>1440.3857421875</v>
      </c>
      <c r="BG136" s="12">
        <v>2065.15380859375</v>
      </c>
      <c r="BH136" s="12">
        <v>1117.6474609375</v>
      </c>
      <c r="BI136" s="12">
        <v>866.35009765625</v>
      </c>
      <c r="BJ136" s="12">
        <v>1125.66943359375</v>
      </c>
      <c r="BK136" s="12">
        <v>547.3856201171875</v>
      </c>
      <c r="BL136" s="12">
        <v>874.83062744140625</v>
      </c>
      <c r="BM136" s="12">
        <v>1972.4573974609375</v>
      </c>
      <c r="BN136" s="12">
        <v>1029.663818359375</v>
      </c>
      <c r="BO136" s="12">
        <v>783.72796630859375</v>
      </c>
      <c r="BP136" s="12">
        <v>1802.0419921875</v>
      </c>
      <c r="BQ136" s="12"/>
      <c r="BR136" s="12"/>
    </row>
    <row r="137" spans="2:70" x14ac:dyDescent="0.2">
      <c r="B137">
        <v>1932</v>
      </c>
      <c r="C137" s="12">
        <v>2220.689697265625</v>
      </c>
      <c r="D137" s="12">
        <v>3710.812744140625</v>
      </c>
      <c r="E137" s="12">
        <v>5472.4716796875</v>
      </c>
      <c r="F137" s="12">
        <v>1983.894287109375</v>
      </c>
      <c r="G137" s="12">
        <v>1895.587158203125</v>
      </c>
      <c r="H137" s="12">
        <v>928.854248046875</v>
      </c>
      <c r="I137" s="12">
        <v>1270.1600341796875</v>
      </c>
      <c r="J137" s="12">
        <v>1153.568115234375</v>
      </c>
      <c r="K137" s="12">
        <v>983.1019287109375</v>
      </c>
      <c r="L137" s="12">
        <v>3580.0498046875</v>
      </c>
      <c r="M137" s="12">
        <v>6469.44140625</v>
      </c>
      <c r="N137" s="12">
        <v>4235.36669921875</v>
      </c>
      <c r="O137" s="12">
        <v>5004.05859375</v>
      </c>
      <c r="P137" s="12">
        <v>6681.91748046875</v>
      </c>
      <c r="Q137" s="12">
        <v>4614.828125</v>
      </c>
      <c r="R137" s="12">
        <v>7196.31396484375</v>
      </c>
      <c r="S137" s="12">
        <v>5960.837890625</v>
      </c>
      <c r="T137" s="12">
        <v>4180.57666015625</v>
      </c>
      <c r="U137" s="12">
        <v>4405.07666015625</v>
      </c>
      <c r="V137" s="12">
        <v>1847.153076171875</v>
      </c>
      <c r="W137" s="12">
        <v>5862.265625</v>
      </c>
      <c r="X137" s="12">
        <v>4131.47998046875</v>
      </c>
      <c r="Y137" s="12">
        <v>6671.35888671875</v>
      </c>
      <c r="Z137" s="12">
        <v>5638.5458984375</v>
      </c>
      <c r="AA137" s="12">
        <v>1158.5067138671875</v>
      </c>
      <c r="AB137" s="12">
        <v>4886.96826171875</v>
      </c>
      <c r="AC137" s="12">
        <v>1584.237060546875</v>
      </c>
      <c r="AD137" s="12">
        <v>1989.442138671875</v>
      </c>
      <c r="AE137" s="12">
        <v>980.29278564453125</v>
      </c>
      <c r="AF137" s="12">
        <v>878.15911865234375</v>
      </c>
      <c r="AG137" s="12">
        <v>1266.7685546875</v>
      </c>
      <c r="AH137" s="12">
        <v>3137.42041015625</v>
      </c>
      <c r="AI137" s="12">
        <v>3133.072998046875</v>
      </c>
      <c r="AJ137" s="12">
        <v>2020.0045166015625</v>
      </c>
      <c r="AK137" s="12">
        <v>1362.6788330078125</v>
      </c>
      <c r="AL137" s="12">
        <v>1233.2611083984375</v>
      </c>
      <c r="AM137" s="12">
        <v>3741.80517578125</v>
      </c>
      <c r="AN137" s="12">
        <v>1562.3765869140625</v>
      </c>
      <c r="AO137" s="12">
        <v>2935.836669921875</v>
      </c>
      <c r="AP137" s="12">
        <v>1325.2183837890625</v>
      </c>
      <c r="AQ137" s="12">
        <v>634.34930419921875</v>
      </c>
      <c r="AR137" s="12">
        <v>577.17230224609375</v>
      </c>
      <c r="AS137" s="12">
        <v>1487.2926025390625</v>
      </c>
      <c r="AT137" s="12">
        <v>805.21307373046875</v>
      </c>
      <c r="AU137" s="12">
        <v>984.7239990234375</v>
      </c>
      <c r="AV137" s="12">
        <v>1003.174560546875</v>
      </c>
      <c r="AW137" s="12">
        <v>469.55062866210938</v>
      </c>
      <c r="AX137" s="12">
        <v>412.98696899414062</v>
      </c>
      <c r="AY137" s="12">
        <v>2542.29443359375</v>
      </c>
      <c r="AZ137" s="12">
        <v>412.877685546875</v>
      </c>
      <c r="BA137" s="12">
        <v>1630.6954345703125</v>
      </c>
      <c r="BB137" s="12">
        <v>1325.3330078125</v>
      </c>
      <c r="BC137" s="12">
        <v>871.27337646484375</v>
      </c>
      <c r="BD137" s="12">
        <v>2530.32470703125</v>
      </c>
      <c r="BE137" s="12">
        <v>1108.188720703125</v>
      </c>
      <c r="BF137" s="12">
        <v>1508.621826171875</v>
      </c>
      <c r="BG137" s="12">
        <v>2142.8544921875</v>
      </c>
      <c r="BH137" s="12">
        <v>1115.10595703125</v>
      </c>
      <c r="BI137" s="12">
        <v>856.9805908203125</v>
      </c>
      <c r="BJ137" s="12">
        <v>1087.3804931640625</v>
      </c>
      <c r="BK137" s="12">
        <v>539.85284423828125</v>
      </c>
      <c r="BL137" s="12">
        <v>872.75970458984375</v>
      </c>
      <c r="BM137" s="12">
        <v>2016.3175048828125</v>
      </c>
      <c r="BN137" s="12">
        <v>1037.63818359375</v>
      </c>
      <c r="BO137" s="12">
        <v>784.41656494140625</v>
      </c>
      <c r="BP137" s="12">
        <v>1783.919677734375</v>
      </c>
      <c r="BQ137" s="12"/>
      <c r="BR137" s="12"/>
    </row>
    <row r="138" spans="2:70" x14ac:dyDescent="0.2">
      <c r="B138">
        <v>1933</v>
      </c>
      <c r="C138" s="12">
        <v>2198.343994140625</v>
      </c>
      <c r="D138" s="12">
        <v>3739.06396484375</v>
      </c>
      <c r="E138" s="12">
        <v>5336.68701171875</v>
      </c>
      <c r="F138" s="12">
        <v>2011.0213623046875</v>
      </c>
      <c r="G138" s="12">
        <v>1974.754150390625</v>
      </c>
      <c r="H138" s="12">
        <v>968.05987548828125</v>
      </c>
      <c r="I138" s="12">
        <v>1328.66796875</v>
      </c>
      <c r="J138" s="12">
        <v>1105.5426025390625</v>
      </c>
      <c r="K138" s="12">
        <v>950.25213623046875</v>
      </c>
      <c r="L138" s="12">
        <v>3785.119384765625</v>
      </c>
      <c r="M138" s="12">
        <v>6667.4296875</v>
      </c>
      <c r="N138" s="12">
        <v>4094.878662109375</v>
      </c>
      <c r="O138" s="12">
        <v>5066.552734375</v>
      </c>
      <c r="P138" s="12">
        <v>6859.71875</v>
      </c>
      <c r="Q138" s="12">
        <v>4439.8310546875</v>
      </c>
      <c r="R138" s="12">
        <v>6905.50439453125</v>
      </c>
      <c r="S138" s="12">
        <v>6036.82373046875</v>
      </c>
      <c r="T138" s="12">
        <v>4254.54443359375</v>
      </c>
      <c r="U138" s="12">
        <v>4420.236328125</v>
      </c>
      <c r="V138" s="12">
        <v>1853.3294677734375</v>
      </c>
      <c r="W138" s="12">
        <v>5705.140625</v>
      </c>
      <c r="X138" s="12">
        <v>3906.850341796875</v>
      </c>
      <c r="Y138" s="12">
        <v>6936.427734375</v>
      </c>
      <c r="Z138" s="12">
        <v>5917.509765625</v>
      </c>
      <c r="AA138" s="12">
        <v>1132.5845947265625</v>
      </c>
      <c r="AB138" s="12">
        <v>4513.73681640625</v>
      </c>
      <c r="AC138" s="12">
        <v>1691.461181640625</v>
      </c>
      <c r="AD138" s="12">
        <v>2431.0078125</v>
      </c>
      <c r="AE138" s="12">
        <v>1046.462890625</v>
      </c>
      <c r="AF138" s="12">
        <v>1016.2976684570312</v>
      </c>
      <c r="AG138" s="12">
        <v>1280.52001953125</v>
      </c>
      <c r="AH138" s="12">
        <v>3419.07958984375</v>
      </c>
      <c r="AI138" s="12">
        <v>3147.10546875</v>
      </c>
      <c r="AJ138" s="12">
        <v>2012.9822998046875</v>
      </c>
      <c r="AK138" s="12">
        <v>1384.956298828125</v>
      </c>
      <c r="AL138" s="12">
        <v>1258.3973388671875</v>
      </c>
      <c r="AM138" s="12">
        <v>3875.28515625</v>
      </c>
      <c r="AN138" s="12">
        <v>1737.989990234375</v>
      </c>
      <c r="AO138" s="12">
        <v>3045.2158203125</v>
      </c>
      <c r="AP138" s="12">
        <v>1339.5872802734375</v>
      </c>
      <c r="AQ138" s="12">
        <v>634.36224365234375</v>
      </c>
      <c r="AR138" s="12">
        <v>576.78033447265625</v>
      </c>
      <c r="AS138" s="12">
        <v>1630.954833984375</v>
      </c>
      <c r="AT138" s="12">
        <v>807.46563720703125</v>
      </c>
      <c r="AU138" s="12">
        <v>996.25506591796875</v>
      </c>
      <c r="AV138" s="12">
        <v>1008.4448852539062</v>
      </c>
      <c r="AW138" s="12">
        <v>470.61309814453125</v>
      </c>
      <c r="AX138" s="12">
        <v>414.76712036132812</v>
      </c>
      <c r="AY138" s="12">
        <v>2812.029296875</v>
      </c>
      <c r="AZ138" s="12">
        <v>429.39276123046875</v>
      </c>
      <c r="BA138" s="12">
        <v>1705.811767578125</v>
      </c>
      <c r="BB138" s="12">
        <v>1386.3824462890625</v>
      </c>
      <c r="BC138" s="12">
        <v>774.19464111328125</v>
      </c>
      <c r="BD138" s="12">
        <v>2742.216064453125</v>
      </c>
      <c r="BE138" s="12">
        <v>1138.433349609375</v>
      </c>
      <c r="BF138" s="12">
        <v>1425.144287109375</v>
      </c>
      <c r="BG138" s="12">
        <v>2034.0982666015625</v>
      </c>
      <c r="BH138" s="12">
        <v>1110.3292236328125</v>
      </c>
      <c r="BI138" s="12">
        <v>809.7291259765625</v>
      </c>
      <c r="BJ138" s="12">
        <v>1059.339599609375</v>
      </c>
      <c r="BK138" s="12">
        <v>530.98455810546875</v>
      </c>
      <c r="BL138" s="12">
        <v>868.3375244140625</v>
      </c>
      <c r="BM138" s="12">
        <v>2000.732177734375</v>
      </c>
      <c r="BN138" s="12">
        <v>1039.8763427734375</v>
      </c>
      <c r="BO138" s="12">
        <v>781.326904296875</v>
      </c>
      <c r="BP138" s="12">
        <v>1723.83935546875</v>
      </c>
      <c r="BQ138" s="12"/>
      <c r="BR138" s="12"/>
    </row>
    <row r="139" spans="2:70" x14ac:dyDescent="0.2">
      <c r="B139">
        <v>1934</v>
      </c>
      <c r="C139" s="12">
        <v>2320.674560546875</v>
      </c>
      <c r="D139" s="12">
        <v>3853.6806640625</v>
      </c>
      <c r="E139" s="12">
        <v>5904.076171875</v>
      </c>
      <c r="F139" s="12">
        <v>2338.9384765625</v>
      </c>
      <c r="G139" s="12">
        <v>1998.6884765625</v>
      </c>
      <c r="H139" s="12">
        <v>1001.2643432617188</v>
      </c>
      <c r="I139" s="12">
        <v>1470.1446533203125</v>
      </c>
      <c r="J139" s="12">
        <v>1124.3121337890625</v>
      </c>
      <c r="K139" s="12">
        <v>986.73675537109375</v>
      </c>
      <c r="L139" s="12">
        <v>4130.86962890625</v>
      </c>
      <c r="M139" s="12">
        <v>6920.01171875</v>
      </c>
      <c r="N139" s="12">
        <v>4397.2548828125</v>
      </c>
      <c r="O139" s="12">
        <v>4803.62939453125</v>
      </c>
      <c r="P139" s="12">
        <v>7127.37158203125</v>
      </c>
      <c r="Q139" s="12">
        <v>4643.22607421875</v>
      </c>
      <c r="R139" s="12">
        <v>6625.287109375</v>
      </c>
      <c r="S139" s="12">
        <v>6327.779296875</v>
      </c>
      <c r="T139" s="12">
        <v>4654.77294921875</v>
      </c>
      <c r="U139" s="12">
        <v>4538.93408203125</v>
      </c>
      <c r="V139" s="12">
        <v>1902.8848876953125</v>
      </c>
      <c r="W139" s="12">
        <v>6333.14453125</v>
      </c>
      <c r="X139" s="12">
        <v>4316.70068359375</v>
      </c>
      <c r="Y139" s="12">
        <v>7406.78369140625</v>
      </c>
      <c r="Z139" s="12">
        <v>6115.45849609375</v>
      </c>
      <c r="AA139" s="12">
        <v>1235.424072265625</v>
      </c>
      <c r="AB139" s="12">
        <v>5770.9287109375</v>
      </c>
      <c r="AC139" s="12">
        <v>1778.0948486328125</v>
      </c>
      <c r="AD139" s="12">
        <v>2856.75634765625</v>
      </c>
      <c r="AE139" s="12">
        <v>1400.2857666015625</v>
      </c>
      <c r="AF139" s="12">
        <v>1009.2132568359375</v>
      </c>
      <c r="AG139" s="12">
        <v>1492.9925537109375</v>
      </c>
      <c r="AH139" s="12">
        <v>3725.803466796875</v>
      </c>
      <c r="AI139" s="12">
        <v>3160.6435546875</v>
      </c>
      <c r="AJ139" s="12">
        <v>2005.6376953125</v>
      </c>
      <c r="AK139" s="12">
        <v>1406.7764892578125</v>
      </c>
      <c r="AL139" s="12">
        <v>1283.958251953125</v>
      </c>
      <c r="AM139" s="12">
        <v>4013.3095703125</v>
      </c>
      <c r="AN139" s="12">
        <v>1749.44970703125</v>
      </c>
      <c r="AO139" s="12">
        <v>3073.8984375</v>
      </c>
      <c r="AP139" s="12">
        <v>1353.876708984375</v>
      </c>
      <c r="AQ139" s="12">
        <v>673.811279296875</v>
      </c>
      <c r="AR139" s="12">
        <v>576.34930419921875</v>
      </c>
      <c r="AS139" s="12">
        <v>1442.5333251953125</v>
      </c>
      <c r="AT139" s="12">
        <v>809.66998291015625</v>
      </c>
      <c r="AU139" s="12">
        <v>1007.8516845703125</v>
      </c>
      <c r="AV139" s="12">
        <v>1036.2716064453125</v>
      </c>
      <c r="AW139" s="12">
        <v>471.645751953125</v>
      </c>
      <c r="AX139" s="12">
        <v>416.48114013671875</v>
      </c>
      <c r="AY139" s="12">
        <v>3111.232666015625</v>
      </c>
      <c r="AZ139" s="12">
        <v>443.39923095703125</v>
      </c>
      <c r="BA139" s="12">
        <v>1887.44677734375</v>
      </c>
      <c r="BB139" s="12">
        <v>1534.004638671875</v>
      </c>
      <c r="BC139" s="12">
        <v>786.090576171875</v>
      </c>
      <c r="BD139" s="12">
        <v>2797.736083984375</v>
      </c>
      <c r="BE139" s="12">
        <v>1149.1683349609375</v>
      </c>
      <c r="BF139" s="12">
        <v>1470.9012451171875</v>
      </c>
      <c r="BG139" s="12">
        <v>2084.853271484375</v>
      </c>
      <c r="BH139" s="12">
        <v>1105.45751953125</v>
      </c>
      <c r="BI139" s="12">
        <v>878.80487060546875</v>
      </c>
      <c r="BJ139" s="12">
        <v>1045.914306640625</v>
      </c>
      <c r="BK139" s="12">
        <v>522.18780517578125</v>
      </c>
      <c r="BL139" s="12">
        <v>863.81439208984375</v>
      </c>
      <c r="BM139" s="12">
        <v>1971.30322265625</v>
      </c>
      <c r="BN139" s="12">
        <v>1041.81640625</v>
      </c>
      <c r="BO139" s="12">
        <v>778.0555419921875</v>
      </c>
      <c r="BP139" s="12">
        <v>1793.6348876953125</v>
      </c>
      <c r="BQ139" s="12"/>
      <c r="BR139" s="12"/>
    </row>
    <row r="140" spans="2:70" x14ac:dyDescent="0.2">
      <c r="B140">
        <v>1935</v>
      </c>
      <c r="C140" s="12">
        <v>2446.098388671875</v>
      </c>
      <c r="D140" s="12">
        <v>4072.33642578125</v>
      </c>
      <c r="E140" s="12">
        <v>6411.12158203125</v>
      </c>
      <c r="F140" s="12">
        <v>2293.1845703125</v>
      </c>
      <c r="G140" s="12">
        <v>2020.5997314453125</v>
      </c>
      <c r="H140" s="12">
        <v>1051.74560546875</v>
      </c>
      <c r="I140" s="12">
        <v>1640.3541259765625</v>
      </c>
      <c r="J140" s="12">
        <v>1184.2802734375</v>
      </c>
      <c r="K140" s="12">
        <v>999.218505859375</v>
      </c>
      <c r="L140" s="12">
        <v>4543.38330078125</v>
      </c>
      <c r="M140" s="12">
        <v>7052.2587890625</v>
      </c>
      <c r="N140" s="12">
        <v>4382.248046875</v>
      </c>
      <c r="O140" s="12">
        <v>5157.9404296875</v>
      </c>
      <c r="P140" s="12">
        <v>7428.61572265625</v>
      </c>
      <c r="Q140" s="12">
        <v>5025.9384765625</v>
      </c>
      <c r="R140" s="12">
        <v>6817.17578125</v>
      </c>
      <c r="S140" s="12">
        <v>6629.61328125</v>
      </c>
      <c r="T140" s="12">
        <v>4878.708984375</v>
      </c>
      <c r="U140" s="12">
        <v>4778.90234375</v>
      </c>
      <c r="V140" s="12">
        <v>2003.0853271484375</v>
      </c>
      <c r="W140" s="12">
        <v>6910.84130859375</v>
      </c>
      <c r="X140" s="12">
        <v>4575.19384765625</v>
      </c>
      <c r="Y140" s="12">
        <v>7659.36181640625</v>
      </c>
      <c r="Z140" s="12">
        <v>6297.02783203125</v>
      </c>
      <c r="AA140" s="12">
        <v>1323.2083740234375</v>
      </c>
      <c r="AB140" s="12">
        <v>5551.765625</v>
      </c>
      <c r="AC140" s="12">
        <v>1745.810791015625</v>
      </c>
      <c r="AD140" s="12">
        <v>3004.780517578125</v>
      </c>
      <c r="AE140" s="12">
        <v>1392.37939453125</v>
      </c>
      <c r="AF140" s="12">
        <v>1031.35009765625</v>
      </c>
      <c r="AG140" s="12">
        <v>1460.076171875</v>
      </c>
      <c r="AH140" s="12">
        <v>4059.08740234375</v>
      </c>
      <c r="AI140" s="12">
        <v>3172.01220703125</v>
      </c>
      <c r="AJ140" s="12">
        <v>1996.9498291015625</v>
      </c>
      <c r="AK140" s="12">
        <v>1425.6923828125</v>
      </c>
      <c r="AL140" s="12">
        <v>1309.685546875</v>
      </c>
      <c r="AM140" s="12">
        <v>4155.32958984375</v>
      </c>
      <c r="AN140" s="12">
        <v>1755.4586181640625</v>
      </c>
      <c r="AO140" s="12">
        <v>3098.676513671875</v>
      </c>
      <c r="AP140" s="12">
        <v>1367.36376953125</v>
      </c>
      <c r="AQ140" s="12">
        <v>715.22088623046875</v>
      </c>
      <c r="AR140" s="12">
        <v>575.76251220703125</v>
      </c>
      <c r="AS140" s="12">
        <v>1504.9688720703125</v>
      </c>
      <c r="AT140" s="12">
        <v>811.66107177734375</v>
      </c>
      <c r="AU140" s="12">
        <v>1019.30517578125</v>
      </c>
      <c r="AV140" s="12">
        <v>1076.6446533203125</v>
      </c>
      <c r="AW140" s="12">
        <v>472.55288696289062</v>
      </c>
      <c r="AX140" s="12">
        <v>417.91311645507812</v>
      </c>
      <c r="AY140" s="12">
        <v>3437.7451171875</v>
      </c>
      <c r="AZ140" s="12">
        <v>465.63031005859375</v>
      </c>
      <c r="BA140" s="12">
        <v>2105.970703125</v>
      </c>
      <c r="BB140" s="12">
        <v>1711.607421875</v>
      </c>
      <c r="BC140" s="12">
        <v>844.79339599609375</v>
      </c>
      <c r="BD140" s="12">
        <v>2859.84375</v>
      </c>
      <c r="BE140" s="12">
        <v>1206.225830078125</v>
      </c>
      <c r="BF140" s="12">
        <v>1578.78076171875</v>
      </c>
      <c r="BG140" s="12">
        <v>2221.39013671875</v>
      </c>
      <c r="BH140" s="12">
        <v>1107.8773193359375</v>
      </c>
      <c r="BI140" s="12">
        <v>906.58599853515625</v>
      </c>
      <c r="BJ140" s="12">
        <v>1060.40673828125</v>
      </c>
      <c r="BK140" s="12">
        <v>509.61636352539062</v>
      </c>
      <c r="BL140" s="12">
        <v>852.74481201171875</v>
      </c>
      <c r="BM140" s="12">
        <v>1806.79736328125</v>
      </c>
      <c r="BN140" s="12">
        <v>1042.5693359375</v>
      </c>
      <c r="BO140" s="12">
        <v>779.61260986328125</v>
      </c>
      <c r="BP140" s="12">
        <v>1818.979248046875</v>
      </c>
      <c r="BQ140" s="12"/>
      <c r="BR140" s="12"/>
    </row>
    <row r="141" spans="2:70" x14ac:dyDescent="0.2">
      <c r="B141">
        <v>1936</v>
      </c>
      <c r="C141" s="12">
        <v>2573.696533203125</v>
      </c>
      <c r="D141" s="12">
        <v>4153.59619140625</v>
      </c>
      <c r="E141" s="12">
        <v>7179.580078125</v>
      </c>
      <c r="F141" s="12">
        <v>2266.734130859375</v>
      </c>
      <c r="G141" s="12">
        <v>2147.68701171875</v>
      </c>
      <c r="H141" s="12">
        <v>1142.441650390625</v>
      </c>
      <c r="I141" s="12">
        <v>1761.2930908203125</v>
      </c>
      <c r="J141" s="12">
        <v>1254.6787109375</v>
      </c>
      <c r="K141" s="12">
        <v>1006.8090209960938</v>
      </c>
      <c r="L141" s="12">
        <v>4983.35009765625</v>
      </c>
      <c r="M141" s="12">
        <v>7281.8837890625</v>
      </c>
      <c r="N141" s="12">
        <v>3412.69677734375</v>
      </c>
      <c r="O141" s="12">
        <v>5395.79248046875</v>
      </c>
      <c r="P141" s="12">
        <v>7742.177734375</v>
      </c>
      <c r="Q141" s="12">
        <v>4802.94921875</v>
      </c>
      <c r="R141" s="12">
        <v>7307.25341796875</v>
      </c>
      <c r="S141" s="12">
        <v>7174.33447265625</v>
      </c>
      <c r="T141" s="12">
        <v>5135.40185546875</v>
      </c>
      <c r="U141" s="12">
        <v>4836.16064453125</v>
      </c>
      <c r="V141" s="12">
        <v>2027.8988037109375</v>
      </c>
      <c r="W141" s="12">
        <v>7785.111328125</v>
      </c>
      <c r="X141" s="12">
        <v>4781.64306640625</v>
      </c>
      <c r="Y141" s="12">
        <v>8155.80322265625</v>
      </c>
      <c r="Z141" s="12">
        <v>7398.53759765625</v>
      </c>
      <c r="AA141" s="12">
        <v>1471.1048583984375</v>
      </c>
      <c r="AB141" s="12">
        <v>5288.75537109375</v>
      </c>
      <c r="AC141" s="12">
        <v>1708.359130859375</v>
      </c>
      <c r="AD141" s="12">
        <v>3059.468505859375</v>
      </c>
      <c r="AE141" s="12">
        <v>1468.5908203125</v>
      </c>
      <c r="AF141" s="12">
        <v>1151.1383056640625</v>
      </c>
      <c r="AG141" s="12">
        <v>1445.5177001953125</v>
      </c>
      <c r="AH141" s="12">
        <v>4427.013671875</v>
      </c>
      <c r="AI141" s="12">
        <v>3193.026123046875</v>
      </c>
      <c r="AJ141" s="12">
        <v>1994.1588134765625</v>
      </c>
      <c r="AK141" s="12">
        <v>1458.85693359375</v>
      </c>
      <c r="AL141" s="12">
        <v>1337.4686279296875</v>
      </c>
      <c r="AM141" s="12">
        <v>4306.634765625</v>
      </c>
      <c r="AN141" s="12">
        <v>2052.8125</v>
      </c>
      <c r="AO141" s="12">
        <v>3279.90576171875</v>
      </c>
      <c r="AP141" s="12">
        <v>1385.0987548828125</v>
      </c>
      <c r="AQ141" s="12">
        <v>761.4197998046875</v>
      </c>
      <c r="AR141" s="12">
        <v>575.84503173828125</v>
      </c>
      <c r="AS141" s="12">
        <v>1779.470947265625</v>
      </c>
      <c r="AT141" s="12">
        <v>814.5987548828125</v>
      </c>
      <c r="AU141" s="12">
        <v>1032.0885009765625</v>
      </c>
      <c r="AV141" s="12">
        <v>1250.8712158203125</v>
      </c>
      <c r="AW141" s="12">
        <v>474.011474609375</v>
      </c>
      <c r="AX141" s="12">
        <v>420.59567260742188</v>
      </c>
      <c r="AY141" s="12">
        <v>3764.131103515625</v>
      </c>
      <c r="AZ141" s="12">
        <v>510.01055908203125</v>
      </c>
      <c r="BA141" s="12">
        <v>2261.23779296875</v>
      </c>
      <c r="BB141" s="12">
        <v>1837.7998046875</v>
      </c>
      <c r="BC141" s="12">
        <v>887.84124755859375</v>
      </c>
      <c r="BD141" s="12">
        <v>3125.400146484375</v>
      </c>
      <c r="BE141" s="12">
        <v>1168.3941650390625</v>
      </c>
      <c r="BF141" s="12">
        <v>1649.264892578125</v>
      </c>
      <c r="BG141" s="12">
        <v>2362.277099609375</v>
      </c>
      <c r="BH141" s="12">
        <v>1104.2034912109375</v>
      </c>
      <c r="BI141" s="12">
        <v>889.1571044921875</v>
      </c>
      <c r="BJ141" s="12">
        <v>1113.6492919921875</v>
      </c>
      <c r="BK141" s="12">
        <v>502.2200927734375</v>
      </c>
      <c r="BL141" s="12">
        <v>850.07342529296875</v>
      </c>
      <c r="BM141" s="12">
        <v>2024.9295654296875</v>
      </c>
      <c r="BN141" s="12">
        <v>1048.409912109375</v>
      </c>
      <c r="BO141" s="12">
        <v>783.9781494140625</v>
      </c>
      <c r="BP141" s="12">
        <v>1821.6551513671875</v>
      </c>
      <c r="BQ141" s="12"/>
      <c r="BR141" s="12"/>
    </row>
    <row r="142" spans="2:70" x14ac:dyDescent="0.2">
      <c r="B142">
        <v>1937</v>
      </c>
      <c r="C142" s="12">
        <v>2672.298095703125</v>
      </c>
      <c r="D142" s="12">
        <v>4317.3154296875</v>
      </c>
      <c r="E142" s="12">
        <v>7476.44384765625</v>
      </c>
      <c r="F142" s="12">
        <v>2478.115966796875</v>
      </c>
      <c r="G142" s="12">
        <v>2182.78759765625</v>
      </c>
      <c r="H142" s="12">
        <v>1177.0628662109375</v>
      </c>
      <c r="I142" s="12">
        <v>1980.004150390625</v>
      </c>
      <c r="J142" s="12">
        <v>1278.8975830078125</v>
      </c>
      <c r="K142" s="12">
        <v>1041.9586181640625</v>
      </c>
      <c r="L142" s="12">
        <v>5431.998046875</v>
      </c>
      <c r="M142" s="12">
        <v>7414.052734375</v>
      </c>
      <c r="N142" s="12">
        <v>3155.190673828125</v>
      </c>
      <c r="O142" s="12">
        <v>5147.43359375</v>
      </c>
      <c r="P142" s="12">
        <v>7972.5498046875</v>
      </c>
      <c r="Q142" s="12">
        <v>5475.5458984375</v>
      </c>
      <c r="R142" s="12">
        <v>7505.0849609375</v>
      </c>
      <c r="S142" s="12">
        <v>7678.48876953125</v>
      </c>
      <c r="T142" s="12">
        <v>5487.2578125</v>
      </c>
      <c r="U142" s="12">
        <v>5036.08642578125</v>
      </c>
      <c r="V142" s="12">
        <v>2112.584228515625</v>
      </c>
      <c r="W142" s="12">
        <v>8082.94482421875</v>
      </c>
      <c r="X142" s="12">
        <v>5191.91064453125</v>
      </c>
      <c r="Y142" s="12">
        <v>8677.69140625</v>
      </c>
      <c r="Z142" s="12">
        <v>7705.95849609375</v>
      </c>
      <c r="AA142" s="12">
        <v>1532.5465087890625</v>
      </c>
      <c r="AB142" s="12">
        <v>5918.60791015625</v>
      </c>
      <c r="AC142" s="12">
        <v>1786.6641845703125</v>
      </c>
      <c r="AD142" s="12">
        <v>3397.19873046875</v>
      </c>
      <c r="AE142" s="12">
        <v>1407.968994140625</v>
      </c>
      <c r="AF142" s="12">
        <v>1343.90771484375</v>
      </c>
      <c r="AG142" s="12">
        <v>1572.8177490234375</v>
      </c>
      <c r="AH142" s="12">
        <v>4827.87890625</v>
      </c>
      <c r="AI142" s="12">
        <v>3213.15771484375</v>
      </c>
      <c r="AJ142" s="12">
        <v>1990.75146484375</v>
      </c>
      <c r="AK142" s="12">
        <v>1491.2896728515625</v>
      </c>
      <c r="AL142" s="12">
        <v>1365.6741943359375</v>
      </c>
      <c r="AM142" s="12">
        <v>4463.04150390625</v>
      </c>
      <c r="AN142" s="12">
        <v>2084.474853515625</v>
      </c>
      <c r="AO142" s="12">
        <v>3326.03369140625</v>
      </c>
      <c r="AP142" s="12">
        <v>1402.63037109375</v>
      </c>
      <c r="AQ142" s="12">
        <v>810.352294921875</v>
      </c>
      <c r="AR142" s="12">
        <v>575.857666015625</v>
      </c>
      <c r="AS142" s="12">
        <v>1519.082763671875</v>
      </c>
      <c r="AT142" s="12">
        <v>817.4486083984375</v>
      </c>
      <c r="AU142" s="12">
        <v>1044.9063720703125</v>
      </c>
      <c r="AV142" s="12">
        <v>1317.87353515625</v>
      </c>
      <c r="AW142" s="12">
        <v>475.41690063476562</v>
      </c>
      <c r="AX142" s="12">
        <v>423.1641845703125</v>
      </c>
      <c r="AY142" s="12">
        <v>4012.944580078125</v>
      </c>
      <c r="AZ142" s="12">
        <v>525.97967529296875</v>
      </c>
      <c r="BA142" s="12">
        <v>2542.030517578125</v>
      </c>
      <c r="BB142" s="12">
        <v>2066.01123046875</v>
      </c>
      <c r="BC142" s="12">
        <v>862.76727294921875</v>
      </c>
      <c r="BD142" s="12">
        <v>3376.193603515625</v>
      </c>
      <c r="BE142" s="12">
        <v>1383.27978515625</v>
      </c>
      <c r="BF142" s="12">
        <v>1636.771728515625</v>
      </c>
      <c r="BG142" s="12">
        <v>2414.078125</v>
      </c>
      <c r="BH142" s="12">
        <v>1108.3331298828125</v>
      </c>
      <c r="BI142" s="12">
        <v>918.92822265625</v>
      </c>
      <c r="BJ142" s="12">
        <v>1197.209716796875</v>
      </c>
      <c r="BK142" s="12">
        <v>472.796875</v>
      </c>
      <c r="BL142" s="12">
        <v>847.1468505859375</v>
      </c>
      <c r="BM142" s="12">
        <v>2105.390380859375</v>
      </c>
      <c r="BN142" s="12">
        <v>1053.74853515625</v>
      </c>
      <c r="BO142" s="12">
        <v>792.8570556640625</v>
      </c>
      <c r="BP142" s="12">
        <v>1879.3992919921875</v>
      </c>
      <c r="BQ142" s="12"/>
      <c r="BR142" s="12"/>
    </row>
    <row r="143" spans="2:70" x14ac:dyDescent="0.2">
      <c r="B143">
        <v>1938</v>
      </c>
      <c r="C143" s="12">
        <v>2651.643798828125</v>
      </c>
      <c r="D143" s="12">
        <v>4441.93359375</v>
      </c>
      <c r="E143" s="12">
        <v>7112.9033203125</v>
      </c>
      <c r="F143" s="12">
        <v>2445.00390625</v>
      </c>
      <c r="G143" s="12">
        <v>2254.86279296875</v>
      </c>
      <c r="H143" s="12">
        <v>1162.1973876953125</v>
      </c>
      <c r="I143" s="12">
        <v>1970.49072265625</v>
      </c>
      <c r="J143" s="12">
        <v>1291.3828125</v>
      </c>
      <c r="K143" s="12">
        <v>963.27398681640625</v>
      </c>
      <c r="L143" s="12">
        <v>5867.9765625</v>
      </c>
      <c r="M143" s="12">
        <v>7716.68408203125</v>
      </c>
      <c r="N143" s="12">
        <v>3265.125244140625</v>
      </c>
      <c r="O143" s="12">
        <v>5172.3115234375</v>
      </c>
      <c r="P143" s="12">
        <v>8220.865234375</v>
      </c>
      <c r="Q143" s="12">
        <v>5488.12841796875</v>
      </c>
      <c r="R143" s="12">
        <v>7192.45361328125</v>
      </c>
      <c r="S143" s="12">
        <v>7689.23291015625</v>
      </c>
      <c r="T143" s="12">
        <v>5589.8544921875</v>
      </c>
      <c r="U143" s="12">
        <v>5190.16357421875</v>
      </c>
      <c r="V143" s="12">
        <v>2177.412353515625</v>
      </c>
      <c r="W143" s="12">
        <v>7625.6396484375</v>
      </c>
      <c r="X143" s="12">
        <v>5097.72021484375</v>
      </c>
      <c r="Y143" s="12">
        <v>9140.216796875</v>
      </c>
      <c r="Z143" s="12">
        <v>8109.19677734375</v>
      </c>
      <c r="AA143" s="12">
        <v>1473.959228515625</v>
      </c>
      <c r="AB143" s="12">
        <v>5712.86083984375</v>
      </c>
      <c r="AC143" s="12">
        <v>1751.710205078125</v>
      </c>
      <c r="AD143" s="12">
        <v>3386.70849609375</v>
      </c>
      <c r="AE143" s="12">
        <v>1660.6265869140625</v>
      </c>
      <c r="AF143" s="12">
        <v>1416.3182373046875</v>
      </c>
      <c r="AG143" s="12">
        <v>1549.93701171875</v>
      </c>
      <c r="AH143" s="12">
        <v>5262.4892578125</v>
      </c>
      <c r="AI143" s="12">
        <v>3229.477783203125</v>
      </c>
      <c r="AJ143" s="12">
        <v>1984.985107421875</v>
      </c>
      <c r="AK143" s="12">
        <v>1518.49951171875</v>
      </c>
      <c r="AL143" s="12">
        <v>1393.822998046875</v>
      </c>
      <c r="AM143" s="12">
        <v>4623.21533203125</v>
      </c>
      <c r="AN143" s="12">
        <v>2227.173828125</v>
      </c>
      <c r="AO143" s="12">
        <v>3426.178955078125</v>
      </c>
      <c r="AP143" s="12">
        <v>1418.6683349609375</v>
      </c>
      <c r="AQ143" s="12">
        <v>861.40032958984375</v>
      </c>
      <c r="AR143" s="12">
        <v>575.59906005859375</v>
      </c>
      <c r="AS143" s="12">
        <v>1654.1358642578125</v>
      </c>
      <c r="AT143" s="12">
        <v>819.92431640625</v>
      </c>
      <c r="AU143" s="12">
        <v>1057.3837890625</v>
      </c>
      <c r="AV143" s="12">
        <v>1282.1783447265625</v>
      </c>
      <c r="AW143" s="12">
        <v>476.6024169921875</v>
      </c>
      <c r="AX143" s="12">
        <v>425.23751831054688</v>
      </c>
      <c r="AY143" s="12">
        <v>3846.96142578125</v>
      </c>
      <c r="AZ143" s="12">
        <v>518.7955322265625</v>
      </c>
      <c r="BA143" s="12">
        <v>2529.81689453125</v>
      </c>
      <c r="BB143" s="12">
        <v>2056.084716796875</v>
      </c>
      <c r="BC143" s="12">
        <v>843.31072998046875</v>
      </c>
      <c r="BD143" s="12">
        <v>3532.129638671875</v>
      </c>
      <c r="BE143" s="12">
        <v>1343.6151123046875</v>
      </c>
      <c r="BF143" s="12">
        <v>1707.478515625</v>
      </c>
      <c r="BG143" s="12">
        <v>2441.877197265625</v>
      </c>
      <c r="BH143" s="12">
        <v>1104.014892578125</v>
      </c>
      <c r="BI143" s="12">
        <v>787.4595947265625</v>
      </c>
      <c r="BJ143" s="12">
        <v>1183.85498046875</v>
      </c>
      <c r="BK143" s="12">
        <v>442.85061645507812</v>
      </c>
      <c r="BL143" s="12">
        <v>843.20782470703125</v>
      </c>
      <c r="BM143" s="12">
        <v>2108.462158203125</v>
      </c>
      <c r="BN143" s="12">
        <v>1064.224365234375</v>
      </c>
      <c r="BO143" s="12">
        <v>801.3760986328125</v>
      </c>
      <c r="BP143" s="12">
        <v>1729.3990478515625</v>
      </c>
      <c r="BQ143" s="12"/>
      <c r="BR143" s="12"/>
    </row>
    <row r="144" spans="2:70" x14ac:dyDescent="0.2">
      <c r="B144">
        <v>1939</v>
      </c>
      <c r="C144" s="12">
        <v>2777.030029296875</v>
      </c>
      <c r="D144" s="12">
        <v>4713.845703125</v>
      </c>
      <c r="E144" s="12">
        <v>7520.25341796875</v>
      </c>
      <c r="F144" s="12">
        <v>2455.48876953125</v>
      </c>
      <c r="G144" s="12">
        <v>2311.467529296875</v>
      </c>
      <c r="H144" s="12">
        <v>1176.4476318359375</v>
      </c>
      <c r="I144" s="12">
        <v>2034.7535400390625</v>
      </c>
      <c r="J144" s="12">
        <v>1318.6888427734375</v>
      </c>
      <c r="K144" s="12">
        <v>965.7109375</v>
      </c>
      <c r="L144" s="12">
        <v>6800.00048828125</v>
      </c>
      <c r="M144" s="12">
        <v>8047.95556640625</v>
      </c>
      <c r="N144" s="12">
        <v>3325.387939453125</v>
      </c>
      <c r="O144" s="12">
        <v>5747.98681640625</v>
      </c>
      <c r="P144" s="12">
        <v>8046.30615234375</v>
      </c>
      <c r="Q144" s="12">
        <v>5777.3173828125</v>
      </c>
      <c r="R144" s="12">
        <v>7299.96142578125</v>
      </c>
      <c r="S144" s="12">
        <v>8069.8359375</v>
      </c>
      <c r="T144" s="12">
        <v>5956.5986328125</v>
      </c>
      <c r="U144" s="12">
        <v>5496.30224609375</v>
      </c>
      <c r="V144" s="12">
        <v>2307.81494140625</v>
      </c>
      <c r="W144" s="12">
        <v>8120.89892578125</v>
      </c>
      <c r="X144" s="12">
        <v>5389.69677734375</v>
      </c>
      <c r="Y144" s="12">
        <v>8543.763671875</v>
      </c>
      <c r="Z144" s="12">
        <v>8103.59716796875</v>
      </c>
      <c r="AA144" s="12">
        <v>1551.11376953125</v>
      </c>
      <c r="AB144" s="12">
        <v>5763.44482421875</v>
      </c>
      <c r="AC144" s="12">
        <v>1717.8399658203125</v>
      </c>
      <c r="AD144" s="12">
        <v>3376.6064453125</v>
      </c>
      <c r="AE144" s="12">
        <v>1751.045654296875</v>
      </c>
      <c r="AF144" s="12">
        <v>1450.8992919921875</v>
      </c>
      <c r="AG144" s="12">
        <v>1565.366943359375</v>
      </c>
      <c r="AH144" s="12">
        <v>5741.83984375</v>
      </c>
      <c r="AI144" s="12">
        <v>3253.169189453125</v>
      </c>
      <c r="AJ144" s="12">
        <v>1983.5718994140625</v>
      </c>
      <c r="AK144" s="12">
        <v>1557.4085693359375</v>
      </c>
      <c r="AL144" s="12">
        <v>1423.772705078125</v>
      </c>
      <c r="AM144" s="12">
        <v>4792.96044921875</v>
      </c>
      <c r="AN144" s="12">
        <v>2343.293212890625</v>
      </c>
      <c r="AO144" s="12">
        <v>3510.802734375</v>
      </c>
      <c r="AP144" s="12">
        <v>1438.0963134765625</v>
      </c>
      <c r="AQ144" s="12">
        <v>917.6810302734375</v>
      </c>
      <c r="AR144" s="12">
        <v>575.84197998046875</v>
      </c>
      <c r="AS144" s="12">
        <v>1668.2747802734375</v>
      </c>
      <c r="AT144" s="12">
        <v>823.11773681640625</v>
      </c>
      <c r="AU144" s="12">
        <v>1070.9437255859375</v>
      </c>
      <c r="AV144" s="12">
        <v>1219.5438232421875</v>
      </c>
      <c r="AW144" s="12">
        <v>478.2061767578125</v>
      </c>
      <c r="AX144" s="12">
        <v>428.27114868164062</v>
      </c>
      <c r="AY144" s="12">
        <v>4041.783935546875</v>
      </c>
      <c r="AZ144" s="12">
        <v>522.45721435546875</v>
      </c>
      <c r="BA144" s="12">
        <v>2612.270263671875</v>
      </c>
      <c r="BB144" s="12">
        <v>2123.098388671875</v>
      </c>
      <c r="BC144" s="12">
        <v>828.49249267578125</v>
      </c>
      <c r="BD144" s="12">
        <v>3762.771484375</v>
      </c>
      <c r="BE144" s="12">
        <v>1118.7210693359375</v>
      </c>
      <c r="BF144" s="12">
        <v>1660.5042724609375</v>
      </c>
      <c r="BG144" s="12">
        <v>2547.23388671875</v>
      </c>
      <c r="BH144" s="12">
        <v>1109.2635498046875</v>
      </c>
      <c r="BI144" s="12">
        <v>776.75860595703125</v>
      </c>
      <c r="BJ144" s="12">
        <v>1225.368896484375</v>
      </c>
      <c r="BK144" s="12">
        <v>420.682861328125</v>
      </c>
      <c r="BL144" s="12">
        <v>835.89947509765625</v>
      </c>
      <c r="BM144" s="12">
        <v>2197.71923828125</v>
      </c>
      <c r="BN144" s="12">
        <v>1065.06884765625</v>
      </c>
      <c r="BO144" s="12">
        <v>812.2012939453125</v>
      </c>
      <c r="BP144" s="12">
        <v>1731.0933837890625</v>
      </c>
      <c r="BQ144" s="12"/>
      <c r="BR144" s="12"/>
    </row>
    <row r="145" spans="2:70" x14ac:dyDescent="0.2">
      <c r="B145">
        <v>1940</v>
      </c>
      <c r="C145" s="12">
        <v>2786.03564453125</v>
      </c>
      <c r="D145" s="12">
        <v>4428.1494140625</v>
      </c>
      <c r="E145" s="12">
        <v>8053.52294921875</v>
      </c>
      <c r="F145" s="12">
        <v>2438.94189453125</v>
      </c>
      <c r="G145" s="12">
        <v>2231.72314453125</v>
      </c>
      <c r="H145" s="12">
        <v>1176.0274658203125</v>
      </c>
      <c r="I145" s="12">
        <v>2167.46826171875</v>
      </c>
      <c r="J145" s="12">
        <v>1316.0135498046875</v>
      </c>
      <c r="K145" s="12">
        <v>1034.0174560546875</v>
      </c>
      <c r="L145" s="12">
        <v>7198.0849609375</v>
      </c>
      <c r="M145" s="12">
        <v>6692.94580078125</v>
      </c>
      <c r="N145" s="12">
        <v>3550.345703125</v>
      </c>
      <c r="O145" s="12">
        <v>3929.23486328125</v>
      </c>
      <c r="P145" s="12">
        <v>7566.927734375</v>
      </c>
      <c r="Q145" s="12">
        <v>5825.736328125</v>
      </c>
      <c r="R145" s="12">
        <v>5976.77685546875</v>
      </c>
      <c r="S145" s="12">
        <v>6480.080078125</v>
      </c>
      <c r="T145" s="12">
        <v>5460.29052734375</v>
      </c>
      <c r="U145" s="12">
        <v>5145.89697265625</v>
      </c>
      <c r="V145" s="12">
        <v>2159.743408203125</v>
      </c>
      <c r="W145" s="12">
        <v>8698.7724609375</v>
      </c>
      <c r="X145" s="12">
        <v>6181.76611328125</v>
      </c>
      <c r="Y145" s="12">
        <v>8692.560546875</v>
      </c>
      <c r="Z145" s="12">
        <v>7808.44140625</v>
      </c>
      <c r="AA145" s="12">
        <v>1670.5111083984375</v>
      </c>
      <c r="AB145" s="12">
        <v>5741.03759765625</v>
      </c>
      <c r="AC145" s="12">
        <v>1684.9854736328125</v>
      </c>
      <c r="AD145" s="12">
        <v>3415.3154296875</v>
      </c>
      <c r="AE145" s="12">
        <v>1705.7044677734375</v>
      </c>
      <c r="AF145" s="12">
        <v>1492.3507080078125</v>
      </c>
      <c r="AG145" s="12">
        <v>1539.3704833984375</v>
      </c>
      <c r="AH145" s="12">
        <v>6254.61376953125</v>
      </c>
      <c r="AI145" s="12">
        <v>3265.012451171875</v>
      </c>
      <c r="AJ145" s="12">
        <v>1975.0609130859375</v>
      </c>
      <c r="AK145" s="12">
        <v>1466.4737548828125</v>
      </c>
      <c r="AL145" s="12">
        <v>1452.319091796875</v>
      </c>
      <c r="AM145" s="12">
        <v>4669.30908203125</v>
      </c>
      <c r="AN145" s="12">
        <v>2161.182861328125</v>
      </c>
      <c r="AO145" s="12">
        <v>3391.698974609375</v>
      </c>
      <c r="AP145" s="12">
        <v>1452.4619140625</v>
      </c>
      <c r="AQ145" s="12">
        <v>942.63922119140625</v>
      </c>
      <c r="AR145" s="12">
        <v>575.26348876953125</v>
      </c>
      <c r="AS145" s="12">
        <v>1706.8626708984375</v>
      </c>
      <c r="AT145" s="12">
        <v>825.15478515625</v>
      </c>
      <c r="AU145" s="12">
        <v>1083.12646484375</v>
      </c>
      <c r="AV145" s="12">
        <v>1067.652099609375</v>
      </c>
      <c r="AW145" s="12">
        <v>479.13314819335938</v>
      </c>
      <c r="AX145" s="12">
        <v>429.75967407226562</v>
      </c>
      <c r="AY145" s="12">
        <v>4212.6455078125</v>
      </c>
      <c r="AZ145" s="12">
        <v>523.039306640625</v>
      </c>
      <c r="BA145" s="12">
        <v>2782.599853515625</v>
      </c>
      <c r="BB145" s="12">
        <v>2261.531982421875</v>
      </c>
      <c r="BC145" s="12">
        <v>812.87353515625</v>
      </c>
      <c r="BD145" s="12">
        <v>3746.38818359375</v>
      </c>
      <c r="BE145" s="12">
        <v>1380.793212890625</v>
      </c>
      <c r="BF145" s="12">
        <v>1509.3983154296875</v>
      </c>
      <c r="BG145" s="12">
        <v>2542.376953125</v>
      </c>
      <c r="BH145" s="12">
        <v>1104.2303466796875</v>
      </c>
      <c r="BI145" s="12">
        <v>872.30426025390625</v>
      </c>
      <c r="BJ145" s="12">
        <v>1320.8355712890625</v>
      </c>
      <c r="BK145" s="12">
        <v>395.54360961914062</v>
      </c>
      <c r="BL145" s="12">
        <v>830.542236328125</v>
      </c>
      <c r="BM145" s="12">
        <v>2180.55615234375</v>
      </c>
      <c r="BN145" s="12">
        <v>1060.393310546875</v>
      </c>
      <c r="BO145" s="12">
        <v>823.04827880859375</v>
      </c>
      <c r="BP145" s="12">
        <v>1845.7840576171875</v>
      </c>
      <c r="BQ145" s="12"/>
      <c r="BR145" s="12"/>
    </row>
    <row r="146" spans="2:70" x14ac:dyDescent="0.2">
      <c r="B146">
        <v>1941</v>
      </c>
      <c r="C146" s="12">
        <v>2951.6083984375</v>
      </c>
      <c r="D146" s="12">
        <v>4493.7451171875</v>
      </c>
      <c r="E146" s="12">
        <v>9308.4013671875</v>
      </c>
      <c r="F146" s="12">
        <v>2451.46826171875</v>
      </c>
      <c r="G146" s="12">
        <v>2169.579345703125</v>
      </c>
      <c r="H146" s="12">
        <v>1211.4755859375</v>
      </c>
      <c r="I146" s="12">
        <v>2017.082275390625</v>
      </c>
      <c r="J146" s="12">
        <v>1375.84130859375</v>
      </c>
      <c r="K146" s="12">
        <v>995.684814453125</v>
      </c>
      <c r="L146" s="12">
        <v>7417.875</v>
      </c>
      <c r="M146" s="12">
        <v>6470.716796875</v>
      </c>
      <c r="N146" s="12">
        <v>3241.9482421875</v>
      </c>
      <c r="O146" s="12">
        <v>3692.491943359375</v>
      </c>
      <c r="P146" s="12">
        <v>8060.7490234375</v>
      </c>
      <c r="Q146" s="12">
        <v>5972.39697265625</v>
      </c>
      <c r="R146" s="12">
        <v>5189.76611328125</v>
      </c>
      <c r="S146" s="12">
        <v>5676.4912109375</v>
      </c>
      <c r="T146" s="12">
        <v>5229.26318359375</v>
      </c>
      <c r="U146" s="12">
        <v>5198.26611328125</v>
      </c>
      <c r="V146" s="12">
        <v>2182.1259765625</v>
      </c>
      <c r="W146" s="12">
        <v>10143.1669921875</v>
      </c>
      <c r="X146" s="12">
        <v>7063.310546875</v>
      </c>
      <c r="Y146" s="12">
        <v>8729.517578125</v>
      </c>
      <c r="Z146" s="12">
        <v>7723.10986328125</v>
      </c>
      <c r="AA146" s="12">
        <v>1912.6844482421875</v>
      </c>
      <c r="AB146" s="12">
        <v>5919.056640625</v>
      </c>
      <c r="AC146" s="12">
        <v>1700.8018798828125</v>
      </c>
      <c r="AD146" s="12">
        <v>3318.087890625</v>
      </c>
      <c r="AE146" s="12">
        <v>1485.9405517578125</v>
      </c>
      <c r="AF146" s="12">
        <v>1481.982421875</v>
      </c>
      <c r="AG146" s="12">
        <v>1542.7353515625</v>
      </c>
      <c r="AH146" s="12">
        <v>6818.44140625</v>
      </c>
      <c r="AI146" s="12">
        <v>3282.593505859375</v>
      </c>
      <c r="AJ146" s="12">
        <v>1969.921142578125</v>
      </c>
      <c r="AK146" s="12">
        <v>1495.1195068359375</v>
      </c>
      <c r="AL146" s="12">
        <v>1482.4219970703125</v>
      </c>
      <c r="AM146" s="12">
        <v>4838.8310546875</v>
      </c>
      <c r="AN146" s="12">
        <v>1944.4913330078125</v>
      </c>
      <c r="AO146" s="12">
        <v>3302.427734375</v>
      </c>
      <c r="AP146" s="12">
        <v>1469.51318359375</v>
      </c>
      <c r="AQ146" s="12">
        <v>1002.5226440429688</v>
      </c>
      <c r="AR146" s="12">
        <v>575.0736083984375</v>
      </c>
      <c r="AS146" s="12">
        <v>1720.358154296875</v>
      </c>
      <c r="AT146" s="12">
        <v>827.75091552734375</v>
      </c>
      <c r="AU146" s="12">
        <v>1096.189453125</v>
      </c>
      <c r="AV146" s="12">
        <v>1146.5689697265625</v>
      </c>
      <c r="AW146" s="12">
        <v>480.38510131835938</v>
      </c>
      <c r="AX146" s="12">
        <v>431.99615478515625</v>
      </c>
      <c r="AY146" s="12">
        <v>4321.4130859375</v>
      </c>
      <c r="AZ146" s="12">
        <v>540.82196044921875</v>
      </c>
      <c r="BA146" s="12">
        <v>2589.481689453125</v>
      </c>
      <c r="BB146" s="12">
        <v>2104.57861328125</v>
      </c>
      <c r="BC146" s="12">
        <v>798.03814697265625</v>
      </c>
      <c r="BD146" s="12">
        <v>4143.7744140625</v>
      </c>
      <c r="BE146" s="12">
        <v>1471.5406494140625</v>
      </c>
      <c r="BF146" s="12">
        <v>1471.3299560546875</v>
      </c>
      <c r="BG146" s="12">
        <v>2660.195556640625</v>
      </c>
      <c r="BH146" s="12">
        <v>1091.57421875</v>
      </c>
      <c r="BI146" s="12">
        <v>814.653076171875</v>
      </c>
      <c r="BJ146" s="12">
        <v>1366.2093505859375</v>
      </c>
      <c r="BK146" s="12">
        <v>375.02874755859375</v>
      </c>
      <c r="BL146" s="12">
        <v>826.9505615234375</v>
      </c>
      <c r="BM146" s="12">
        <v>1894.4129638671875</v>
      </c>
      <c r="BN146" s="12">
        <v>1058.3321533203125</v>
      </c>
      <c r="BO146" s="12">
        <v>835.359130859375</v>
      </c>
      <c r="BP146" s="12">
        <v>1776.8529052734375</v>
      </c>
      <c r="BQ146" s="12"/>
      <c r="BR146" s="12"/>
    </row>
    <row r="147" spans="2:70" x14ac:dyDescent="0.2">
      <c r="B147">
        <v>1942</v>
      </c>
      <c r="C147" s="12">
        <v>3206.03466796875</v>
      </c>
      <c r="D147" s="12">
        <v>4635.61669921875</v>
      </c>
      <c r="E147" s="12">
        <v>10850.357421875</v>
      </c>
      <c r="F147" s="12">
        <v>2500.27880859375</v>
      </c>
      <c r="G147" s="12">
        <v>2208.66455078125</v>
      </c>
      <c r="H147" s="12">
        <v>1240.6768798828125</v>
      </c>
      <c r="I147" s="12">
        <v>2181.533935546875</v>
      </c>
      <c r="J147" s="12">
        <v>1464.7747802734375</v>
      </c>
      <c r="K147" s="12">
        <v>1014.7020874023438</v>
      </c>
      <c r="L147" s="12">
        <v>7234.609375</v>
      </c>
      <c r="M147" s="12">
        <v>7019.5341796875</v>
      </c>
      <c r="N147" s="12">
        <v>3451.462646484375</v>
      </c>
      <c r="O147" s="12">
        <v>3582.214111328125</v>
      </c>
      <c r="P147" s="12">
        <v>8730.0439453125</v>
      </c>
      <c r="Q147" s="12">
        <v>6400.88916015625</v>
      </c>
      <c r="R147" s="12">
        <v>4817.6865234375</v>
      </c>
      <c r="S147" s="12">
        <v>5627.3916015625</v>
      </c>
      <c r="T147" s="12">
        <v>5287.6318359375</v>
      </c>
      <c r="U147" s="12">
        <v>5332.2119140625</v>
      </c>
      <c r="V147" s="12">
        <v>2240.21435546875</v>
      </c>
      <c r="W147" s="12">
        <v>11869.9560546875</v>
      </c>
      <c r="X147" s="12">
        <v>8216.35546875</v>
      </c>
      <c r="Y147" s="12">
        <v>9379</v>
      </c>
      <c r="Z147" s="12">
        <v>8582.6484375</v>
      </c>
      <c r="AA147" s="12">
        <v>2223.0380859375</v>
      </c>
      <c r="AB147" s="12">
        <v>6207.30810546875</v>
      </c>
      <c r="AC147" s="12">
        <v>1683.1688232421875</v>
      </c>
      <c r="AD147" s="12">
        <v>3336.268798828125</v>
      </c>
      <c r="AE147" s="12">
        <v>1438.8602294921875</v>
      </c>
      <c r="AF147" s="12">
        <v>1507.4814453125</v>
      </c>
      <c r="AG147" s="12">
        <v>1581.0867919921875</v>
      </c>
      <c r="AH147" s="12">
        <v>7438.77294921875</v>
      </c>
      <c r="AI147" s="12">
        <v>3305.67626953125</v>
      </c>
      <c r="AJ147" s="12">
        <v>1967.933837890625</v>
      </c>
      <c r="AK147" s="12">
        <v>1538.9002685546875</v>
      </c>
      <c r="AL147" s="12">
        <v>1514.0968017578125</v>
      </c>
      <c r="AM147" s="12">
        <v>5031.73291015625</v>
      </c>
      <c r="AN147" s="12">
        <v>2006.8636474609375</v>
      </c>
      <c r="AO147" s="12">
        <v>3361.814697265625</v>
      </c>
      <c r="AP147" s="12">
        <v>1489.208251953125</v>
      </c>
      <c r="AQ147" s="12">
        <v>1069.7581787109375</v>
      </c>
      <c r="AR147" s="12">
        <v>575.25079345703125</v>
      </c>
      <c r="AS147" s="12">
        <v>1710.2542724609375</v>
      </c>
      <c r="AT147" s="12">
        <v>830.879638671875</v>
      </c>
      <c r="AU147" s="12">
        <v>1110.1204833984375</v>
      </c>
      <c r="AV147" s="12">
        <v>1229.02490234375</v>
      </c>
      <c r="AW147" s="12">
        <v>481.94683837890625</v>
      </c>
      <c r="AX147" s="12">
        <v>434.95309448242188</v>
      </c>
      <c r="AY147" s="12">
        <v>4372.11767578125</v>
      </c>
      <c r="AZ147" s="12">
        <v>555.75006103515625</v>
      </c>
      <c r="BA147" s="12">
        <v>2800.546630859375</v>
      </c>
      <c r="BB147" s="12">
        <v>2276.118896484375</v>
      </c>
      <c r="BC147" s="12">
        <v>783.9381103515625</v>
      </c>
      <c r="BD147" s="12">
        <v>4775.80078125</v>
      </c>
      <c r="BE147" s="12">
        <v>1150.2413330078125</v>
      </c>
      <c r="BF147" s="12">
        <v>1434.9979248046875</v>
      </c>
      <c r="BG147" s="12">
        <v>2874.34130859375</v>
      </c>
      <c r="BH147" s="12">
        <v>1088.07666015625</v>
      </c>
      <c r="BI147" s="12">
        <v>866.858642578125</v>
      </c>
      <c r="BJ147" s="12">
        <v>1379.2696533203125</v>
      </c>
      <c r="BK147" s="12">
        <v>356.28424072265625</v>
      </c>
      <c r="BL147" s="12">
        <v>825.014892578125</v>
      </c>
      <c r="BM147" s="12">
        <v>1647.929931640625</v>
      </c>
      <c r="BN147" s="12">
        <v>1058.7376708984375</v>
      </c>
      <c r="BO147" s="12">
        <v>768.28021240234375</v>
      </c>
      <c r="BP147" s="12">
        <v>1815.8216552734375</v>
      </c>
      <c r="BQ147" s="12"/>
      <c r="BR147" s="12"/>
    </row>
    <row r="148" spans="2:70" x14ac:dyDescent="0.2">
      <c r="B148">
        <v>1943</v>
      </c>
      <c r="C148" s="12">
        <v>3389.633544921875</v>
      </c>
      <c r="D148" s="12">
        <v>4596.6650390625</v>
      </c>
      <c r="E148" s="12">
        <v>12282.4794921875</v>
      </c>
      <c r="F148" s="12">
        <v>2648.596435546875</v>
      </c>
      <c r="G148" s="12">
        <v>2151.25</v>
      </c>
      <c r="H148" s="12">
        <v>1196.0545654296875</v>
      </c>
      <c r="I148" s="12">
        <v>2087.19970703125</v>
      </c>
      <c r="J148" s="12">
        <v>1525.770263671875</v>
      </c>
      <c r="K148" s="12">
        <v>1036.1337890625</v>
      </c>
      <c r="L148" s="12">
        <v>7591.80908203125</v>
      </c>
      <c r="M148" s="12">
        <v>7950.70361328125</v>
      </c>
      <c r="N148" s="12">
        <v>3219.52880859375</v>
      </c>
      <c r="O148" s="12">
        <v>3172.1455078125</v>
      </c>
      <c r="P148" s="12">
        <v>9226.4853515625</v>
      </c>
      <c r="Q148" s="12">
        <v>5171.306640625</v>
      </c>
      <c r="R148" s="12">
        <v>4644.20068359375</v>
      </c>
      <c r="S148" s="12">
        <v>5645.36328125</v>
      </c>
      <c r="T148" s="12">
        <v>5608.6455078125</v>
      </c>
      <c r="U148" s="12">
        <v>5237.583984375</v>
      </c>
      <c r="V148" s="12">
        <v>2201.13916015625</v>
      </c>
      <c r="W148" s="12">
        <v>13514.0146484375</v>
      </c>
      <c r="X148" s="12">
        <v>8533.861328125</v>
      </c>
      <c r="Y148" s="12">
        <v>10409.021484375</v>
      </c>
      <c r="Z148" s="12">
        <v>8837.6416015625</v>
      </c>
      <c r="AA148" s="12">
        <v>2512.392578125</v>
      </c>
      <c r="AB148" s="12">
        <v>6410.2197265625</v>
      </c>
      <c r="AC148" s="12">
        <v>1873.3975830078125</v>
      </c>
      <c r="AD148" s="12">
        <v>3334.83740234375</v>
      </c>
      <c r="AE148" s="12">
        <v>1544.9854736328125</v>
      </c>
      <c r="AF148" s="12">
        <v>1655.0421142578125</v>
      </c>
      <c r="AG148" s="12">
        <v>1672.5382080078125</v>
      </c>
      <c r="AH148" s="12">
        <v>8110.22412109375</v>
      </c>
      <c r="AI148" s="12">
        <v>3324.127197265625</v>
      </c>
      <c r="AJ148" s="12">
        <v>1963.184814453125</v>
      </c>
      <c r="AK148" s="12">
        <v>1570.79443359375</v>
      </c>
      <c r="AL148" s="12">
        <v>1545.59326171875</v>
      </c>
      <c r="AM148" s="12">
        <v>5216.59326171875</v>
      </c>
      <c r="AN148" s="12">
        <v>1802.6094970703125</v>
      </c>
      <c r="AO148" s="12">
        <v>3279.496337890625</v>
      </c>
      <c r="AP148" s="12">
        <v>1506.9931640625</v>
      </c>
      <c r="AQ148" s="12">
        <v>1138.1729736328125</v>
      </c>
      <c r="AR148" s="12">
        <v>575.105712890625</v>
      </c>
      <c r="AS148" s="12">
        <v>1459.0443115234375</v>
      </c>
      <c r="AT148" s="12">
        <v>833.557373046875</v>
      </c>
      <c r="AU148" s="12">
        <v>1123.5963134765625</v>
      </c>
      <c r="AV148" s="12">
        <v>1053.9862060546875</v>
      </c>
      <c r="AW148" s="12">
        <v>483.24371337890625</v>
      </c>
      <c r="AX148" s="12">
        <v>437.30307006835938</v>
      </c>
      <c r="AY148" s="12">
        <v>4381.93408203125</v>
      </c>
      <c r="AZ148" s="12">
        <v>529.785400390625</v>
      </c>
      <c r="BA148" s="12">
        <v>2679.390625</v>
      </c>
      <c r="BB148" s="12">
        <v>2177.651123046875</v>
      </c>
      <c r="BC148" s="12">
        <v>769.68780517578125</v>
      </c>
      <c r="BD148" s="12">
        <v>5211.607421875</v>
      </c>
      <c r="BE148" s="12">
        <v>1150.3702392578125</v>
      </c>
      <c r="BF148" s="12">
        <v>1410.9407958984375</v>
      </c>
      <c r="BG148" s="12">
        <v>2748.405517578125</v>
      </c>
      <c r="BH148" s="12">
        <v>1076.34130859375</v>
      </c>
      <c r="BI148" s="12">
        <v>917.66607666015625</v>
      </c>
      <c r="BJ148" s="12">
        <v>1387.6815185546875</v>
      </c>
      <c r="BK148" s="12">
        <v>337.887451171875</v>
      </c>
      <c r="BL148" s="12">
        <v>821.64630126953125</v>
      </c>
      <c r="BM148" s="12">
        <v>1431.903076171875</v>
      </c>
      <c r="BN148" s="12">
        <v>1056.981201171875</v>
      </c>
      <c r="BO148" s="12">
        <v>757.056640625</v>
      </c>
      <c r="BP148" s="12">
        <v>1854.09033203125</v>
      </c>
      <c r="BQ148" s="12"/>
      <c r="BR148" s="12"/>
    </row>
    <row r="149" spans="2:70" x14ac:dyDescent="0.2">
      <c r="B149">
        <v>1944</v>
      </c>
      <c r="C149" s="12">
        <v>3379.614990234375</v>
      </c>
      <c r="D149" s="12">
        <v>4289.814453125</v>
      </c>
      <c r="E149" s="12">
        <v>12843.5751953125</v>
      </c>
      <c r="F149" s="12">
        <v>3025.7802734375</v>
      </c>
      <c r="G149" s="12">
        <v>2130.87451171875</v>
      </c>
      <c r="H149" s="12">
        <v>1236.628662109375</v>
      </c>
      <c r="I149" s="12">
        <v>2035.6197509765625</v>
      </c>
      <c r="J149" s="12">
        <v>1384.833984375</v>
      </c>
      <c r="K149" s="12">
        <v>1010.4808349609375</v>
      </c>
      <c r="L149" s="12">
        <v>7631.92333984375</v>
      </c>
      <c r="M149" s="12">
        <v>8630.400390625</v>
      </c>
      <c r="N149" s="12">
        <v>3485.21826171875</v>
      </c>
      <c r="O149" s="12">
        <v>2810.18798828125</v>
      </c>
      <c r="P149" s="12">
        <v>9508.2158203125</v>
      </c>
      <c r="Q149" s="12">
        <v>2264.952880859375</v>
      </c>
      <c r="R149" s="12">
        <v>4481.1015625</v>
      </c>
      <c r="S149" s="12">
        <v>5306.8623046875</v>
      </c>
      <c r="T149" s="12">
        <v>5737.6318359375</v>
      </c>
      <c r="U149" s="12">
        <v>4808.546875</v>
      </c>
      <c r="V149" s="12">
        <v>2021.457275390625</v>
      </c>
      <c r="W149" s="12">
        <v>14175.82421875</v>
      </c>
      <c r="X149" s="12">
        <v>8934.7880859375</v>
      </c>
      <c r="Y149" s="12">
        <v>10032.0517578125</v>
      </c>
      <c r="Z149" s="12">
        <v>8803.3984375</v>
      </c>
      <c r="AA149" s="12">
        <v>2651.059326171875</v>
      </c>
      <c r="AB149" s="12">
        <v>7131.982421875</v>
      </c>
      <c r="AC149" s="12">
        <v>2108.948974609375</v>
      </c>
      <c r="AD149" s="12">
        <v>3304.112548828125</v>
      </c>
      <c r="AE149" s="12">
        <v>1766.40966796875</v>
      </c>
      <c r="AF149" s="12">
        <v>2212.5087890625</v>
      </c>
      <c r="AG149" s="12">
        <v>1911.410400390625</v>
      </c>
      <c r="AH149" s="12">
        <v>8842.177734375</v>
      </c>
      <c r="AI149" s="12">
        <v>3342.585693359375</v>
      </c>
      <c r="AJ149" s="12">
        <v>1958.391357421875</v>
      </c>
      <c r="AK149" s="12">
        <v>1603.0997314453125</v>
      </c>
      <c r="AL149" s="12">
        <v>1577.7264404296875</v>
      </c>
      <c r="AM149" s="12">
        <v>5407.93505859375</v>
      </c>
      <c r="AN149" s="12">
        <v>1705.130859375</v>
      </c>
      <c r="AO149" s="12">
        <v>3251.50341796875</v>
      </c>
      <c r="AP149" s="12">
        <v>1524.94580078125</v>
      </c>
      <c r="AQ149" s="12">
        <v>1210.8944091796875</v>
      </c>
      <c r="AR149" s="12">
        <v>574.95458984375</v>
      </c>
      <c r="AS149" s="12">
        <v>1746.1741943359375</v>
      </c>
      <c r="AT149" s="12">
        <v>836.23431396484375</v>
      </c>
      <c r="AU149" s="12">
        <v>1137.22265625</v>
      </c>
      <c r="AV149" s="12">
        <v>1121.4044189453125</v>
      </c>
      <c r="AW149" s="12">
        <v>484.53890991210938</v>
      </c>
      <c r="AX149" s="12">
        <v>439.65493774414062</v>
      </c>
      <c r="AY149" s="12">
        <v>4443.30908203125</v>
      </c>
      <c r="AZ149" s="12">
        <v>549.87725830078125</v>
      </c>
      <c r="BA149" s="12">
        <v>2613.126220703125</v>
      </c>
      <c r="BB149" s="12">
        <v>2123.793212890625</v>
      </c>
      <c r="BC149" s="12">
        <v>755.68756103515625</v>
      </c>
      <c r="BD149" s="12">
        <v>4395.53515625</v>
      </c>
      <c r="BE149" s="12">
        <v>937.619873046875</v>
      </c>
      <c r="BF149" s="12">
        <v>1370.987548828125</v>
      </c>
      <c r="BG149" s="12">
        <v>2519.8671875</v>
      </c>
      <c r="BH149" s="12">
        <v>1072.3310546875</v>
      </c>
      <c r="BI149" s="12">
        <v>883.0140380859375</v>
      </c>
      <c r="BJ149" s="12">
        <v>1394.9151611328125</v>
      </c>
      <c r="BK149" s="12">
        <v>318.47979736328125</v>
      </c>
      <c r="BL149" s="12">
        <v>818.26324462890625</v>
      </c>
      <c r="BM149" s="12">
        <v>1244.16796875</v>
      </c>
      <c r="BN149" s="12">
        <v>1061.6400146484375</v>
      </c>
      <c r="BO149" s="12">
        <v>750.66998291015625</v>
      </c>
      <c r="BP149" s="12">
        <v>1809.635986328125</v>
      </c>
      <c r="BQ149" s="12"/>
      <c r="BR149" s="12"/>
    </row>
    <row r="150" spans="2:70" x14ac:dyDescent="0.2">
      <c r="B150">
        <v>1945</v>
      </c>
      <c r="C150" s="12">
        <v>3083.03466796875</v>
      </c>
      <c r="D150" s="12">
        <v>3560.012939453125</v>
      </c>
      <c r="E150" s="12">
        <v>12405.5439453125</v>
      </c>
      <c r="F150" s="12">
        <v>2950.10791015625</v>
      </c>
      <c r="G150" s="12">
        <v>2080.6376953125</v>
      </c>
      <c r="H150" s="12">
        <v>1255.1864013671875</v>
      </c>
      <c r="I150" s="12">
        <v>1968.7520751953125</v>
      </c>
      <c r="J150" s="12">
        <v>1076.0169677734375</v>
      </c>
      <c r="K150" s="12">
        <v>991.43731689453125</v>
      </c>
      <c r="L150" s="12">
        <v>3068.664794921875</v>
      </c>
      <c r="M150" s="12">
        <v>8461.87109375</v>
      </c>
      <c r="N150" s="12">
        <v>3150.97412109375</v>
      </c>
      <c r="O150" s="12">
        <v>3610.101318359375</v>
      </c>
      <c r="P150" s="12">
        <v>9588.029296875</v>
      </c>
      <c r="Q150" s="12">
        <v>2125.979736328125</v>
      </c>
      <c r="R150" s="12">
        <v>5620.822265625</v>
      </c>
      <c r="S150" s="12">
        <v>6420.36279296875</v>
      </c>
      <c r="T150" s="12">
        <v>5971.2529296875</v>
      </c>
      <c r="U150" s="12">
        <v>4009.306640625</v>
      </c>
      <c r="V150" s="12">
        <v>1657.9732666015625</v>
      </c>
      <c r="W150" s="12">
        <v>13660.3173828125</v>
      </c>
      <c r="X150" s="12">
        <v>8774.767578125</v>
      </c>
      <c r="Y150" s="12">
        <v>9949.634765625</v>
      </c>
      <c r="Z150" s="12">
        <v>8959.501953125</v>
      </c>
      <c r="AA150" s="12">
        <v>2577.5947265625</v>
      </c>
      <c r="AB150" s="12">
        <v>6523.59716796875</v>
      </c>
      <c r="AC150" s="12">
        <v>2101.924560546875</v>
      </c>
      <c r="AD150" s="12">
        <v>3514.997314453125</v>
      </c>
      <c r="AE150" s="12">
        <v>2061.592041015625</v>
      </c>
      <c r="AF150" s="12">
        <v>2241.995361328125</v>
      </c>
      <c r="AG150" s="12">
        <v>1880.4432373046875</v>
      </c>
      <c r="AH150" s="12">
        <v>9664.7490234375</v>
      </c>
      <c r="AI150" s="12">
        <v>3593.928955078125</v>
      </c>
      <c r="AJ150" s="12">
        <v>1960.7955322265625</v>
      </c>
      <c r="AK150" s="12">
        <v>1671.964599609375</v>
      </c>
      <c r="AL150" s="12">
        <v>1612.8558349609375</v>
      </c>
      <c r="AM150" s="12">
        <v>5650.6416015625</v>
      </c>
      <c r="AN150" s="12">
        <v>1461.42578125</v>
      </c>
      <c r="AO150" s="12">
        <v>3164.527099609375</v>
      </c>
      <c r="AP150" s="12">
        <v>1548.9864501953125</v>
      </c>
      <c r="AQ150" s="12">
        <v>1298.117919921875</v>
      </c>
      <c r="AR150" s="12">
        <v>575.65350341796875</v>
      </c>
      <c r="AS150" s="12">
        <v>1674.8797607421875</v>
      </c>
      <c r="AT150" s="12">
        <v>840.145263671875</v>
      </c>
      <c r="AU150" s="12">
        <v>1152.72607421875</v>
      </c>
      <c r="AV150" s="12">
        <v>1197.5716552734375</v>
      </c>
      <c r="AW150" s="12">
        <v>486.55291748046875</v>
      </c>
      <c r="AX150" s="12">
        <v>443.6859130859375</v>
      </c>
      <c r="AY150" s="12">
        <v>4365.19189453125</v>
      </c>
      <c r="AZ150" s="12">
        <v>561.96649169921875</v>
      </c>
      <c r="BA150" s="12">
        <v>2527.234375</v>
      </c>
      <c r="BB150" s="12">
        <v>2053.987548828125</v>
      </c>
      <c r="BC150" s="12">
        <v>737.719482421875</v>
      </c>
      <c r="BD150" s="12">
        <v>2522.94873046875</v>
      </c>
      <c r="BE150" s="12">
        <v>767.068603515625</v>
      </c>
      <c r="BF150" s="12">
        <v>1334.075439453125</v>
      </c>
      <c r="BG150" s="12">
        <v>2106.4833984375</v>
      </c>
      <c r="BH150" s="12">
        <v>1069.9273681640625</v>
      </c>
      <c r="BI150" s="12">
        <v>861.65362548828125</v>
      </c>
      <c r="BJ150" s="12">
        <v>1403.077880859375</v>
      </c>
      <c r="BK150" s="12">
        <v>303.67672729492188</v>
      </c>
      <c r="BL150" s="12">
        <v>818.66058349609375</v>
      </c>
      <c r="BM150" s="12">
        <v>1084.2474365234375</v>
      </c>
      <c r="BN150" s="12">
        <v>1070.20068359375</v>
      </c>
      <c r="BO150" s="12">
        <v>754.14544677734375</v>
      </c>
      <c r="BP150" s="12">
        <v>1714.3912353515625</v>
      </c>
      <c r="BQ150" s="12"/>
      <c r="BR150" s="12"/>
    </row>
    <row r="151" spans="2:70" x14ac:dyDescent="0.2">
      <c r="B151">
        <v>1946</v>
      </c>
      <c r="C151" s="12">
        <v>2955.0703125</v>
      </c>
      <c r="D151" s="12">
        <v>3917.291259765625</v>
      </c>
      <c r="E151" s="12">
        <v>10846.359375</v>
      </c>
      <c r="F151" s="12">
        <v>3238.959228515625</v>
      </c>
      <c r="G151" s="12">
        <v>2215.86669921875</v>
      </c>
      <c r="H151" s="12">
        <v>1281.9896240234375</v>
      </c>
      <c r="I151" s="12">
        <v>2065.93798828125</v>
      </c>
      <c r="J151" s="12">
        <v>834.389404296875</v>
      </c>
      <c r="K151" s="12">
        <v>1001.230712890625</v>
      </c>
      <c r="L151" s="12">
        <v>2682.01123046875</v>
      </c>
      <c r="M151" s="12">
        <v>9019.158203125</v>
      </c>
      <c r="N151" s="12">
        <v>3328.607421875</v>
      </c>
      <c r="O151" s="12">
        <v>5281.0087890625</v>
      </c>
      <c r="P151" s="12">
        <v>9129.1201171875</v>
      </c>
      <c r="Q151" s="12">
        <v>4006.973388671875</v>
      </c>
      <c r="R151" s="12">
        <v>5872.2626953125</v>
      </c>
      <c r="S151" s="12">
        <v>8170.927734375</v>
      </c>
      <c r="T151" s="12">
        <v>6677.82666015625</v>
      </c>
      <c r="U151" s="12">
        <v>4577.40771484375</v>
      </c>
      <c r="V151" s="12">
        <v>1839.9608154296875</v>
      </c>
      <c r="W151" s="12">
        <v>11835.3046875</v>
      </c>
      <c r="X151" s="12">
        <v>8326.6728515625</v>
      </c>
      <c r="Y151" s="12">
        <v>9475.97265625</v>
      </c>
      <c r="Z151" s="12">
        <v>9175.513671875</v>
      </c>
      <c r="AA151" s="12">
        <v>2275.08984375</v>
      </c>
      <c r="AB151" s="12">
        <v>7264.1015625</v>
      </c>
      <c r="AC151" s="12">
        <v>2252.0341796875</v>
      </c>
      <c r="AD151" s="12">
        <v>3692.84912109375</v>
      </c>
      <c r="AE151" s="12">
        <v>2091.312255859375</v>
      </c>
      <c r="AF151" s="12">
        <v>2581.75732421875</v>
      </c>
      <c r="AG151" s="12">
        <v>2046.293212890625</v>
      </c>
      <c r="AH151" s="12">
        <v>10511.5341796875</v>
      </c>
      <c r="AI151" s="12">
        <v>3589.675048828125</v>
      </c>
      <c r="AJ151" s="12">
        <v>1949.21728515625</v>
      </c>
      <c r="AK151" s="12">
        <v>1671.7032470703125</v>
      </c>
      <c r="AL151" s="12">
        <v>1644.1328125</v>
      </c>
      <c r="AM151" s="12">
        <v>5814.42236328125</v>
      </c>
      <c r="AN151" s="12">
        <v>1839.0489501953125</v>
      </c>
      <c r="AO151" s="12">
        <v>3365.41943359375</v>
      </c>
      <c r="AP151" s="12">
        <v>1561.815673828125</v>
      </c>
      <c r="AQ151" s="12">
        <v>1371.136962890625</v>
      </c>
      <c r="AR151" s="12">
        <v>574.6981201171875</v>
      </c>
      <c r="AS151" s="12">
        <v>1674.388427734375</v>
      </c>
      <c r="AT151" s="12">
        <v>841.68035888671875</v>
      </c>
      <c r="AU151" s="12">
        <v>1165.0665283203125</v>
      </c>
      <c r="AV151" s="12">
        <v>1269.705810546875</v>
      </c>
      <c r="AW151" s="12">
        <v>487.17877197265625</v>
      </c>
      <c r="AX151" s="12">
        <v>444.4862060546875</v>
      </c>
      <c r="AY151" s="12">
        <v>4394.55615234375</v>
      </c>
      <c r="AZ151" s="12">
        <v>576.7518310546875</v>
      </c>
      <c r="BA151" s="12">
        <v>2651.936767578125</v>
      </c>
      <c r="BB151" s="12">
        <v>2155.33642578125</v>
      </c>
      <c r="BC151" s="12">
        <v>723.25640869140625</v>
      </c>
      <c r="BD151" s="12">
        <v>1156.0443115234375</v>
      </c>
      <c r="BE151" s="12">
        <v>623.480712890625</v>
      </c>
      <c r="BF151" s="12">
        <v>1291.6824951171875</v>
      </c>
      <c r="BG151" s="12">
        <v>1655.2235107421875</v>
      </c>
      <c r="BH151" s="12">
        <v>1058.3280029296875</v>
      </c>
      <c r="BI151" s="12">
        <v>891.3594970703125</v>
      </c>
      <c r="BJ151" s="12">
        <v>1414.546142578125</v>
      </c>
      <c r="BK151" s="12">
        <v>286.54132080078125</v>
      </c>
      <c r="BL151" s="12">
        <v>811.7393798828125</v>
      </c>
      <c r="BM151" s="12">
        <v>944.8125</v>
      </c>
      <c r="BN151" s="12">
        <v>1064.407470703125</v>
      </c>
      <c r="BO151" s="12">
        <v>743.07513427734375</v>
      </c>
      <c r="BP151" s="12">
        <v>1724.932861328125</v>
      </c>
      <c r="BQ151" s="12"/>
      <c r="BR151" s="12"/>
    </row>
    <row r="152" spans="2:70" x14ac:dyDescent="0.2">
      <c r="B152">
        <v>1947</v>
      </c>
      <c r="C152" s="12">
        <v>2973.818603515625</v>
      </c>
      <c r="D152" s="12">
        <v>4038.29443359375</v>
      </c>
      <c r="E152" s="12">
        <v>10536.984375</v>
      </c>
      <c r="F152" s="12">
        <v>3348.125244140625</v>
      </c>
      <c r="G152" s="12">
        <v>2246.06005859375</v>
      </c>
      <c r="H152" s="12">
        <v>1300.0350341796875</v>
      </c>
      <c r="I152" s="12">
        <v>2289.53173828125</v>
      </c>
      <c r="J152" s="12">
        <v>861.785888671875</v>
      </c>
      <c r="K152" s="12">
        <v>973.58636474609375</v>
      </c>
      <c r="L152" s="12">
        <v>3166.36669921875</v>
      </c>
      <c r="M152" s="12">
        <v>9606.455078125</v>
      </c>
      <c r="N152" s="12">
        <v>3154.604736328125</v>
      </c>
      <c r="O152" s="12">
        <v>5273.41162109375</v>
      </c>
      <c r="P152" s="12">
        <v>8478.57421875</v>
      </c>
      <c r="Q152" s="12">
        <v>4748.3603515625</v>
      </c>
      <c r="R152" s="12">
        <v>6801.3505859375</v>
      </c>
      <c r="S152" s="12">
        <v>9431.912109375</v>
      </c>
      <c r="T152" s="12">
        <v>7174.494140625</v>
      </c>
      <c r="U152" s="12">
        <v>4709.90869140625</v>
      </c>
      <c r="V152" s="12">
        <v>1895.1402587890625</v>
      </c>
      <c r="W152" s="12">
        <v>11443.7265625</v>
      </c>
      <c r="X152" s="12">
        <v>8464.8427734375</v>
      </c>
      <c r="Y152" s="12">
        <v>9428.376953125</v>
      </c>
      <c r="Z152" s="12">
        <v>9850.333984375</v>
      </c>
      <c r="AA152" s="12">
        <v>2215.978271484375</v>
      </c>
      <c r="AB152" s="12">
        <v>8691.0390625</v>
      </c>
      <c r="AC152" s="12">
        <v>2017.9183349609375</v>
      </c>
      <c r="AD152" s="12">
        <v>3203.2353515625</v>
      </c>
      <c r="AE152" s="12">
        <v>2170.7294921875</v>
      </c>
      <c r="AF152" s="12">
        <v>2457.772705078125</v>
      </c>
      <c r="AG152" s="12">
        <v>2109.098388671875</v>
      </c>
      <c r="AH152" s="12">
        <v>11451.638671875</v>
      </c>
      <c r="AI152" s="12">
        <v>3602.926513671875</v>
      </c>
      <c r="AJ152" s="12">
        <v>1941.9271240234375</v>
      </c>
      <c r="AK152" s="12">
        <v>1692.8773193359375</v>
      </c>
      <c r="AL152" s="12">
        <v>1677.4525146484375</v>
      </c>
      <c r="AM152" s="12">
        <v>6010.8818359375</v>
      </c>
      <c r="AN152" s="12">
        <v>1896.30615234375</v>
      </c>
      <c r="AO152" s="12">
        <v>3411.66845703125</v>
      </c>
      <c r="AP152" s="12">
        <v>1578.2928466796875</v>
      </c>
      <c r="AQ152" s="12">
        <v>1454.807861328125</v>
      </c>
      <c r="AR152" s="12">
        <v>574.24688720703125</v>
      </c>
      <c r="AS152" s="12">
        <v>1677.7547607421875</v>
      </c>
      <c r="AT152" s="12">
        <v>843.94781494140625</v>
      </c>
      <c r="AU152" s="12">
        <v>1178.5748291015625</v>
      </c>
      <c r="AV152" s="12">
        <v>1349.148193359375</v>
      </c>
      <c r="AW152" s="12">
        <v>488.23049926757812</v>
      </c>
      <c r="AX152" s="12">
        <v>446.2811279296875</v>
      </c>
      <c r="AY152" s="12">
        <v>4337.04541015625</v>
      </c>
      <c r="AZ152" s="12">
        <v>587.56231689453125</v>
      </c>
      <c r="BA152" s="12">
        <v>2938.891357421875</v>
      </c>
      <c r="BB152" s="12">
        <v>2388.55615234375</v>
      </c>
      <c r="BC152" s="12">
        <v>709.705810546875</v>
      </c>
      <c r="BD152" s="12">
        <v>1377.4459228515625</v>
      </c>
      <c r="BE152" s="12">
        <v>637.4322509765625</v>
      </c>
      <c r="BF152" s="12">
        <v>1253.0301513671875</v>
      </c>
      <c r="BG152" s="12">
        <v>1711.84619140625</v>
      </c>
      <c r="BH152" s="12">
        <v>1053.6134033203125</v>
      </c>
      <c r="BI152" s="12">
        <v>824.84210205078125</v>
      </c>
      <c r="BJ152" s="12">
        <v>1418.40576171875</v>
      </c>
      <c r="BK152" s="12">
        <v>271.23480224609375</v>
      </c>
      <c r="BL152" s="12">
        <v>807.072265625</v>
      </c>
      <c r="BM152" s="12">
        <v>1286.7774658203125</v>
      </c>
      <c r="BN152" s="12">
        <v>1067.48046875</v>
      </c>
      <c r="BO152" s="12">
        <v>739.39569091796875</v>
      </c>
      <c r="BP152" s="12">
        <v>1660.3963623046875</v>
      </c>
      <c r="BQ152" s="12"/>
      <c r="BR152" s="12"/>
    </row>
    <row r="153" spans="2:70" x14ac:dyDescent="0.2">
      <c r="B153">
        <v>1948</v>
      </c>
      <c r="C153" s="12">
        <v>3116.018310546875</v>
      </c>
      <c r="D153" s="12">
        <v>4372.1923828125</v>
      </c>
      <c r="E153" s="12">
        <v>10821.48046875</v>
      </c>
      <c r="F153" s="12">
        <v>3534.4482421875</v>
      </c>
      <c r="G153" s="12">
        <v>2317.428466796875</v>
      </c>
      <c r="H153" s="12">
        <v>1353.1864013671875</v>
      </c>
      <c r="I153" s="12">
        <v>2482.451904296875</v>
      </c>
      <c r="J153" s="12">
        <v>878.64599609375</v>
      </c>
      <c r="K153" s="12">
        <v>986.634033203125</v>
      </c>
      <c r="L153" s="12">
        <v>3792.343017578125</v>
      </c>
      <c r="M153" s="12">
        <v>10008.8828125</v>
      </c>
      <c r="N153" s="12">
        <v>3157.741455078125</v>
      </c>
      <c r="O153" s="12">
        <v>5992.65478515625</v>
      </c>
      <c r="P153" s="12">
        <v>8498.076171875</v>
      </c>
      <c r="Q153" s="12">
        <v>5238.97119140625</v>
      </c>
      <c r="R153" s="12">
        <v>7280.080078125</v>
      </c>
      <c r="S153" s="12">
        <v>10252.54296875</v>
      </c>
      <c r="T153" s="12">
        <v>7463.1767578125</v>
      </c>
      <c r="U153" s="12">
        <v>5088.33837890625</v>
      </c>
      <c r="V153" s="12">
        <v>2048.89697265625</v>
      </c>
      <c r="W153" s="12">
        <v>11746.10546875</v>
      </c>
      <c r="X153" s="12">
        <v>8568.6123046875</v>
      </c>
      <c r="Y153" s="12">
        <v>10385.826171875</v>
      </c>
      <c r="Z153" s="12">
        <v>8691.087890625</v>
      </c>
      <c r="AA153" s="12">
        <v>2263.779052734375</v>
      </c>
      <c r="AB153" s="12">
        <v>9215.4091796875</v>
      </c>
      <c r="AC153" s="12">
        <v>2206.793212890625</v>
      </c>
      <c r="AD153" s="12">
        <v>3633.45654296875</v>
      </c>
      <c r="AE153" s="12">
        <v>2300.875244140625</v>
      </c>
      <c r="AF153" s="12">
        <v>2360.32421875</v>
      </c>
      <c r="AG153" s="12">
        <v>2287.000732421875</v>
      </c>
      <c r="AH153" s="12">
        <v>12477.5986328125</v>
      </c>
      <c r="AI153" s="12">
        <v>3617.772216796875</v>
      </c>
      <c r="AJ153" s="12">
        <v>1935.05859375</v>
      </c>
      <c r="AK153" s="12">
        <v>1716.3182373046875</v>
      </c>
      <c r="AL153" s="12">
        <v>1711.5828857421875</v>
      </c>
      <c r="AM153" s="12">
        <v>5411.09765625</v>
      </c>
      <c r="AN153" s="12">
        <v>2102.9765625</v>
      </c>
      <c r="AO153" s="12">
        <v>3516.294921875</v>
      </c>
      <c r="AP153" s="12">
        <v>1595.27490234375</v>
      </c>
      <c r="AQ153" s="12">
        <v>1544.2357177734375</v>
      </c>
      <c r="AR153" s="12">
        <v>573.842529296875</v>
      </c>
      <c r="AS153" s="12">
        <v>1681.4525146484375</v>
      </c>
      <c r="AT153" s="12">
        <v>846.289794921875</v>
      </c>
      <c r="AU153" s="12">
        <v>1192.336669921875</v>
      </c>
      <c r="AV153" s="12">
        <v>1433.855224609375</v>
      </c>
      <c r="AW153" s="12">
        <v>489.32461547851562</v>
      </c>
      <c r="AX153" s="12">
        <v>448.17626953125</v>
      </c>
      <c r="AY153" s="12">
        <v>4563.99609375</v>
      </c>
      <c r="AZ153" s="12">
        <v>613.12823486328125</v>
      </c>
      <c r="BA153" s="12">
        <v>3186.46044921875</v>
      </c>
      <c r="BB153" s="12">
        <v>2589.765869140625</v>
      </c>
      <c r="BC153" s="12">
        <v>696.4635009765625</v>
      </c>
      <c r="BD153" s="12">
        <v>1517.0374755859375</v>
      </c>
      <c r="BE153" s="12">
        <v>746.06500244140625</v>
      </c>
      <c r="BF153" s="12">
        <v>1213.7952880859375</v>
      </c>
      <c r="BG153" s="12">
        <v>1751.775634765625</v>
      </c>
      <c r="BH153" s="12">
        <v>1049.048095703125</v>
      </c>
      <c r="BI153" s="12">
        <v>839.46673583984375</v>
      </c>
      <c r="BJ153" s="12">
        <v>1417.951416015625</v>
      </c>
      <c r="BK153" s="12">
        <v>256.82135009765625</v>
      </c>
      <c r="BL153" s="12">
        <v>802.6319580078125</v>
      </c>
      <c r="BM153" s="12">
        <v>1460.2059326171875</v>
      </c>
      <c r="BN153" s="12">
        <v>1071.103515625</v>
      </c>
      <c r="BO153" s="12">
        <v>731.3660888671875</v>
      </c>
      <c r="BP153" s="12">
        <v>1675.093505859375</v>
      </c>
      <c r="BQ153" s="12"/>
      <c r="BR153" s="12"/>
    </row>
    <row r="154" spans="2:70" x14ac:dyDescent="0.2">
      <c r="B154">
        <v>1949</v>
      </c>
      <c r="C154" s="12">
        <v>3173.027099609375</v>
      </c>
      <c r="D154" s="12">
        <v>4710.67822265625</v>
      </c>
      <c r="E154" s="12">
        <v>10567.0390625</v>
      </c>
      <c r="F154" s="12">
        <v>3523.383056640625</v>
      </c>
      <c r="G154" s="12">
        <v>2278.03955078125</v>
      </c>
      <c r="H154" s="12">
        <v>1374.868896484375</v>
      </c>
      <c r="I154" s="12">
        <v>2616.016357421875</v>
      </c>
      <c r="J154" s="12">
        <v>866.275146484375</v>
      </c>
      <c r="K154" s="12">
        <v>974.31427001953125</v>
      </c>
      <c r="L154" s="12">
        <v>4444.20703125</v>
      </c>
      <c r="M154" s="12">
        <v>10273.25390625</v>
      </c>
      <c r="N154" s="12">
        <v>3216.876220703125</v>
      </c>
      <c r="O154" s="12">
        <v>6301.34521484375</v>
      </c>
      <c r="P154" s="12">
        <v>9069.4560546875</v>
      </c>
      <c r="Q154" s="12">
        <v>5457.50244140625</v>
      </c>
      <c r="R154" s="12">
        <v>8216.1650390625</v>
      </c>
      <c r="S154" s="12">
        <v>10845.6103515625</v>
      </c>
      <c r="T154" s="12">
        <v>7599.69482421875</v>
      </c>
      <c r="U154" s="12">
        <v>5486.53369140625</v>
      </c>
      <c r="V154" s="12">
        <v>2211.80517578125</v>
      </c>
      <c r="W154" s="12">
        <v>11393.287109375</v>
      </c>
      <c r="X154" s="12">
        <v>8890.0966796875</v>
      </c>
      <c r="Y154" s="12">
        <v>10603.5390625</v>
      </c>
      <c r="Z154" s="12">
        <v>9392.5302734375</v>
      </c>
      <c r="AA154" s="12">
        <v>2224.384765625</v>
      </c>
      <c r="AB154" s="12">
        <v>8440.6826171875</v>
      </c>
      <c r="AC154" s="12">
        <v>2404.288818359375</v>
      </c>
      <c r="AD154" s="12">
        <v>3456.406494140625</v>
      </c>
      <c r="AE154" s="12">
        <v>2579.561767578125</v>
      </c>
      <c r="AF154" s="12">
        <v>2473.0703125</v>
      </c>
      <c r="AG154" s="12">
        <v>2344.31689453125</v>
      </c>
      <c r="AH154" s="12">
        <v>13591.69921875</v>
      </c>
      <c r="AI154" s="12">
        <v>3630.429443359375</v>
      </c>
      <c r="AJ154" s="12">
        <v>1927.0087890625</v>
      </c>
      <c r="AK154" s="12">
        <v>1733.364013671875</v>
      </c>
      <c r="AL154" s="12">
        <v>1745.978515625</v>
      </c>
      <c r="AM154" s="12">
        <v>5984.25439453125</v>
      </c>
      <c r="AN154" s="12">
        <v>1948.3045654296875</v>
      </c>
      <c r="AO154" s="12">
        <v>3461.19970703125</v>
      </c>
      <c r="AP154" s="12">
        <v>1611.378662109375</v>
      </c>
      <c r="AQ154" s="12">
        <v>1637.0196533203125</v>
      </c>
      <c r="AR154" s="12">
        <v>573.2935791015625</v>
      </c>
      <c r="AS154" s="12">
        <v>1684.6051025390625</v>
      </c>
      <c r="AT154" s="12">
        <v>848.42730712890625</v>
      </c>
      <c r="AU154" s="12">
        <v>1205.9510498046875</v>
      </c>
      <c r="AV154" s="12">
        <v>1522.91552734375</v>
      </c>
      <c r="AW154" s="12">
        <v>490.29791259765625</v>
      </c>
      <c r="AX154" s="12">
        <v>449.78781127929688</v>
      </c>
      <c r="AY154" s="12">
        <v>4511.4091796875</v>
      </c>
      <c r="AZ154" s="12">
        <v>625.971435546875</v>
      </c>
      <c r="BA154" s="12">
        <v>3357.83154296875</v>
      </c>
      <c r="BB154" s="12">
        <v>2729.0458984375</v>
      </c>
      <c r="BC154" s="12">
        <v>683.28729248046875</v>
      </c>
      <c r="BD154" s="12">
        <v>1445.43408203125</v>
      </c>
      <c r="BE154" s="12">
        <v>805.626953125</v>
      </c>
      <c r="BF154" s="12">
        <v>1175.3861083984375</v>
      </c>
      <c r="BG154" s="12">
        <v>1719.092529296875</v>
      </c>
      <c r="BH154" s="12">
        <v>1044.0989990234375</v>
      </c>
      <c r="BI154" s="12">
        <v>928.890625</v>
      </c>
      <c r="BJ154" s="12">
        <v>981.34112548828125</v>
      </c>
      <c r="BK154" s="12">
        <v>242.9468994140625</v>
      </c>
      <c r="BL154" s="12">
        <v>802.877197265625</v>
      </c>
      <c r="BM154" s="12">
        <v>1517.5511474609375</v>
      </c>
      <c r="BN154" s="12">
        <v>1074.7757568359375</v>
      </c>
      <c r="BO154" s="12">
        <v>731.73736572265625</v>
      </c>
      <c r="BP154" s="12">
        <v>1661.685791015625</v>
      </c>
      <c r="BQ154" s="12"/>
      <c r="BR154" s="12"/>
    </row>
    <row r="155" spans="2:70" x14ac:dyDescent="0.2">
      <c r="B155">
        <v>1950</v>
      </c>
      <c r="C155" s="12">
        <v>3378.906494140625</v>
      </c>
      <c r="D155" s="12">
        <v>5076.59912109375</v>
      </c>
      <c r="E155" s="12">
        <v>11349.802734375</v>
      </c>
      <c r="F155" s="12">
        <v>3461.7666015625</v>
      </c>
      <c r="G155" s="12">
        <v>2348.073974609375</v>
      </c>
      <c r="H155" s="12">
        <v>1440.2392578125</v>
      </c>
      <c r="I155" s="12">
        <v>2774.918212890625</v>
      </c>
      <c r="J155" s="12">
        <v>949.0570068359375</v>
      </c>
      <c r="K155" s="12">
        <v>951.30511474609375</v>
      </c>
      <c r="L155" s="12">
        <v>5145.07763671875</v>
      </c>
      <c r="M155" s="12">
        <v>10998.5390625</v>
      </c>
      <c r="N155" s="12">
        <v>3555.75927734375</v>
      </c>
      <c r="O155" s="12">
        <v>6707.1416015625</v>
      </c>
      <c r="P155" s="12">
        <v>9385.021484375</v>
      </c>
      <c r="Q155" s="12">
        <v>6158.5146484375</v>
      </c>
      <c r="R155" s="12">
        <v>8065.677734375</v>
      </c>
      <c r="S155" s="12">
        <v>11251.2041015625</v>
      </c>
      <c r="T155" s="12">
        <v>8267.4765625</v>
      </c>
      <c r="U155" s="12">
        <v>5879.05712890625</v>
      </c>
      <c r="V155" s="12">
        <v>2362.46630859375</v>
      </c>
      <c r="W155" s="12">
        <v>12248.9931640625</v>
      </c>
      <c r="X155" s="12">
        <v>9432.12109375</v>
      </c>
      <c r="Y155" s="12">
        <v>11213.7646484375</v>
      </c>
      <c r="Z155" s="12">
        <v>10709.44921875</v>
      </c>
      <c r="AA155" s="12">
        <v>2590.723388671875</v>
      </c>
      <c r="AB155" s="12">
        <v>7353.43505859375</v>
      </c>
      <c r="AC155" s="12">
        <v>2498.667724609375</v>
      </c>
      <c r="AD155" s="12">
        <v>3483.107177734375</v>
      </c>
      <c r="AE155" s="12">
        <v>2791.769775390625</v>
      </c>
      <c r="AF155" s="12">
        <v>2686.660400390625</v>
      </c>
      <c r="AG155" s="12">
        <v>2384.16650390625</v>
      </c>
      <c r="AH155" s="12">
        <v>14769.8720703125</v>
      </c>
      <c r="AI155" s="12">
        <v>3626.6708984375</v>
      </c>
      <c r="AJ155" s="12">
        <v>2022.9437255859375</v>
      </c>
      <c r="AK155" s="12">
        <v>1846.50537109375</v>
      </c>
      <c r="AL155" s="12">
        <v>1776.1357421875</v>
      </c>
      <c r="AM155" s="12">
        <v>3947.447998046875</v>
      </c>
      <c r="AN155" s="12">
        <v>2074.304443359375</v>
      </c>
      <c r="AO155" s="12">
        <v>3572.483154296875</v>
      </c>
      <c r="AP155" s="12">
        <v>1615.616943359375</v>
      </c>
      <c r="AQ155" s="12">
        <v>1709.732666015625</v>
      </c>
      <c r="AR155" s="12">
        <v>575.58514404296875</v>
      </c>
      <c r="AS155" s="12">
        <v>1615.876953125</v>
      </c>
      <c r="AT155" s="12">
        <v>834.73248291015625</v>
      </c>
      <c r="AU155" s="12">
        <v>1225.8123779296875</v>
      </c>
      <c r="AV155" s="12">
        <v>1605.927734375</v>
      </c>
      <c r="AW155" s="12">
        <v>501.1396484375</v>
      </c>
      <c r="AX155" s="12">
        <v>448.11300659179688</v>
      </c>
      <c r="AY155" s="12">
        <v>4931.119140625</v>
      </c>
      <c r="AZ155" s="12">
        <v>657.748779296875</v>
      </c>
      <c r="BA155" s="12">
        <v>3561.71630859375</v>
      </c>
      <c r="BB155" s="12">
        <v>2894.7509765625</v>
      </c>
      <c r="BC155" s="12">
        <v>679.55255126953125</v>
      </c>
      <c r="BD155" s="12">
        <v>2057.468505859375</v>
      </c>
      <c r="BE155" s="12">
        <v>673.33306884765625</v>
      </c>
      <c r="BF155" s="12">
        <v>1135.429931640625</v>
      </c>
      <c r="BG155" s="12">
        <v>1805.8199462890625</v>
      </c>
      <c r="BH155" s="12">
        <v>1034.652587890625</v>
      </c>
      <c r="BI155" s="12">
        <v>877.321533203125</v>
      </c>
      <c r="BJ155" s="12">
        <v>1052.8319091796875</v>
      </c>
      <c r="BK155" s="12">
        <v>231.29853820800781</v>
      </c>
      <c r="BL155" s="12">
        <v>792.124267578125</v>
      </c>
      <c r="BM155" s="12">
        <v>1592.4219970703125</v>
      </c>
      <c r="BN155" s="12">
        <v>1077.2406005859375</v>
      </c>
      <c r="BO155" s="12">
        <v>711.156005859375</v>
      </c>
      <c r="BP155" s="12">
        <v>1589.7200927734375</v>
      </c>
      <c r="BQ155" s="12"/>
      <c r="BR155" s="12"/>
    </row>
    <row r="156" spans="2:70" x14ac:dyDescent="0.2">
      <c r="B156">
        <v>1951</v>
      </c>
      <c r="C156" s="12">
        <v>3565.316650390625</v>
      </c>
      <c r="D156" s="12">
        <v>5279.4140625</v>
      </c>
      <c r="E156" s="12">
        <v>12054.5947265625</v>
      </c>
      <c r="F156" s="12">
        <v>3713.860107421875</v>
      </c>
      <c r="G156" s="12">
        <v>2409.727783203125</v>
      </c>
      <c r="H156" s="12">
        <v>1509.5211181640625</v>
      </c>
      <c r="I156" s="12">
        <v>2912.69287109375</v>
      </c>
      <c r="J156" s="12">
        <v>1105.542724609375</v>
      </c>
      <c r="K156" s="12">
        <v>957.8248291015625</v>
      </c>
      <c r="L156" s="12">
        <v>5830.6396484375</v>
      </c>
      <c r="M156" s="12">
        <v>10480.181640625</v>
      </c>
      <c r="N156" s="12">
        <v>4194.09814453125</v>
      </c>
      <c r="O156" s="12">
        <v>7177.23046875</v>
      </c>
      <c r="P156" s="12">
        <v>8924.255859375</v>
      </c>
      <c r="Q156" s="12">
        <v>6350.474609375</v>
      </c>
      <c r="R156" s="12">
        <v>8089.6015625</v>
      </c>
      <c r="S156" s="12">
        <v>11979.8623046875</v>
      </c>
      <c r="T156" s="12">
        <v>8773.9912109375</v>
      </c>
      <c r="U156" s="12">
        <v>6162.94970703125</v>
      </c>
      <c r="V156" s="12">
        <v>2473.1435546875</v>
      </c>
      <c r="W156" s="12">
        <v>13053.0869140625</v>
      </c>
      <c r="X156" s="12">
        <v>9752.5986328125</v>
      </c>
      <c r="Y156" s="12">
        <v>11997.15625</v>
      </c>
      <c r="Z156" s="12">
        <v>9677.0361328125</v>
      </c>
      <c r="AA156" s="12">
        <v>2741.93505859375</v>
      </c>
      <c r="AB156" s="12">
        <v>7781.623046875</v>
      </c>
      <c r="AC156" s="12">
        <v>2683.885498046875</v>
      </c>
      <c r="AD156" s="12">
        <v>3554.0673828125</v>
      </c>
      <c r="AE156" s="12">
        <v>2833.01513671875</v>
      </c>
      <c r="AF156" s="12">
        <v>3093.369140625</v>
      </c>
      <c r="AG156" s="12">
        <v>2552.286376953125</v>
      </c>
      <c r="AH156" s="12">
        <v>15619.810546875</v>
      </c>
      <c r="AI156" s="12">
        <v>3570.124755859375</v>
      </c>
      <c r="AJ156" s="12">
        <v>2011.0865478515625</v>
      </c>
      <c r="AK156" s="12">
        <v>1796.01416015625</v>
      </c>
      <c r="AL156" s="12">
        <v>1779.4034423828125</v>
      </c>
      <c r="AM156" s="12">
        <v>4130.83984375</v>
      </c>
      <c r="AN156" s="12">
        <v>2297.25244140625</v>
      </c>
      <c r="AO156" s="12">
        <v>3645.11865234375</v>
      </c>
      <c r="AP156" s="12">
        <v>1788.0400390625</v>
      </c>
      <c r="AQ156" s="12">
        <v>1734.8348388671875</v>
      </c>
      <c r="AR156" s="12">
        <v>582.552978515625</v>
      </c>
      <c r="AS156" s="12">
        <v>1968.2008056640625</v>
      </c>
      <c r="AT156" s="12">
        <v>847.8280029296875</v>
      </c>
      <c r="AU156" s="12">
        <v>1264.6107177734375</v>
      </c>
      <c r="AV156" s="12">
        <v>1705.7796630859375</v>
      </c>
      <c r="AW156" s="12">
        <v>520.07977294921875</v>
      </c>
      <c r="AX156" s="12">
        <v>456.03564453125</v>
      </c>
      <c r="AY156" s="12">
        <v>4957.287109375</v>
      </c>
      <c r="AZ156" s="12">
        <v>692.39837646484375</v>
      </c>
      <c r="BA156" s="12">
        <v>3738.80810546875</v>
      </c>
      <c r="BB156" s="12">
        <v>3038.66064453125</v>
      </c>
      <c r="BC156" s="12">
        <v>807.87860107421875</v>
      </c>
      <c r="BD156" s="12">
        <v>2366.5693359375</v>
      </c>
      <c r="BE156" s="12">
        <v>658.94610595703125</v>
      </c>
      <c r="BF156" s="12">
        <v>1174.61572265625</v>
      </c>
      <c r="BG156" s="12">
        <v>2080.8720703125</v>
      </c>
      <c r="BH156" s="12">
        <v>1035.290283203125</v>
      </c>
      <c r="BI156" s="12">
        <v>869.62823486328125</v>
      </c>
      <c r="BJ156" s="12">
        <v>1103.4493408203125</v>
      </c>
      <c r="BK156" s="12">
        <v>262.21087646484375</v>
      </c>
      <c r="BL156" s="12">
        <v>748.572998046875</v>
      </c>
      <c r="BM156" s="12">
        <v>1697.5394287109375</v>
      </c>
      <c r="BN156" s="12">
        <v>1128.7374267578125</v>
      </c>
      <c r="BO156" s="12">
        <v>735.720703125</v>
      </c>
      <c r="BP156" s="12">
        <v>1590.689208984375</v>
      </c>
      <c r="BQ156" s="12"/>
      <c r="BR156" s="12"/>
    </row>
    <row r="157" spans="2:70" x14ac:dyDescent="0.2">
      <c r="B157">
        <v>1952</v>
      </c>
      <c r="C157" s="12">
        <v>3656.80908203125</v>
      </c>
      <c r="D157" s="12">
        <v>5549.580078125</v>
      </c>
      <c r="E157" s="12">
        <v>12299.404296875</v>
      </c>
      <c r="F157" s="12">
        <v>3455.551513671875</v>
      </c>
      <c r="G157" s="12">
        <v>2488.939697265625</v>
      </c>
      <c r="H157" s="12">
        <v>1544.66748046875</v>
      </c>
      <c r="I157" s="12">
        <v>3101.69189453125</v>
      </c>
      <c r="J157" s="12">
        <v>1203.2060546875</v>
      </c>
      <c r="K157" s="12">
        <v>915.98284912109375</v>
      </c>
      <c r="L157" s="12">
        <v>6478.75927734375</v>
      </c>
      <c r="M157" s="12">
        <v>10655.353515625</v>
      </c>
      <c r="N157" s="12">
        <v>4701.90478515625</v>
      </c>
      <c r="O157" s="12">
        <v>7381.95068359375</v>
      </c>
      <c r="P157" s="12">
        <v>9107.2138671875</v>
      </c>
      <c r="Q157" s="12">
        <v>6698.4609375</v>
      </c>
      <c r="R157" s="12">
        <v>8335.939453125</v>
      </c>
      <c r="S157" s="12">
        <v>11964.580078125</v>
      </c>
      <c r="T157" s="12">
        <v>8984.6171875</v>
      </c>
      <c r="U157" s="12">
        <v>6483.19873046875</v>
      </c>
      <c r="V157" s="12">
        <v>2608.69287109375</v>
      </c>
      <c r="W157" s="12">
        <v>13366.84765625</v>
      </c>
      <c r="X157" s="12">
        <v>10476.7109375</v>
      </c>
      <c r="Y157" s="12">
        <v>10667.251953125</v>
      </c>
      <c r="Z157" s="12">
        <v>9903.970703125</v>
      </c>
      <c r="AA157" s="12">
        <v>2807.126953125</v>
      </c>
      <c r="AB157" s="12">
        <v>6225.6767578125</v>
      </c>
      <c r="AC157" s="12">
        <v>2623.912109375</v>
      </c>
      <c r="AD157" s="12">
        <v>3721.30078125</v>
      </c>
      <c r="AE157" s="12">
        <v>2788.151611328125</v>
      </c>
      <c r="AF157" s="12">
        <v>3318.092041015625</v>
      </c>
      <c r="AG157" s="12">
        <v>2378.182373046875</v>
      </c>
      <c r="AH157" s="12">
        <v>16094.4326171875</v>
      </c>
      <c r="AI157" s="12">
        <v>3649.560302734375</v>
      </c>
      <c r="AJ157" s="12">
        <v>2000.933837890625</v>
      </c>
      <c r="AK157" s="12">
        <v>1758.8983154296875</v>
      </c>
      <c r="AL157" s="12">
        <v>1782.45166015625</v>
      </c>
      <c r="AM157" s="12">
        <v>4373.9775390625</v>
      </c>
      <c r="AN157" s="12">
        <v>2525.18798828125</v>
      </c>
      <c r="AO157" s="12">
        <v>3744.60595703125</v>
      </c>
      <c r="AP157" s="12">
        <v>1935.705078125</v>
      </c>
      <c r="AQ157" s="12">
        <v>1767.931884765625</v>
      </c>
      <c r="AR157" s="12">
        <v>587.9998779296875</v>
      </c>
      <c r="AS157" s="12">
        <v>1692.5628662109375</v>
      </c>
      <c r="AT157" s="12">
        <v>862.20574951171875</v>
      </c>
      <c r="AU157" s="12">
        <v>1302.2353515625</v>
      </c>
      <c r="AV157" s="12">
        <v>1809.6488037109375</v>
      </c>
      <c r="AW157" s="12">
        <v>526.189208984375</v>
      </c>
      <c r="AX157" s="12">
        <v>466.24844360351562</v>
      </c>
      <c r="AY157" s="12">
        <v>4948.85888671875</v>
      </c>
      <c r="AZ157" s="12">
        <v>710.7655029296875</v>
      </c>
      <c r="BA157" s="12">
        <v>3981.68603515625</v>
      </c>
      <c r="BB157" s="12">
        <v>3236.048828125</v>
      </c>
      <c r="BC157" s="12">
        <v>891.1546630859375</v>
      </c>
      <c r="BD157" s="12">
        <v>2537.891357421875</v>
      </c>
      <c r="BE157" s="12">
        <v>688.74395751953125</v>
      </c>
      <c r="BF157" s="12">
        <v>1274.5863037109375</v>
      </c>
      <c r="BG157" s="12">
        <v>2268.59375</v>
      </c>
      <c r="BH157" s="12">
        <v>1051.7607421875</v>
      </c>
      <c r="BI157" s="12">
        <v>780.28118896484375</v>
      </c>
      <c r="BJ157" s="12">
        <v>1131.0225830078125</v>
      </c>
      <c r="BK157" s="12">
        <v>265.8319091796875</v>
      </c>
      <c r="BL157" s="12">
        <v>736.68878173828125</v>
      </c>
      <c r="BM157" s="12">
        <v>1740.259033203125</v>
      </c>
      <c r="BN157" s="12">
        <v>1164.4913330078125</v>
      </c>
      <c r="BO157" s="12">
        <v>756.0491943359375</v>
      </c>
      <c r="BP157" s="12">
        <v>1517.274658203125</v>
      </c>
      <c r="BQ157" s="12"/>
      <c r="BR157" s="12"/>
    </row>
    <row r="158" spans="2:70" x14ac:dyDescent="0.2">
      <c r="B158">
        <v>1953</v>
      </c>
      <c r="C158" s="12">
        <v>3820.490234375</v>
      </c>
      <c r="D158" s="12">
        <v>5919.470703125</v>
      </c>
      <c r="E158" s="12">
        <v>12665.763671875</v>
      </c>
      <c r="F158" s="12">
        <v>3527.037109375</v>
      </c>
      <c r="G158" s="12">
        <v>2573.59814453125</v>
      </c>
      <c r="H158" s="12">
        <v>1579.2135009765625</v>
      </c>
      <c r="I158" s="12">
        <v>3232.5888671875</v>
      </c>
      <c r="J158" s="12">
        <v>1304.1661376953125</v>
      </c>
      <c r="K158" s="12">
        <v>1018.9904174804688</v>
      </c>
      <c r="L158" s="12">
        <v>7045.86669921875</v>
      </c>
      <c r="M158" s="12">
        <v>11131.8974609375</v>
      </c>
      <c r="N158" s="12">
        <v>4978.39794921875</v>
      </c>
      <c r="O158" s="12">
        <v>7711.86669921875</v>
      </c>
      <c r="P158" s="12">
        <v>9846.9482421875</v>
      </c>
      <c r="Q158" s="12">
        <v>7273.392578125</v>
      </c>
      <c r="R158" s="12">
        <v>8905.5517578125</v>
      </c>
      <c r="S158" s="12">
        <v>11745.900390625</v>
      </c>
      <c r="T158" s="12">
        <v>8857.6884765625</v>
      </c>
      <c r="U158" s="12">
        <v>6898.7509765625</v>
      </c>
      <c r="V158" s="12">
        <v>2782.960693359375</v>
      </c>
      <c r="W158" s="12">
        <v>13767.78515625</v>
      </c>
      <c r="X158" s="12">
        <v>10689.787109375</v>
      </c>
      <c r="Y158" s="12">
        <v>11293.611328125</v>
      </c>
      <c r="Z158" s="12">
        <v>9985.4169921875</v>
      </c>
      <c r="AA158" s="12">
        <v>2899.796142578125</v>
      </c>
      <c r="AB158" s="12">
        <v>6787.44677734375</v>
      </c>
      <c r="AC158" s="12">
        <v>2616.73828125</v>
      </c>
      <c r="AD158" s="12">
        <v>3939.4091796875</v>
      </c>
      <c r="AE158" s="12">
        <v>2839.8046875</v>
      </c>
      <c r="AF158" s="12">
        <v>3154.90478515625</v>
      </c>
      <c r="AG158" s="12">
        <v>2431.4306640625</v>
      </c>
      <c r="AH158" s="12">
        <v>17229.787109375</v>
      </c>
      <c r="AI158" s="12">
        <v>3625.5458984375</v>
      </c>
      <c r="AJ158" s="12">
        <v>1987.5162353515625</v>
      </c>
      <c r="AK158" s="12">
        <v>1720.404296875</v>
      </c>
      <c r="AL158" s="12">
        <v>1792.7860107421875</v>
      </c>
      <c r="AM158" s="12">
        <v>4778.25244140625</v>
      </c>
      <c r="AN158" s="12">
        <v>2754.966552734375</v>
      </c>
      <c r="AO158" s="12">
        <v>3860.321044921875</v>
      </c>
      <c r="AP158" s="12">
        <v>2026.1199951171875</v>
      </c>
      <c r="AQ158" s="12">
        <v>1798.128662109375</v>
      </c>
      <c r="AR158" s="12">
        <v>613.13311767578125</v>
      </c>
      <c r="AS158" s="12">
        <v>1611.79443359375</v>
      </c>
      <c r="AT158" s="12">
        <v>877.40899658203125</v>
      </c>
      <c r="AU158" s="12">
        <v>1340.2884521484375</v>
      </c>
      <c r="AV158" s="12">
        <v>1829.09765625</v>
      </c>
      <c r="AW158" s="12">
        <v>535.41485595703125</v>
      </c>
      <c r="AX158" s="12">
        <v>474.7100830078125</v>
      </c>
      <c r="AY158" s="12">
        <v>5109.740234375</v>
      </c>
      <c r="AZ158" s="12">
        <v>724.43865966796875</v>
      </c>
      <c r="BA158" s="12">
        <v>4149.99853515625</v>
      </c>
      <c r="BB158" s="12">
        <v>3372.841796875</v>
      </c>
      <c r="BC158" s="12">
        <v>984.5198974609375</v>
      </c>
      <c r="BD158" s="12">
        <v>2652.9775390625</v>
      </c>
      <c r="BE158" s="12">
        <v>887.588134765625</v>
      </c>
      <c r="BF158" s="12">
        <v>1340.8387451171875</v>
      </c>
      <c r="BG158" s="12">
        <v>2478.2900390625</v>
      </c>
      <c r="BH158" s="12">
        <v>1049.9803466796875</v>
      </c>
      <c r="BI158" s="12">
        <v>926.00433349609375</v>
      </c>
      <c r="BJ158" s="12">
        <v>1157.48681640625</v>
      </c>
      <c r="BK158" s="12">
        <v>268.43783569335938</v>
      </c>
      <c r="BL158" s="12">
        <v>796.30987548828125</v>
      </c>
      <c r="BM158" s="12">
        <v>1832.8294677734375</v>
      </c>
      <c r="BN158" s="12">
        <v>1268.3701171875</v>
      </c>
      <c r="BO158" s="12">
        <v>776.464599609375</v>
      </c>
      <c r="BP158" s="12">
        <v>1694.86279296875</v>
      </c>
      <c r="BQ158" s="12"/>
      <c r="BR158" s="12"/>
    </row>
    <row r="159" spans="2:70" x14ac:dyDescent="0.2">
      <c r="B159">
        <v>1954</v>
      </c>
      <c r="C159" s="12">
        <v>3830.18017578125</v>
      </c>
      <c r="D159" s="12">
        <v>6194.0517578125</v>
      </c>
      <c r="E159" s="12">
        <v>12374.357421875</v>
      </c>
      <c r="F159" s="12">
        <v>3810.908447265625</v>
      </c>
      <c r="G159" s="12">
        <v>2550.580810546875</v>
      </c>
      <c r="H159" s="12">
        <v>1641.9320068359375</v>
      </c>
      <c r="I159" s="12">
        <v>3442.5087890625</v>
      </c>
      <c r="J159" s="12">
        <v>1238.2862548828125</v>
      </c>
      <c r="K159" s="12">
        <v>903.2421875</v>
      </c>
      <c r="L159" s="12">
        <v>7454.54833984375</v>
      </c>
      <c r="M159" s="12">
        <v>11456.5400390625</v>
      </c>
      <c r="N159" s="12">
        <v>5524.76806640625</v>
      </c>
      <c r="O159" s="12">
        <v>8052.21923828125</v>
      </c>
      <c r="P159" s="12">
        <v>10197.1865234375</v>
      </c>
      <c r="Q159" s="12">
        <v>7455.0576171875</v>
      </c>
      <c r="R159" s="12">
        <v>9584.96484375</v>
      </c>
      <c r="S159" s="12">
        <v>12075.8955078125</v>
      </c>
      <c r="T159" s="12">
        <v>9339.427734375</v>
      </c>
      <c r="U159" s="12">
        <v>7254.505859375</v>
      </c>
      <c r="V159" s="12">
        <v>2917.66796875</v>
      </c>
      <c r="W159" s="12">
        <v>13411.3896484375</v>
      </c>
      <c r="X159" s="12">
        <v>10254.9990234375</v>
      </c>
      <c r="Y159" s="12">
        <v>11930.517578125</v>
      </c>
      <c r="Z159" s="12">
        <v>11101.888671875</v>
      </c>
      <c r="AA159" s="12">
        <v>2848.409423828125</v>
      </c>
      <c r="AB159" s="12">
        <v>7084.16015625</v>
      </c>
      <c r="AC159" s="12">
        <v>2853.660888671875</v>
      </c>
      <c r="AD159" s="12">
        <v>3686.609375</v>
      </c>
      <c r="AE159" s="12">
        <v>3099.87158203125</v>
      </c>
      <c r="AF159" s="12">
        <v>3718.757080078125</v>
      </c>
      <c r="AG159" s="12">
        <v>2621.9697265625</v>
      </c>
      <c r="AH159" s="12">
        <v>18667.470703125</v>
      </c>
      <c r="AI159" s="12">
        <v>3804.080810546875</v>
      </c>
      <c r="AJ159" s="12">
        <v>1975.8128662109375</v>
      </c>
      <c r="AK159" s="12">
        <v>1671.8792724609375</v>
      </c>
      <c r="AL159" s="12">
        <v>1802.3516845703125</v>
      </c>
      <c r="AM159" s="12">
        <v>5193.11669921875</v>
      </c>
      <c r="AN159" s="12">
        <v>2600.53955078125</v>
      </c>
      <c r="AO159" s="12">
        <v>3825.11474609375</v>
      </c>
      <c r="AP159" s="12">
        <v>2124.074951171875</v>
      </c>
      <c r="AQ159" s="12">
        <v>1825.3355712890625</v>
      </c>
      <c r="AR159" s="12">
        <v>600.56744384765625</v>
      </c>
      <c r="AS159" s="12">
        <v>1781.241455078125</v>
      </c>
      <c r="AT159" s="12">
        <v>891.78997802734375</v>
      </c>
      <c r="AU159" s="12">
        <v>1381.227783203125</v>
      </c>
      <c r="AV159" s="12">
        <v>1929.6708984375</v>
      </c>
      <c r="AW159" s="12">
        <v>553.92303466796875</v>
      </c>
      <c r="AX159" s="12">
        <v>483.97027587890625</v>
      </c>
      <c r="AY159" s="12">
        <v>5289.46240234375</v>
      </c>
      <c r="AZ159" s="12">
        <v>753.97039794921875</v>
      </c>
      <c r="BA159" s="12">
        <v>4419.79248046875</v>
      </c>
      <c r="BB159" s="12">
        <v>3592.079833984375</v>
      </c>
      <c r="BC159" s="12">
        <v>886.57073974609375</v>
      </c>
      <c r="BD159" s="12">
        <v>2736.9150390625</v>
      </c>
      <c r="BE159" s="12">
        <v>920.38922119140625</v>
      </c>
      <c r="BF159" s="12">
        <v>1412.40576171875</v>
      </c>
      <c r="BG159" s="12">
        <v>2348.43603515625</v>
      </c>
      <c r="BH159" s="12">
        <v>1050.5933837890625</v>
      </c>
      <c r="BI159" s="12">
        <v>716.26873779296875</v>
      </c>
      <c r="BJ159" s="12">
        <v>1196.5635986328125</v>
      </c>
      <c r="BK159" s="12">
        <v>246.96099853515625</v>
      </c>
      <c r="BL159" s="12">
        <v>797.61993408203125</v>
      </c>
      <c r="BM159" s="12">
        <v>1883.6802978515625</v>
      </c>
      <c r="BN159" s="12">
        <v>1213.197021484375</v>
      </c>
      <c r="BO159" s="12">
        <v>804.2149658203125</v>
      </c>
      <c r="BP159" s="12">
        <v>1487.68115234375</v>
      </c>
      <c r="BQ159" s="12"/>
      <c r="BR159" s="12"/>
    </row>
    <row r="160" spans="2:70" x14ac:dyDescent="0.2">
      <c r="B160">
        <v>1955</v>
      </c>
      <c r="C160" s="12">
        <v>4026.90478515625</v>
      </c>
      <c r="D160" s="12">
        <v>6556.43994140625</v>
      </c>
      <c r="E160" s="12">
        <v>13074.671875</v>
      </c>
      <c r="F160" s="12">
        <v>3949.651611328125</v>
      </c>
      <c r="G160" s="12">
        <v>2596.380126953125</v>
      </c>
      <c r="H160" s="12">
        <v>1680.28076171875</v>
      </c>
      <c r="I160" s="12">
        <v>3606.681396484375</v>
      </c>
      <c r="J160" s="12">
        <v>1329.989013671875</v>
      </c>
      <c r="K160" s="12">
        <v>993.725341796875</v>
      </c>
      <c r="L160" s="12">
        <v>8472.96875</v>
      </c>
      <c r="M160" s="12">
        <v>11134.8134765625</v>
      </c>
      <c r="N160" s="12">
        <v>5702.89794921875</v>
      </c>
      <c r="O160" s="12">
        <v>8468.6484375</v>
      </c>
      <c r="P160" s="12">
        <v>10263.0791015625</v>
      </c>
      <c r="Q160" s="12">
        <v>7932.84326171875</v>
      </c>
      <c r="R160" s="12">
        <v>10371.0771484375</v>
      </c>
      <c r="S160" s="12">
        <v>12550.97265625</v>
      </c>
      <c r="T160" s="12">
        <v>9654.1279296875</v>
      </c>
      <c r="U160" s="12">
        <v>7706.4072265625</v>
      </c>
      <c r="V160" s="12">
        <v>3097.192626953125</v>
      </c>
      <c r="W160" s="12">
        <v>14200.087890625</v>
      </c>
      <c r="X160" s="12">
        <v>10941.1904296875</v>
      </c>
      <c r="Y160" s="12">
        <v>12107.796875</v>
      </c>
      <c r="Z160" s="12">
        <v>11436.154296875</v>
      </c>
      <c r="AA160" s="12">
        <v>3004.50146484375</v>
      </c>
      <c r="AB160" s="12">
        <v>7383.5146484375</v>
      </c>
      <c r="AC160" s="12">
        <v>2739.666748046875</v>
      </c>
      <c r="AD160" s="12">
        <v>3748.1328125</v>
      </c>
      <c r="AE160" s="12">
        <v>2925.934326171875</v>
      </c>
      <c r="AF160" s="12">
        <v>4336.76416015625</v>
      </c>
      <c r="AG160" s="12">
        <v>2700.2900390625</v>
      </c>
      <c r="AH160" s="12">
        <v>18415.484375</v>
      </c>
      <c r="AI160" s="12">
        <v>3813.545166015625</v>
      </c>
      <c r="AJ160" s="12">
        <v>1968.2730712890625</v>
      </c>
      <c r="AK160" s="12">
        <v>1627.54638671875</v>
      </c>
      <c r="AL160" s="12">
        <v>1811.37451171875</v>
      </c>
      <c r="AM160" s="12">
        <v>5625.609375</v>
      </c>
      <c r="AN160" s="12">
        <v>2751.583984375</v>
      </c>
      <c r="AO160" s="12">
        <v>3883.282470703125</v>
      </c>
      <c r="AP160" s="12">
        <v>2186.06103515625</v>
      </c>
      <c r="AQ160" s="12">
        <v>1857.0240478515625</v>
      </c>
      <c r="AR160" s="12">
        <v>623.03619384765625</v>
      </c>
      <c r="AS160" s="12">
        <v>1886.5166015625</v>
      </c>
      <c r="AT160" s="12">
        <v>907.28094482421875</v>
      </c>
      <c r="AU160" s="12">
        <v>1420.8504638671875</v>
      </c>
      <c r="AV160" s="12">
        <v>1946.643310546875</v>
      </c>
      <c r="AW160" s="12">
        <v>559.08489990234375</v>
      </c>
      <c r="AX160" s="12">
        <v>493.87322998046875</v>
      </c>
      <c r="AY160" s="12">
        <v>5433.03955078125</v>
      </c>
      <c r="AZ160" s="12">
        <v>769.50213623046875</v>
      </c>
      <c r="BA160" s="12">
        <v>4630.87841796875</v>
      </c>
      <c r="BB160" s="12">
        <v>3763.656005859375</v>
      </c>
      <c r="BC160" s="12">
        <v>942.37347412109375</v>
      </c>
      <c r="BD160" s="12">
        <v>3020.85107421875</v>
      </c>
      <c r="BE160" s="12">
        <v>951.43572998046875</v>
      </c>
      <c r="BF160" s="12">
        <v>1463.7843017578125</v>
      </c>
      <c r="BG160" s="12">
        <v>2524.383544921875</v>
      </c>
      <c r="BH160" s="12">
        <v>971.29693603515625</v>
      </c>
      <c r="BI160" s="12">
        <v>874.8856201171875</v>
      </c>
      <c r="BJ160" s="12">
        <v>1201.54443359375</v>
      </c>
      <c r="BK160" s="12">
        <v>276.9495849609375</v>
      </c>
      <c r="BL160" s="12">
        <v>797.955078125</v>
      </c>
      <c r="BM160" s="12">
        <v>1947.3843994140625</v>
      </c>
      <c r="BN160" s="12">
        <v>1282.7374267578125</v>
      </c>
      <c r="BO160" s="12">
        <v>777.00543212890625</v>
      </c>
      <c r="BP160" s="12">
        <v>1581.24365234375</v>
      </c>
      <c r="BQ160" s="12"/>
      <c r="BR160" s="12"/>
    </row>
    <row r="161" spans="2:70" x14ac:dyDescent="0.2">
      <c r="B161">
        <v>1956</v>
      </c>
      <c r="C161" s="12">
        <v>4136.314453125</v>
      </c>
      <c r="D161" s="12">
        <v>6808.32421875</v>
      </c>
      <c r="E161" s="12">
        <v>13125.3828125</v>
      </c>
      <c r="F161" s="12">
        <v>4199.61767578125</v>
      </c>
      <c r="G161" s="12">
        <v>2712.32958984375</v>
      </c>
      <c r="H161" s="12">
        <v>1703.522705078125</v>
      </c>
      <c r="I161" s="12">
        <v>3850.609130859375</v>
      </c>
      <c r="J161" s="12">
        <v>1427.8875732421875</v>
      </c>
      <c r="K161" s="12">
        <v>1089.4521484375</v>
      </c>
      <c r="L161" s="12">
        <v>8840.5234375</v>
      </c>
      <c r="M161" s="12">
        <v>11120.96484375</v>
      </c>
      <c r="N161" s="12">
        <v>6511.11083984375</v>
      </c>
      <c r="O161" s="12">
        <v>8853.39453125</v>
      </c>
      <c r="P161" s="12">
        <v>10304.71875</v>
      </c>
      <c r="Q161" s="12">
        <v>8342.9248046875</v>
      </c>
      <c r="R161" s="12">
        <v>10707.962890625</v>
      </c>
      <c r="S161" s="12">
        <v>13511.3779296875</v>
      </c>
      <c r="T161" s="12">
        <v>9972.001953125</v>
      </c>
      <c r="U161" s="12">
        <v>8024.73681640625</v>
      </c>
      <c r="V161" s="12">
        <v>3223.512939453125</v>
      </c>
      <c r="W161" s="12">
        <v>14204.7421875</v>
      </c>
      <c r="X161" s="12">
        <v>11773.443359375</v>
      </c>
      <c r="Y161" s="12">
        <v>11964.5693359375</v>
      </c>
      <c r="Z161" s="12">
        <v>11780.1904296875</v>
      </c>
      <c r="AA161" s="12">
        <v>3026.505615234375</v>
      </c>
      <c r="AB161" s="12">
        <v>8354.0927734375</v>
      </c>
      <c r="AC161" s="12">
        <v>2760.2490234375</v>
      </c>
      <c r="AD161" s="12">
        <v>3702.595458984375</v>
      </c>
      <c r="AE161" s="12">
        <v>2930.927734375</v>
      </c>
      <c r="AF161" s="12">
        <v>4653.03271484375</v>
      </c>
      <c r="AG161" s="12">
        <v>2865.664794921875</v>
      </c>
      <c r="AH161" s="12">
        <v>19064.017578125</v>
      </c>
      <c r="AI161" s="12">
        <v>4095.6103515625</v>
      </c>
      <c r="AJ161" s="12">
        <v>2008.4039306640625</v>
      </c>
      <c r="AK161" s="12">
        <v>1724.9090576171875</v>
      </c>
      <c r="AL161" s="12">
        <v>1848.67138671875</v>
      </c>
      <c r="AM161" s="12">
        <v>5788.35546875</v>
      </c>
      <c r="AN161" s="12">
        <v>2770.487548828125</v>
      </c>
      <c r="AO161" s="12">
        <v>4167.0185546875</v>
      </c>
      <c r="AP161" s="12">
        <v>2312.7490234375</v>
      </c>
      <c r="AQ161" s="12">
        <v>1880.8536376953125</v>
      </c>
      <c r="AR161" s="12">
        <v>631.43524169921875</v>
      </c>
      <c r="AS161" s="12">
        <v>1953.4168701171875</v>
      </c>
      <c r="AT161" s="12">
        <v>920.0291748046875</v>
      </c>
      <c r="AU161" s="12">
        <v>1462.7215576171875</v>
      </c>
      <c r="AV161" s="12">
        <v>1859.708740234375</v>
      </c>
      <c r="AW161" s="12">
        <v>567.578857421875</v>
      </c>
      <c r="AX161" s="12">
        <v>532.490234375</v>
      </c>
      <c r="AY161" s="12">
        <v>5614.2490234375</v>
      </c>
      <c r="AZ161" s="12">
        <v>774.6304931640625</v>
      </c>
      <c r="BA161" s="12">
        <v>4944.4921875</v>
      </c>
      <c r="BB161" s="12">
        <v>4018.45166015625</v>
      </c>
      <c r="BC161" s="12">
        <v>1002.1809692382812</v>
      </c>
      <c r="BD161" s="12">
        <v>3336.411376953125</v>
      </c>
      <c r="BE161" s="12">
        <v>931.1204833984375</v>
      </c>
      <c r="BF161" s="12">
        <v>1480.854248046875</v>
      </c>
      <c r="BG161" s="12">
        <v>2704.3271484375</v>
      </c>
      <c r="BH161" s="12">
        <v>1059.7353515625</v>
      </c>
      <c r="BI161" s="12">
        <v>1023.6024780273438</v>
      </c>
      <c r="BJ161" s="12">
        <v>1190.20751953125</v>
      </c>
      <c r="BK161" s="12">
        <v>292.85427856445312</v>
      </c>
      <c r="BL161" s="12">
        <v>790.73333740234375</v>
      </c>
      <c r="BM161" s="12">
        <v>2013.7568359375</v>
      </c>
      <c r="BN161" s="12">
        <v>1260.5849609375</v>
      </c>
      <c r="BO161" s="12">
        <v>787.90460205078125</v>
      </c>
      <c r="BP161" s="12">
        <v>1734.371337890625</v>
      </c>
      <c r="BQ161" s="12"/>
      <c r="BR161" s="12"/>
    </row>
    <row r="162" spans="2:70" x14ac:dyDescent="0.2">
      <c r="B162">
        <v>1957</v>
      </c>
      <c r="C162" s="12">
        <v>4211.85888671875</v>
      </c>
      <c r="D162" s="12">
        <v>7112.138671875</v>
      </c>
      <c r="E162" s="12">
        <v>13125.61328125</v>
      </c>
      <c r="F162" s="12">
        <v>4327.8994140625</v>
      </c>
      <c r="G162" s="12">
        <v>2846.00537109375</v>
      </c>
      <c r="H162" s="12">
        <v>1727.3739013671875</v>
      </c>
      <c r="I162" s="12">
        <v>4038.7802734375</v>
      </c>
      <c r="J162" s="12">
        <v>1491.1322021484375</v>
      </c>
      <c r="K162" s="12">
        <v>1027.0120849609375</v>
      </c>
      <c r="L162" s="12">
        <v>9280.6748046875</v>
      </c>
      <c r="M162" s="12">
        <v>11437.341796875</v>
      </c>
      <c r="N162" s="12">
        <v>6767.7412109375</v>
      </c>
      <c r="O162" s="12">
        <v>9599.669921875</v>
      </c>
      <c r="P162" s="12">
        <v>10557.880859375</v>
      </c>
      <c r="Q162" s="12">
        <v>8807.8369140625</v>
      </c>
      <c r="R162" s="12">
        <v>10795.5068359375</v>
      </c>
      <c r="S162" s="12">
        <v>13809.4853515625</v>
      </c>
      <c r="T162" s="12">
        <v>10146.95703125</v>
      </c>
      <c r="U162" s="12">
        <v>8398.2509765625</v>
      </c>
      <c r="V162" s="12">
        <v>3376.766357421875</v>
      </c>
      <c r="W162" s="12">
        <v>14209.9521484375</v>
      </c>
      <c r="X162" s="12">
        <v>11539.9638671875</v>
      </c>
      <c r="Y162" s="12">
        <v>12361.7900390625</v>
      </c>
      <c r="Z162" s="12">
        <v>11818.3515625</v>
      </c>
      <c r="AA162" s="12">
        <v>3042.7392578125</v>
      </c>
      <c r="AB162" s="12">
        <v>8489.361328125</v>
      </c>
      <c r="AC162" s="12">
        <v>2729.226806640625</v>
      </c>
      <c r="AD162" s="12">
        <v>4029.3603515625</v>
      </c>
      <c r="AE162" s="12">
        <v>3139.277587890625</v>
      </c>
      <c r="AF162" s="12">
        <v>5030.36669921875</v>
      </c>
      <c r="AG162" s="12">
        <v>2951.244384765625</v>
      </c>
      <c r="AH162" s="12">
        <v>18932.728515625</v>
      </c>
      <c r="AI162" s="12">
        <v>4472.54052734375</v>
      </c>
      <c r="AJ162" s="12">
        <v>2083.009521484375</v>
      </c>
      <c r="AK162" s="12">
        <v>1928.4058837890625</v>
      </c>
      <c r="AL162" s="12">
        <v>1809.141845703125</v>
      </c>
      <c r="AM162" s="12">
        <v>5882.62841796875</v>
      </c>
      <c r="AN162" s="12">
        <v>2921.348876953125</v>
      </c>
      <c r="AO162" s="12">
        <v>4262.248046875</v>
      </c>
      <c r="AP162" s="12">
        <v>2363.8173828125</v>
      </c>
      <c r="AQ162" s="12">
        <v>1911.3984375</v>
      </c>
      <c r="AR162" s="12">
        <v>614.2750244140625</v>
      </c>
      <c r="AS162" s="12">
        <v>1977.9537353515625</v>
      </c>
      <c r="AT162" s="12">
        <v>935.356201171875</v>
      </c>
      <c r="AU162" s="12">
        <v>1503.11669921875</v>
      </c>
      <c r="AV162" s="12">
        <v>1902.38427734375</v>
      </c>
      <c r="AW162" s="12">
        <v>575.949951171875</v>
      </c>
      <c r="AX162" s="12">
        <v>507.9793701171875</v>
      </c>
      <c r="AY162" s="12">
        <v>5689.87744140625</v>
      </c>
      <c r="AZ162" s="12">
        <v>786.32891845703125</v>
      </c>
      <c r="BA162" s="12">
        <v>5186.552734375</v>
      </c>
      <c r="BB162" s="12">
        <v>4215.17822265625</v>
      </c>
      <c r="BC162" s="12">
        <v>1010.6854248046875</v>
      </c>
      <c r="BD162" s="12">
        <v>3693.164306640625</v>
      </c>
      <c r="BE162" s="12">
        <v>990.086669921875</v>
      </c>
      <c r="BF162" s="12">
        <v>1534.1890869140625</v>
      </c>
      <c r="BG162" s="12">
        <v>2811.8154296875</v>
      </c>
      <c r="BH162" s="12">
        <v>1017.2059936523438</v>
      </c>
      <c r="BI162" s="12">
        <v>904.31805419921875</v>
      </c>
      <c r="BJ162" s="12">
        <v>1242.4234619140625</v>
      </c>
      <c r="BK162" s="12">
        <v>304.57281494140625</v>
      </c>
      <c r="BL162" s="12">
        <v>795.33331298828125</v>
      </c>
      <c r="BM162" s="12">
        <v>2053.069580078125</v>
      </c>
      <c r="BN162" s="12">
        <v>1232.4365234375</v>
      </c>
      <c r="BO162" s="12">
        <v>799.5706787109375</v>
      </c>
      <c r="BP162" s="12">
        <v>1627.0606689453125</v>
      </c>
      <c r="BQ162" s="12"/>
      <c r="BR162" s="12"/>
    </row>
    <row r="163" spans="2:70" x14ac:dyDescent="0.2">
      <c r="B163">
        <v>1958</v>
      </c>
      <c r="C163" s="12">
        <v>4202.46240234375</v>
      </c>
      <c r="D163" s="12">
        <v>7230.15625</v>
      </c>
      <c r="E163" s="12">
        <v>12762.52734375</v>
      </c>
      <c r="F163" s="12">
        <v>4539.76025390625</v>
      </c>
      <c r="G163" s="12">
        <v>2927.123779296875</v>
      </c>
      <c r="H163" s="12">
        <v>1704.4803466796875</v>
      </c>
      <c r="I163" s="12">
        <v>4250.23681640625</v>
      </c>
      <c r="J163" s="12">
        <v>1499.742431640625</v>
      </c>
      <c r="K163" s="12">
        <v>1034.43359375</v>
      </c>
      <c r="L163" s="12">
        <v>9602.130859375</v>
      </c>
      <c r="M163" s="12">
        <v>11741.5927734375</v>
      </c>
      <c r="N163" s="12">
        <v>7130.59521484375</v>
      </c>
      <c r="O163" s="12">
        <v>9535.0712890625</v>
      </c>
      <c r="P163" s="12">
        <v>10635.0908203125</v>
      </c>
      <c r="Q163" s="12">
        <v>9171.5966796875</v>
      </c>
      <c r="R163" s="12">
        <v>10627.0126953125</v>
      </c>
      <c r="S163" s="12">
        <v>12940.576171875</v>
      </c>
      <c r="T163" s="12">
        <v>10040.4833984375</v>
      </c>
      <c r="U163" s="12">
        <v>8546.1416015625</v>
      </c>
      <c r="V163" s="12">
        <v>3438.716796875</v>
      </c>
      <c r="W163" s="12">
        <v>13794.90234375</v>
      </c>
      <c r="X163" s="12">
        <v>11398.681640625</v>
      </c>
      <c r="Y163" s="12">
        <v>12143.580078125</v>
      </c>
      <c r="Z163" s="12">
        <v>12002.177734375</v>
      </c>
      <c r="AA163" s="12">
        <v>2977.10009765625</v>
      </c>
      <c r="AB163" s="12">
        <v>8939.3115234375</v>
      </c>
      <c r="AC163" s="12">
        <v>2861.521240234375</v>
      </c>
      <c r="AD163" s="12">
        <v>4164.822265625</v>
      </c>
      <c r="AE163" s="12">
        <v>3287.459716796875</v>
      </c>
      <c r="AF163" s="12">
        <v>5307.83935546875</v>
      </c>
      <c r="AG163" s="12">
        <v>3090.066650390625</v>
      </c>
      <c r="AH163" s="12">
        <v>18985.2265625</v>
      </c>
      <c r="AI163" s="12">
        <v>4525.28759765625</v>
      </c>
      <c r="AJ163" s="12">
        <v>2134.34912109375</v>
      </c>
      <c r="AK163" s="12">
        <v>2102.666748046875</v>
      </c>
      <c r="AL163" s="12">
        <v>1770.2794189453125</v>
      </c>
      <c r="AM163" s="12">
        <v>6045.9169921875</v>
      </c>
      <c r="AN163" s="12">
        <v>2976.329345703125</v>
      </c>
      <c r="AO163" s="12">
        <v>4387.54052734375</v>
      </c>
      <c r="AP163" s="12">
        <v>2262.433837890625</v>
      </c>
      <c r="AQ163" s="12">
        <v>1939.87353515625</v>
      </c>
      <c r="AR163" s="12">
        <v>622.726806640625</v>
      </c>
      <c r="AS163" s="12">
        <v>1960.92822265625</v>
      </c>
      <c r="AT163" s="12">
        <v>951.8980712890625</v>
      </c>
      <c r="AU163" s="12">
        <v>1546.3231201171875</v>
      </c>
      <c r="AV163" s="12">
        <v>1842.4383544921875</v>
      </c>
      <c r="AW163" s="12">
        <v>578.25616455078125</v>
      </c>
      <c r="AX163" s="12">
        <v>514.709716796875</v>
      </c>
      <c r="AY163" s="12">
        <v>5651.84228515625</v>
      </c>
      <c r="AZ163" s="12">
        <v>774.43841552734375</v>
      </c>
      <c r="BA163" s="12">
        <v>5458.66259765625</v>
      </c>
      <c r="BB163" s="12">
        <v>4436.326171875</v>
      </c>
      <c r="BC163" s="12">
        <v>1000.98583984375</v>
      </c>
      <c r="BD163" s="12">
        <v>3816.3046875</v>
      </c>
      <c r="BE163" s="12">
        <v>1022.2593383789062</v>
      </c>
      <c r="BF163" s="12">
        <v>1578.8365478515625</v>
      </c>
      <c r="BG163" s="12">
        <v>2810.579345703125</v>
      </c>
      <c r="BH163" s="12">
        <v>975.4898681640625</v>
      </c>
      <c r="BI163" s="12">
        <v>943.4776611328125</v>
      </c>
      <c r="BJ163" s="12">
        <v>1156.0618896484375</v>
      </c>
      <c r="BK163" s="12">
        <v>286.23907470703125</v>
      </c>
      <c r="BL163" s="12">
        <v>779.31890869140625</v>
      </c>
      <c r="BM163" s="12">
        <v>2048.149658203125</v>
      </c>
      <c r="BN163" s="12">
        <v>1237.1072998046875</v>
      </c>
      <c r="BO163" s="12">
        <v>810.1357421875</v>
      </c>
      <c r="BP163" s="12">
        <v>1651.15087890625</v>
      </c>
      <c r="BQ163" s="12"/>
      <c r="BR163" s="12"/>
    </row>
    <row r="164" spans="2:70" x14ac:dyDescent="0.2">
      <c r="B164">
        <v>1959</v>
      </c>
      <c r="C164" s="12">
        <v>4352.1611328125</v>
      </c>
      <c r="D164" s="12">
        <v>7521.689453125</v>
      </c>
      <c r="E164" s="12">
        <v>13461.2392578125</v>
      </c>
      <c r="F164" s="12">
        <v>4555.57373046875</v>
      </c>
      <c r="G164" s="12">
        <v>3080.502685546875</v>
      </c>
      <c r="H164" s="12">
        <v>1744.8779296875</v>
      </c>
      <c r="I164" s="12">
        <v>4417.09765625</v>
      </c>
      <c r="J164" s="12">
        <v>1528.7720947265625</v>
      </c>
      <c r="K164" s="12">
        <v>1021.1614990234375</v>
      </c>
      <c r="L164" s="12">
        <v>10258.2939453125</v>
      </c>
      <c r="M164" s="12">
        <v>12684.248046875</v>
      </c>
      <c r="N164" s="12">
        <v>6889.54150390625</v>
      </c>
      <c r="O164" s="12">
        <v>9693.2294921875</v>
      </c>
      <c r="P164" s="12">
        <v>11038.0146484375</v>
      </c>
      <c r="Q164" s="12">
        <v>9713.8349609375</v>
      </c>
      <c r="R164" s="12">
        <v>11216.9013671875</v>
      </c>
      <c r="S164" s="12">
        <v>13309.4365234375</v>
      </c>
      <c r="T164" s="12">
        <v>10433.666015625</v>
      </c>
      <c r="U164" s="12">
        <v>8864.4443359375</v>
      </c>
      <c r="V164" s="12">
        <v>3571.279052734375</v>
      </c>
      <c r="W164" s="12">
        <v>14603.1435546875</v>
      </c>
      <c r="X164" s="12">
        <v>11662.265625</v>
      </c>
      <c r="Y164" s="12">
        <v>12585.9150390625</v>
      </c>
      <c r="Z164" s="12">
        <v>12531.26953125</v>
      </c>
      <c r="AA164" s="12">
        <v>3126.998046875</v>
      </c>
      <c r="AB164" s="12">
        <v>7862.61181640625</v>
      </c>
      <c r="AC164" s="12">
        <v>3309.147216796875</v>
      </c>
      <c r="AD164" s="12">
        <v>3777.77587890625</v>
      </c>
      <c r="AE164" s="12">
        <v>3438.77587890625</v>
      </c>
      <c r="AF164" s="12">
        <v>5442.9072265625</v>
      </c>
      <c r="AG164" s="12">
        <v>3111.55859375</v>
      </c>
      <c r="AH164" s="12">
        <v>20018.5234375</v>
      </c>
      <c r="AI164" s="12">
        <v>5288.65576171875</v>
      </c>
      <c r="AJ164" s="12">
        <v>2184.130126953125</v>
      </c>
      <c r="AK164" s="12">
        <v>2222.906005859375</v>
      </c>
      <c r="AL164" s="12">
        <v>1731.2979736328125</v>
      </c>
      <c r="AM164" s="12">
        <v>6557.7998046875</v>
      </c>
      <c r="AN164" s="12">
        <v>3036.4013671875</v>
      </c>
      <c r="AO164" s="12">
        <v>4609.22119140625</v>
      </c>
      <c r="AP164" s="12">
        <v>2321.016357421875</v>
      </c>
      <c r="AQ164" s="12">
        <v>1958.567138671875</v>
      </c>
      <c r="AR164" s="12">
        <v>628.70098876953125</v>
      </c>
      <c r="AS164" s="12">
        <v>1968.7880859375</v>
      </c>
      <c r="AT164" s="12">
        <v>969.80450439453125</v>
      </c>
      <c r="AU164" s="12">
        <v>1586.6168212890625</v>
      </c>
      <c r="AV164" s="12">
        <v>1890.3077392578125</v>
      </c>
      <c r="AW164" s="12">
        <v>598.1373291015625</v>
      </c>
      <c r="AX164" s="12">
        <v>563.25543212890625</v>
      </c>
      <c r="AY164" s="12">
        <v>5762.2822265625</v>
      </c>
      <c r="AZ164" s="12">
        <v>791.86944580078125</v>
      </c>
      <c r="BA164" s="12">
        <v>5673.78076171875</v>
      </c>
      <c r="BB164" s="12">
        <v>4611.14794921875</v>
      </c>
      <c r="BC164" s="12">
        <v>956.82470703125</v>
      </c>
      <c r="BD164" s="12">
        <v>4218.064453125</v>
      </c>
      <c r="BE164" s="12">
        <v>1043.4647216796875</v>
      </c>
      <c r="BF164" s="12">
        <v>1626.8724365234375</v>
      </c>
      <c r="BG164" s="12">
        <v>2838.001220703125</v>
      </c>
      <c r="BH164" s="12">
        <v>1007.2263793945312</v>
      </c>
      <c r="BI164" s="12">
        <v>895.8095703125</v>
      </c>
      <c r="BJ164" s="12">
        <v>1173.7740478515625</v>
      </c>
      <c r="BK164" s="12">
        <v>330.68563842773438</v>
      </c>
      <c r="BL164" s="12">
        <v>757.45855712890625</v>
      </c>
      <c r="BM164" s="12">
        <v>2115.805908203125</v>
      </c>
      <c r="BN164" s="12">
        <v>1349.0667724609375</v>
      </c>
      <c r="BO164" s="12">
        <v>816.8316650390625</v>
      </c>
      <c r="BP164" s="12">
        <v>1627.1290283203125</v>
      </c>
      <c r="BQ164" s="12"/>
      <c r="BR164" s="12"/>
    </row>
    <row r="165" spans="2:70" x14ac:dyDescent="0.2">
      <c r="B165">
        <v>1960</v>
      </c>
      <c r="C165" s="12">
        <v>4525.50439453125</v>
      </c>
      <c r="D165" s="12">
        <v>8075.564453125</v>
      </c>
      <c r="E165" s="12">
        <v>13574.638671875</v>
      </c>
      <c r="F165" s="12">
        <v>4878.94775390625</v>
      </c>
      <c r="G165" s="12">
        <v>3222.28369140625</v>
      </c>
      <c r="H165" s="12">
        <v>1781.8963623046875</v>
      </c>
      <c r="I165" s="12">
        <v>4596.357421875</v>
      </c>
      <c r="J165" s="12">
        <v>1591.7086181640625</v>
      </c>
      <c r="K165" s="12">
        <v>1050.608642578125</v>
      </c>
      <c r="L165" s="12">
        <v>11431.119140625</v>
      </c>
      <c r="M165" s="12">
        <v>14271.935546875</v>
      </c>
      <c r="N165" s="12">
        <v>6892.6552734375</v>
      </c>
      <c r="O165" s="12">
        <v>10262.0048828125</v>
      </c>
      <c r="P165" s="12">
        <v>11394.84765625</v>
      </c>
      <c r="Q165" s="12">
        <v>10343.2353515625</v>
      </c>
      <c r="R165" s="12">
        <v>13038.25390625</v>
      </c>
      <c r="S165" s="12">
        <v>14330.36328125</v>
      </c>
      <c r="T165" s="12">
        <v>13151.3671875</v>
      </c>
      <c r="U165" s="12">
        <v>9391.720703125</v>
      </c>
      <c r="V165" s="12">
        <v>3849.252685546875</v>
      </c>
      <c r="W165" s="12">
        <v>14714.279296875</v>
      </c>
      <c r="X165" s="12">
        <v>11666.6884765625</v>
      </c>
      <c r="Y165" s="12">
        <v>13308.8525390625</v>
      </c>
      <c r="Z165" s="12">
        <v>12191.509765625</v>
      </c>
      <c r="AA165" s="12">
        <v>3343.89501953125</v>
      </c>
      <c r="AB165" s="12">
        <v>8009.86572265625</v>
      </c>
      <c r="AC165" s="12">
        <v>3657.575439453125</v>
      </c>
      <c r="AD165" s="12">
        <v>4161.7109375</v>
      </c>
      <c r="AE165" s="12">
        <v>3531.248046875</v>
      </c>
      <c r="AF165" s="12">
        <v>5969.02734375</v>
      </c>
      <c r="AG165" s="12">
        <v>3326.065673828125</v>
      </c>
      <c r="AH165" s="12">
        <v>20908.751953125</v>
      </c>
      <c r="AI165" s="12">
        <v>5535.92041015625</v>
      </c>
      <c r="AJ165" s="12">
        <v>2229.917236328125</v>
      </c>
      <c r="AK165" s="12">
        <v>2570.824462890625</v>
      </c>
      <c r="AL165" s="12">
        <v>1684.5859375</v>
      </c>
      <c r="AM165" s="12">
        <v>7781.166015625</v>
      </c>
      <c r="AN165" s="12">
        <v>3045.05908203125</v>
      </c>
      <c r="AO165" s="12">
        <v>4830.720703125</v>
      </c>
      <c r="AP165" s="12">
        <v>2406.000244140625</v>
      </c>
      <c r="AQ165" s="12">
        <v>2059.04638671875</v>
      </c>
      <c r="AR165" s="12">
        <v>646.939697265625</v>
      </c>
      <c r="AS165" s="12">
        <v>2005.7525634765625</v>
      </c>
      <c r="AT165" s="12">
        <v>975.268310546875</v>
      </c>
      <c r="AU165" s="12">
        <v>1672.9034423828125</v>
      </c>
      <c r="AV165" s="12">
        <v>1935.2989501953125</v>
      </c>
      <c r="AW165" s="12">
        <v>593.39306640625</v>
      </c>
      <c r="AX165" s="12">
        <v>574.68817138671875</v>
      </c>
      <c r="AY165" s="12">
        <v>5838.70849609375</v>
      </c>
      <c r="AZ165" s="12">
        <v>806.96527099609375</v>
      </c>
      <c r="BA165" s="12">
        <v>5905.029296875</v>
      </c>
      <c r="BB165" s="12">
        <v>4798.8271484375</v>
      </c>
      <c r="BC165" s="12">
        <v>905.40618896484375</v>
      </c>
      <c r="BD165" s="12">
        <v>4843.93701171875</v>
      </c>
      <c r="BE165" s="12">
        <v>1041.3218994140625</v>
      </c>
      <c r="BF165" s="12">
        <v>1653.3055419921875</v>
      </c>
      <c r="BG165" s="12">
        <v>2918.047119140625</v>
      </c>
      <c r="BH165" s="12">
        <v>1044.1036376953125</v>
      </c>
      <c r="BI165" s="12">
        <v>932.3057861328125</v>
      </c>
      <c r="BJ165" s="12">
        <v>1192.23583984375</v>
      </c>
      <c r="BK165" s="12">
        <v>331.40936279296875</v>
      </c>
      <c r="BL165" s="12">
        <v>758.06561279296875</v>
      </c>
      <c r="BM165" s="12">
        <v>2062.8515625</v>
      </c>
      <c r="BN165" s="12">
        <v>1470.8343505859375</v>
      </c>
      <c r="BO165" s="12">
        <v>817.155029296875</v>
      </c>
      <c r="BP165" s="12">
        <v>1669.901611328125</v>
      </c>
      <c r="BQ165" s="12"/>
      <c r="BR165" s="12"/>
    </row>
    <row r="166" spans="2:70" x14ac:dyDescent="0.2">
      <c r="B166">
        <v>1961</v>
      </c>
      <c r="C166" s="12">
        <v>4587.322265625</v>
      </c>
      <c r="D166" s="12">
        <v>8450.9814453125</v>
      </c>
      <c r="E166" s="12">
        <v>13657.728515625</v>
      </c>
      <c r="F166" s="12">
        <v>5045.44482421875</v>
      </c>
      <c r="G166" s="12">
        <v>3148.713134765625</v>
      </c>
      <c r="H166" s="12">
        <v>1741.0181884765625</v>
      </c>
      <c r="I166" s="12">
        <v>4838.45068359375</v>
      </c>
      <c r="J166" s="12">
        <v>1428.8614501953125</v>
      </c>
      <c r="K166" s="12">
        <v>1072.1214599609375</v>
      </c>
      <c r="L166" s="12">
        <v>12009.447265625</v>
      </c>
      <c r="M166" s="12">
        <v>15164.279296875</v>
      </c>
      <c r="N166" s="12">
        <v>7669.26416015625</v>
      </c>
      <c r="O166" s="12">
        <v>10643.5205078125</v>
      </c>
      <c r="P166" s="12">
        <v>11602.353515625</v>
      </c>
      <c r="Q166" s="12">
        <v>11141.7197265625</v>
      </c>
      <c r="R166" s="12">
        <v>12919.2568359375</v>
      </c>
      <c r="S166" s="12">
        <v>15168.7080078125</v>
      </c>
      <c r="T166" s="12">
        <v>13776.93359375</v>
      </c>
      <c r="U166" s="12">
        <v>9868.4765625</v>
      </c>
      <c r="V166" s="12">
        <v>4046.758056640625</v>
      </c>
      <c r="W166" s="12">
        <v>14799.1826171875</v>
      </c>
      <c r="X166" s="12">
        <v>11802.0625</v>
      </c>
      <c r="Y166" s="12">
        <v>13348.8544921875</v>
      </c>
      <c r="Z166" s="12">
        <v>12566.193359375</v>
      </c>
      <c r="AA166" s="12">
        <v>3364.81591796875</v>
      </c>
      <c r="AB166" s="12">
        <v>8304.509765625</v>
      </c>
      <c r="AC166" s="12">
        <v>3862.2275390625</v>
      </c>
      <c r="AD166" s="12">
        <v>4282.541015625</v>
      </c>
      <c r="AE166" s="12">
        <v>3628.732666015625</v>
      </c>
      <c r="AF166" s="12">
        <v>6073.68994140625</v>
      </c>
      <c r="AG166" s="12">
        <v>3437.447998046875</v>
      </c>
      <c r="AH166" s="12">
        <v>21589.328125</v>
      </c>
      <c r="AI166" s="12">
        <v>4646.77587890625</v>
      </c>
      <c r="AJ166" s="12">
        <v>2285.257080078125</v>
      </c>
      <c r="AK166" s="12">
        <v>2752.408935546875</v>
      </c>
      <c r="AL166" s="12">
        <v>1603.50732421875</v>
      </c>
      <c r="AM166" s="12">
        <v>8522.58203125</v>
      </c>
      <c r="AN166" s="12">
        <v>2992.41357421875</v>
      </c>
      <c r="AO166" s="12">
        <v>4514.85107421875</v>
      </c>
      <c r="AP166" s="12">
        <v>2065.720458984375</v>
      </c>
      <c r="AQ166" s="12">
        <v>2207.795166015625</v>
      </c>
      <c r="AR166" s="12">
        <v>665.8031005859375</v>
      </c>
      <c r="AS166" s="12">
        <v>1759.4459228515625</v>
      </c>
      <c r="AT166" s="12">
        <v>961.91131591796875</v>
      </c>
      <c r="AU166" s="12">
        <v>1696.67822265625</v>
      </c>
      <c r="AV166" s="12">
        <v>1896.889404296875</v>
      </c>
      <c r="AW166" s="12">
        <v>551.0220947265625</v>
      </c>
      <c r="AX166" s="12">
        <v>555.5032958984375</v>
      </c>
      <c r="AY166" s="12">
        <v>5889.68798828125</v>
      </c>
      <c r="AZ166" s="12">
        <v>789.4481201171875</v>
      </c>
      <c r="BA166" s="12">
        <v>6217.0205078125</v>
      </c>
      <c r="BB166" s="12">
        <v>5052.333984375</v>
      </c>
      <c r="BC166" s="12">
        <v>593.0389404296875</v>
      </c>
      <c r="BD166" s="12">
        <v>5353.1630859375</v>
      </c>
      <c r="BE166" s="12">
        <v>1090.5159912109375</v>
      </c>
      <c r="BF166" s="12">
        <v>1710.004638671875</v>
      </c>
      <c r="BG166" s="12">
        <v>2629.0537109375</v>
      </c>
      <c r="BH166" s="12">
        <v>1077.4500732421875</v>
      </c>
      <c r="BI166" s="12">
        <v>944.66583251953125</v>
      </c>
      <c r="BJ166" s="12">
        <v>1230.5009765625</v>
      </c>
      <c r="BK166" s="12">
        <v>323.61016845703125</v>
      </c>
      <c r="BL166" s="12">
        <v>779.8839111328125</v>
      </c>
      <c r="BM166" s="12">
        <v>2119.748046875</v>
      </c>
      <c r="BN166" s="12">
        <v>1515.2171630859375</v>
      </c>
      <c r="BO166" s="12">
        <v>829.0474853515625</v>
      </c>
      <c r="BP166" s="12">
        <v>1700.9326171875</v>
      </c>
      <c r="BQ166" s="12"/>
      <c r="BR166" s="12"/>
    </row>
    <row r="167" spans="2:70" x14ac:dyDescent="0.2">
      <c r="B167">
        <v>1962</v>
      </c>
      <c r="C167" s="12">
        <v>4751.64990234375</v>
      </c>
      <c r="D167" s="12">
        <v>8780.8583984375</v>
      </c>
      <c r="E167" s="12">
        <v>14270.11328125</v>
      </c>
      <c r="F167" s="12">
        <v>5083.4375</v>
      </c>
      <c r="G167" s="12">
        <v>3167.14794921875</v>
      </c>
      <c r="H167" s="12">
        <v>1822.775634765625</v>
      </c>
      <c r="I167" s="12">
        <v>5123.10107421875</v>
      </c>
      <c r="J167" s="12">
        <v>1520.6336669921875</v>
      </c>
      <c r="K167" s="12">
        <v>1082.9786376953125</v>
      </c>
      <c r="L167" s="12">
        <v>12474.0673828125</v>
      </c>
      <c r="M167" s="12">
        <v>15770.7919921875</v>
      </c>
      <c r="N167" s="12">
        <v>8404.224609375</v>
      </c>
      <c r="O167" s="12">
        <v>11244.5146484375</v>
      </c>
      <c r="P167" s="12">
        <v>11656.32421875</v>
      </c>
      <c r="Q167" s="12">
        <v>11735.2548828125</v>
      </c>
      <c r="R167" s="12">
        <v>13475.3212890625</v>
      </c>
      <c r="S167" s="12">
        <v>15440.9267578125</v>
      </c>
      <c r="T167" s="12">
        <v>14240.2978515625</v>
      </c>
      <c r="U167" s="12">
        <v>10266.005859375</v>
      </c>
      <c r="V167" s="12">
        <v>4199.31103515625</v>
      </c>
      <c r="W167" s="12">
        <v>15479.140625</v>
      </c>
      <c r="X167" s="12">
        <v>12656.466796875</v>
      </c>
      <c r="Y167" s="12">
        <v>13277.240234375</v>
      </c>
      <c r="Z167" s="12">
        <v>12609.6572265625</v>
      </c>
      <c r="AA167" s="12">
        <v>3491.575439453125</v>
      </c>
      <c r="AB167" s="12">
        <v>8055.109375</v>
      </c>
      <c r="AC167" s="12">
        <v>4003.018310546875</v>
      </c>
      <c r="AD167" s="12">
        <v>4339.748046875</v>
      </c>
      <c r="AE167" s="12">
        <v>3708.1806640625</v>
      </c>
      <c r="AF167" s="12">
        <v>6146.58154296875</v>
      </c>
      <c r="AG167" s="12">
        <v>3472.522216796875</v>
      </c>
      <c r="AH167" s="12">
        <v>22543.48046875</v>
      </c>
      <c r="AI167" s="12">
        <v>3614.34814453125</v>
      </c>
      <c r="AJ167" s="12">
        <v>2310.046875</v>
      </c>
      <c r="AK167" s="12">
        <v>2889.164306640625</v>
      </c>
      <c r="AL167" s="12">
        <v>1751.4737548828125</v>
      </c>
      <c r="AM167" s="12">
        <v>9163.36328125</v>
      </c>
      <c r="AN167" s="12">
        <v>3077.43603515625</v>
      </c>
      <c r="AO167" s="12">
        <v>4530.36083984375</v>
      </c>
      <c r="AP167" s="12">
        <v>2475.0556640625</v>
      </c>
      <c r="AQ167" s="12">
        <v>2116.334716796875</v>
      </c>
      <c r="AR167" s="12">
        <v>677.062255859375</v>
      </c>
      <c r="AS167" s="12">
        <v>1863.612060546875</v>
      </c>
      <c r="AT167" s="12">
        <v>944.887451171875</v>
      </c>
      <c r="AU167" s="12">
        <v>1821.873779296875</v>
      </c>
      <c r="AV167" s="12">
        <v>1932.111572265625</v>
      </c>
      <c r="AW167" s="12">
        <v>602.563720703125</v>
      </c>
      <c r="AX167" s="12">
        <v>576.845703125</v>
      </c>
      <c r="AY167" s="12">
        <v>6073.69677734375</v>
      </c>
      <c r="AZ167" s="12">
        <v>821.7850341796875</v>
      </c>
      <c r="BA167" s="12">
        <v>6584.04638671875</v>
      </c>
      <c r="BB167" s="12">
        <v>5350.36181640625</v>
      </c>
      <c r="BC167" s="12">
        <v>629.21954345703125</v>
      </c>
      <c r="BD167" s="12">
        <v>5741.78564453125</v>
      </c>
      <c r="BE167" s="12">
        <v>1098.951904296875</v>
      </c>
      <c r="BF167" s="12">
        <v>1778.3280029296875</v>
      </c>
      <c r="BG167" s="12">
        <v>2788.951904296875</v>
      </c>
      <c r="BH167" s="12">
        <v>1102.980712890625</v>
      </c>
      <c r="BI167" s="12">
        <v>946.54913330078125</v>
      </c>
      <c r="BJ167" s="12">
        <v>1217.3240966796875</v>
      </c>
      <c r="BK167" s="12">
        <v>331.2877197265625</v>
      </c>
      <c r="BL167" s="12">
        <v>794.6011962890625</v>
      </c>
      <c r="BM167" s="12">
        <v>2145.735107421875</v>
      </c>
      <c r="BN167" s="12">
        <v>1583.5728759765625</v>
      </c>
      <c r="BO167" s="12">
        <v>904.17962646484375</v>
      </c>
      <c r="BP167" s="12">
        <v>1713.6124267578125</v>
      </c>
      <c r="BQ167" s="12"/>
      <c r="BR167" s="12"/>
    </row>
    <row r="168" spans="2:70" x14ac:dyDescent="0.2">
      <c r="B168">
        <v>1963</v>
      </c>
      <c r="C168" s="12">
        <v>4878.400390625</v>
      </c>
      <c r="D168" s="12">
        <v>9095.4619140625</v>
      </c>
      <c r="E168" s="12">
        <v>14695.3515625</v>
      </c>
      <c r="F168" s="12">
        <v>5007.50048828125</v>
      </c>
      <c r="G168" s="12">
        <v>3440.130126953125</v>
      </c>
      <c r="H168" s="12">
        <v>1917.06982421875</v>
      </c>
      <c r="I168" s="12">
        <v>5237.46142578125</v>
      </c>
      <c r="J168" s="12">
        <v>1640.45947265625</v>
      </c>
      <c r="K168" s="12">
        <v>1102.3746337890625</v>
      </c>
      <c r="L168" s="12">
        <v>12618.216796875</v>
      </c>
      <c r="M168" s="12">
        <v>15480.099609375</v>
      </c>
      <c r="N168" s="12">
        <v>9186.7109375</v>
      </c>
      <c r="O168" s="12">
        <v>11809.2900390625</v>
      </c>
      <c r="P168" s="12">
        <v>12119.44140625</v>
      </c>
      <c r="Q168" s="12">
        <v>12257.7744140625</v>
      </c>
      <c r="R168" s="12">
        <v>13791.6728515625</v>
      </c>
      <c r="S168" s="12">
        <v>15815.2041015625</v>
      </c>
      <c r="T168" s="12">
        <v>14904.396484375</v>
      </c>
      <c r="U168" s="12">
        <v>10643.9111328125</v>
      </c>
      <c r="V168" s="12">
        <v>4364.26611328125</v>
      </c>
      <c r="W168" s="12">
        <v>15926.5263671875</v>
      </c>
      <c r="X168" s="12">
        <v>13078.05859375</v>
      </c>
      <c r="Y168" s="12">
        <v>13870.8486328125</v>
      </c>
      <c r="Z168" s="12">
        <v>13180.8125</v>
      </c>
      <c r="AA168" s="12">
        <v>3578.33544921875</v>
      </c>
      <c r="AB168" s="12">
        <v>7392.83251953125</v>
      </c>
      <c r="AC168" s="12">
        <v>3908.79638671875</v>
      </c>
      <c r="AD168" s="12">
        <v>4487.01806640625</v>
      </c>
      <c r="AE168" s="12">
        <v>3702.53076171875</v>
      </c>
      <c r="AF168" s="12">
        <v>6441.47705078125</v>
      </c>
      <c r="AG168" s="12">
        <v>3423.8046875</v>
      </c>
      <c r="AH168" s="12">
        <v>23191.263671875</v>
      </c>
      <c r="AI168" s="12">
        <v>4741.67578125</v>
      </c>
      <c r="AJ168" s="12">
        <v>2484.703857421875</v>
      </c>
      <c r="AK168" s="12">
        <v>2966.700927734375</v>
      </c>
      <c r="AL168" s="12">
        <v>1801.42626953125</v>
      </c>
      <c r="AM168" s="12">
        <v>10862.3623046875</v>
      </c>
      <c r="AN168" s="12">
        <v>3276.684814453125</v>
      </c>
      <c r="AO168" s="12">
        <v>4890.7958984375</v>
      </c>
      <c r="AP168" s="12">
        <v>2539.241455078125</v>
      </c>
      <c r="AQ168" s="12">
        <v>2356.910400390625</v>
      </c>
      <c r="AR168" s="12">
        <v>755.2154541015625</v>
      </c>
      <c r="AS168" s="12">
        <v>1954.4791259765625</v>
      </c>
      <c r="AT168" s="12">
        <v>990.188232421875</v>
      </c>
      <c r="AU168" s="12">
        <v>1941.0904541015625</v>
      </c>
      <c r="AV168" s="12">
        <v>2078.228515625</v>
      </c>
      <c r="AW168" s="12">
        <v>528.58575439453125</v>
      </c>
      <c r="AX168" s="12">
        <v>540.2750244140625</v>
      </c>
      <c r="AY168" s="12">
        <v>6329.2548828125</v>
      </c>
      <c r="AZ168" s="12">
        <v>862.55633544921875</v>
      </c>
      <c r="BA168" s="12">
        <v>6732.48046875</v>
      </c>
      <c r="BB168" s="12">
        <v>5470.70751953125</v>
      </c>
      <c r="BC168" s="12">
        <v>709.34375</v>
      </c>
      <c r="BD168" s="12">
        <v>6139.205078125</v>
      </c>
      <c r="BE168" s="12">
        <v>1171.47265625</v>
      </c>
      <c r="BF168" s="12">
        <v>1876.2020263671875</v>
      </c>
      <c r="BG168" s="12">
        <v>3010.168212890625</v>
      </c>
      <c r="BH168" s="12">
        <v>1060.667236328125</v>
      </c>
      <c r="BI168" s="12">
        <v>979.50872802734375</v>
      </c>
      <c r="BJ168" s="12">
        <v>1156.16357421875</v>
      </c>
      <c r="BK168" s="12">
        <v>369.01632690429688</v>
      </c>
      <c r="BL168" s="12">
        <v>840.41766357421875</v>
      </c>
      <c r="BM168" s="12">
        <v>2245.346435546875</v>
      </c>
      <c r="BN168" s="12">
        <v>1662.5828857421875</v>
      </c>
      <c r="BO168" s="12">
        <v>895.15673828125</v>
      </c>
      <c r="BP168" s="12">
        <v>1738.66796875</v>
      </c>
      <c r="BQ168" s="12"/>
      <c r="BR168" s="12"/>
    </row>
    <row r="169" spans="2:70" x14ac:dyDescent="0.2">
      <c r="B169">
        <v>1964</v>
      </c>
      <c r="C169" s="12">
        <v>5090.97216796875</v>
      </c>
      <c r="D169" s="12">
        <v>9540.291015625</v>
      </c>
      <c r="E169" s="12">
        <v>15353.78515625</v>
      </c>
      <c r="F169" s="12">
        <v>5270.74658203125</v>
      </c>
      <c r="G169" s="12">
        <v>3600.771240234375</v>
      </c>
      <c r="H169" s="12">
        <v>1962.241455078125</v>
      </c>
      <c r="I169" s="12">
        <v>5531.3056640625</v>
      </c>
      <c r="J169" s="12">
        <v>1793.6329345703125</v>
      </c>
      <c r="K169" s="12">
        <v>1142.6728515625</v>
      </c>
      <c r="L169" s="12">
        <v>13382.109375</v>
      </c>
      <c r="M169" s="12">
        <v>16978.63671875</v>
      </c>
      <c r="N169" s="12">
        <v>9527.53515625</v>
      </c>
      <c r="O169" s="12">
        <v>12454.5380859375</v>
      </c>
      <c r="P169" s="12">
        <v>12701.3046875</v>
      </c>
      <c r="Q169" s="12">
        <v>12418.1455078125</v>
      </c>
      <c r="R169" s="12">
        <v>14831.470703125</v>
      </c>
      <c r="S169" s="12">
        <v>16557.458984375</v>
      </c>
      <c r="T169" s="12">
        <v>15833.3037109375</v>
      </c>
      <c r="U169" s="12">
        <v>11161.3583984375</v>
      </c>
      <c r="V169" s="12">
        <v>4578.07958984375</v>
      </c>
      <c r="W169" s="12">
        <v>16644.1484375</v>
      </c>
      <c r="X169" s="12">
        <v>13697.6259765625</v>
      </c>
      <c r="Y169" s="12">
        <v>14459.0283203125</v>
      </c>
      <c r="Z169" s="12">
        <v>13700.544921875</v>
      </c>
      <c r="AA169" s="12">
        <v>3729.453369140625</v>
      </c>
      <c r="AB169" s="12">
        <v>8061.35498046875</v>
      </c>
      <c r="AC169" s="12">
        <v>3908.179931640625</v>
      </c>
      <c r="AD169" s="12">
        <v>4696.78662109375</v>
      </c>
      <c r="AE169" s="12">
        <v>3870.525146484375</v>
      </c>
      <c r="AF169" s="12">
        <v>7010.57470703125</v>
      </c>
      <c r="AG169" s="12">
        <v>3584.58544921875</v>
      </c>
      <c r="AH169" s="12">
        <v>23740.283203125</v>
      </c>
      <c r="AI169" s="12">
        <v>4926.48486328125</v>
      </c>
      <c r="AJ169" s="12">
        <v>2698.14404296875</v>
      </c>
      <c r="AK169" s="12">
        <v>3129.2919921875</v>
      </c>
      <c r="AL169" s="12">
        <v>1777.601806640625</v>
      </c>
      <c r="AM169" s="12">
        <v>11406.115234375</v>
      </c>
      <c r="AN169" s="12">
        <v>3366.998046875</v>
      </c>
      <c r="AO169" s="12">
        <v>5130.44189453125</v>
      </c>
      <c r="AP169" s="12">
        <v>2401.537109375</v>
      </c>
      <c r="AQ169" s="12">
        <v>2662.046875</v>
      </c>
      <c r="AR169" s="12">
        <v>774.12567138671875</v>
      </c>
      <c r="AS169" s="12">
        <v>1966.8681640625</v>
      </c>
      <c r="AT169" s="12">
        <v>1025.7713623046875</v>
      </c>
      <c r="AU169" s="12">
        <v>1882.30078125</v>
      </c>
      <c r="AV169" s="12">
        <v>2132.989990234375</v>
      </c>
      <c r="AW169" s="12">
        <v>448.68408203125</v>
      </c>
      <c r="AX169" s="12">
        <v>515.811279296875</v>
      </c>
      <c r="AY169" s="12">
        <v>6620.89501953125</v>
      </c>
      <c r="AZ169" s="12">
        <v>885.2099609375</v>
      </c>
      <c r="BA169" s="12">
        <v>7111.83349609375</v>
      </c>
      <c r="BB169" s="12">
        <v>5778.73681640625</v>
      </c>
      <c r="BC169" s="12">
        <v>795.3983154296875</v>
      </c>
      <c r="BD169" s="12">
        <v>6707.35009765625</v>
      </c>
      <c r="BE169" s="12">
        <v>1256.138916015625</v>
      </c>
      <c r="BF169" s="12">
        <v>2036.5814208984375</v>
      </c>
      <c r="BG169" s="12">
        <v>3304.23388671875</v>
      </c>
      <c r="BH169" s="12">
        <v>1147.9700927734375</v>
      </c>
      <c r="BI169" s="12">
        <v>1029.508056640625</v>
      </c>
      <c r="BJ169" s="12">
        <v>1163.912109375</v>
      </c>
      <c r="BK169" s="12">
        <v>337.072509765625</v>
      </c>
      <c r="BL169" s="12">
        <v>883.22076416015625</v>
      </c>
      <c r="BM169" s="12">
        <v>2235.590576171875</v>
      </c>
      <c r="BN169" s="12">
        <v>1714.00634765625</v>
      </c>
      <c r="BO169" s="12">
        <v>907.23828125</v>
      </c>
      <c r="BP169" s="12">
        <v>1796.744384765625</v>
      </c>
      <c r="BQ169" s="12"/>
      <c r="BR169" s="12"/>
    </row>
    <row r="170" spans="2:70" x14ac:dyDescent="0.2">
      <c r="B170">
        <v>1965</v>
      </c>
      <c r="C170" s="12">
        <v>5257.40185546875</v>
      </c>
      <c r="D170" s="12">
        <v>9871.2470703125</v>
      </c>
      <c r="E170" s="12">
        <v>16117.0771484375</v>
      </c>
      <c r="F170" s="12">
        <v>5438.97802734375</v>
      </c>
      <c r="G170" s="12">
        <v>3784.92822265625</v>
      </c>
      <c r="H170" s="12">
        <v>1998.105712890625</v>
      </c>
      <c r="I170" s="12">
        <v>5735.9169921875</v>
      </c>
      <c r="J170" s="12">
        <v>1881.9052734375</v>
      </c>
      <c r="K170" s="12">
        <v>1125.1563720703125</v>
      </c>
      <c r="L170" s="12">
        <v>13958.7216796875</v>
      </c>
      <c r="M170" s="12">
        <v>17734.982421875</v>
      </c>
      <c r="N170" s="12">
        <v>10059.2001953125</v>
      </c>
      <c r="O170" s="12">
        <v>12915.021484375</v>
      </c>
      <c r="P170" s="12">
        <v>12876.5029296875</v>
      </c>
      <c r="Q170" s="12">
        <v>12715.22265625</v>
      </c>
      <c r="R170" s="12">
        <v>15866.4970703125</v>
      </c>
      <c r="S170" s="12">
        <v>17227.404296875</v>
      </c>
      <c r="T170" s="12">
        <v>16257.40625</v>
      </c>
      <c r="U170" s="12">
        <v>11547.447265625</v>
      </c>
      <c r="V170" s="12">
        <v>4737.43505859375</v>
      </c>
      <c r="W170" s="12">
        <v>17499.556640625</v>
      </c>
      <c r="X170" s="12">
        <v>14299.890625</v>
      </c>
      <c r="Y170" s="12">
        <v>15005.7890625</v>
      </c>
      <c r="Z170" s="12">
        <v>14070.3828125</v>
      </c>
      <c r="AA170" s="12">
        <v>3787.455810546875</v>
      </c>
      <c r="AB170" s="12">
        <v>8898.2734375</v>
      </c>
      <c r="AC170" s="12">
        <v>3872.76904296875</v>
      </c>
      <c r="AD170" s="12">
        <v>4462.54833984375</v>
      </c>
      <c r="AE170" s="12">
        <v>3881.343505859375</v>
      </c>
      <c r="AF170" s="12">
        <v>7270.73486328125</v>
      </c>
      <c r="AG170" s="12">
        <v>3686.4677734375</v>
      </c>
      <c r="AH170" s="12">
        <v>24145.455078125</v>
      </c>
      <c r="AI170" s="12">
        <v>5142.1025390625</v>
      </c>
      <c r="AJ170" s="12">
        <v>2758.59619140625</v>
      </c>
      <c r="AK170" s="12">
        <v>3497.121337890625</v>
      </c>
      <c r="AL170" s="12">
        <v>1762.8331298828125</v>
      </c>
      <c r="AM170" s="12">
        <v>12394.25</v>
      </c>
      <c r="AN170" s="12">
        <v>3371.19677734375</v>
      </c>
      <c r="AO170" s="12">
        <v>5405.62255859375</v>
      </c>
      <c r="AP170" s="12">
        <v>2357.211669921875</v>
      </c>
      <c r="AQ170" s="12">
        <v>2448.478515625</v>
      </c>
      <c r="AR170" s="12">
        <v>803.22021484375</v>
      </c>
      <c r="AS170" s="12">
        <v>1914.139404296875</v>
      </c>
      <c r="AT170" s="12">
        <v>1016.715576171875</v>
      </c>
      <c r="AU170" s="12">
        <v>1962.2613525390625</v>
      </c>
      <c r="AV170" s="12">
        <v>2187.72021484375</v>
      </c>
      <c r="AW170" s="12">
        <v>469.62942504882812</v>
      </c>
      <c r="AX170" s="12">
        <v>534.98223876953125</v>
      </c>
      <c r="AY170" s="12">
        <v>6795.6748046875</v>
      </c>
      <c r="AZ170" s="12">
        <v>901.5877685546875</v>
      </c>
      <c r="BA170" s="12">
        <v>7376.66748046875</v>
      </c>
      <c r="BB170" s="12">
        <v>5993.69775390625</v>
      </c>
      <c r="BC170" s="12">
        <v>857.7071533203125</v>
      </c>
      <c r="BD170" s="12">
        <v>6991.36865234375</v>
      </c>
      <c r="BE170" s="12">
        <v>1315.3790283203125</v>
      </c>
      <c r="BF170" s="12">
        <v>2189.8603515625</v>
      </c>
      <c r="BG170" s="12">
        <v>3465.9052734375</v>
      </c>
      <c r="BH170" s="12">
        <v>1130.1514892578125</v>
      </c>
      <c r="BI170" s="12">
        <v>980.28363037109375</v>
      </c>
      <c r="BJ170" s="12">
        <v>1152.5557861328125</v>
      </c>
      <c r="BK170" s="12">
        <v>369.4921875</v>
      </c>
      <c r="BL170" s="12">
        <v>994.61474609375</v>
      </c>
      <c r="BM170" s="12">
        <v>2290.42431640625</v>
      </c>
      <c r="BN170" s="12">
        <v>1794.1019287109375</v>
      </c>
      <c r="BO170" s="12">
        <v>887.18719482421875</v>
      </c>
      <c r="BP170" s="12">
        <v>1759.47509765625</v>
      </c>
      <c r="BQ170" s="12"/>
      <c r="BR170" s="12"/>
    </row>
    <row r="171" spans="2:70" x14ac:dyDescent="0.2">
      <c r="B171">
        <v>1966</v>
      </c>
      <c r="C171" s="12">
        <v>5429.8818359375</v>
      </c>
      <c r="D171" s="12">
        <v>10135.31640625</v>
      </c>
      <c r="E171" s="12">
        <v>16910.380859375</v>
      </c>
      <c r="F171" s="12">
        <v>5541.43359375</v>
      </c>
      <c r="G171" s="12">
        <v>4005.134521484375</v>
      </c>
      <c r="H171" s="12">
        <v>2001.35400390625</v>
      </c>
      <c r="I171" s="12">
        <v>6097.10888671875</v>
      </c>
      <c r="J171" s="12">
        <v>2017.5535888671875</v>
      </c>
      <c r="K171" s="12">
        <v>1123.857421875</v>
      </c>
      <c r="L171" s="12">
        <v>14132.7001953125</v>
      </c>
      <c r="M171" s="12">
        <v>17986.798828125</v>
      </c>
      <c r="N171" s="12">
        <v>10714.333984375</v>
      </c>
      <c r="O171" s="12">
        <v>13459.8349609375</v>
      </c>
      <c r="P171" s="12">
        <v>12955.7744140625</v>
      </c>
      <c r="Q171" s="12">
        <v>13431.8232421875</v>
      </c>
      <c r="R171" s="12">
        <v>15997.9013671875</v>
      </c>
      <c r="S171" s="12">
        <v>17681.224609375</v>
      </c>
      <c r="T171" s="12">
        <v>16386.12890625</v>
      </c>
      <c r="U171" s="12">
        <v>11853.224609375</v>
      </c>
      <c r="V171" s="12">
        <v>4886.69580078125</v>
      </c>
      <c r="W171" s="12">
        <v>18407.84375</v>
      </c>
      <c r="X171" s="12">
        <v>14999.6962890625</v>
      </c>
      <c r="Y171" s="12">
        <v>15103.8486328125</v>
      </c>
      <c r="Z171" s="12">
        <v>14424.5888671875</v>
      </c>
      <c r="AA171" s="12">
        <v>3958.032470703125</v>
      </c>
      <c r="AB171" s="12">
        <v>8625.3876953125</v>
      </c>
      <c r="AC171" s="12">
        <v>4029.26025390625</v>
      </c>
      <c r="AD171" s="12">
        <v>5075.74755859375</v>
      </c>
      <c r="AE171" s="12">
        <v>3952.70751953125</v>
      </c>
      <c r="AF171" s="12">
        <v>7468.8671875</v>
      </c>
      <c r="AG171" s="12">
        <v>3757.096923828125</v>
      </c>
      <c r="AH171" s="12">
        <v>24418.92578125</v>
      </c>
      <c r="AI171" s="12">
        <v>4755.1796875</v>
      </c>
      <c r="AJ171" s="12">
        <v>2825.86181640625</v>
      </c>
      <c r="AK171" s="12">
        <v>3818.40380859375</v>
      </c>
      <c r="AL171" s="12">
        <v>1691.6011962890625</v>
      </c>
      <c r="AM171" s="12">
        <v>13836.646484375</v>
      </c>
      <c r="AN171" s="12">
        <v>3670.5654296875</v>
      </c>
      <c r="AO171" s="12">
        <v>5701.517578125</v>
      </c>
      <c r="AP171" s="12">
        <v>2455.554931640625</v>
      </c>
      <c r="AQ171" s="12">
        <v>2659.17333984375</v>
      </c>
      <c r="AR171" s="12">
        <v>816.958740234375</v>
      </c>
      <c r="AS171" s="12">
        <v>2126.107421875</v>
      </c>
      <c r="AT171" s="12">
        <v>1036.9835205078125</v>
      </c>
      <c r="AU171" s="12">
        <v>1899.1806640625</v>
      </c>
      <c r="AV171" s="12">
        <v>2049.343994140625</v>
      </c>
      <c r="AW171" s="12">
        <v>489.49603271484375</v>
      </c>
      <c r="AX171" s="12">
        <v>497.10891723632812</v>
      </c>
      <c r="AY171" s="12">
        <v>6844.6015625</v>
      </c>
      <c r="AZ171" s="12">
        <v>898.57403564453125</v>
      </c>
      <c r="BA171" s="12">
        <v>7843.0693359375</v>
      </c>
      <c r="BB171" s="12">
        <v>6372.5126953125</v>
      </c>
      <c r="BC171" s="12">
        <v>904.02557373046875</v>
      </c>
      <c r="BD171" s="12">
        <v>7675.34033203125</v>
      </c>
      <c r="BE171" s="12">
        <v>1443.9935302734375</v>
      </c>
      <c r="BF171" s="12">
        <v>2306.627197265625</v>
      </c>
      <c r="BG171" s="12">
        <v>3697.57666015625</v>
      </c>
      <c r="BH171" s="12">
        <v>1125.209228515625</v>
      </c>
      <c r="BI171" s="12">
        <v>955.085205078125</v>
      </c>
      <c r="BJ171" s="12">
        <v>1161.54248046875</v>
      </c>
      <c r="BK171" s="12">
        <v>342.6666259765625</v>
      </c>
      <c r="BL171" s="12">
        <v>1030.2200927734375</v>
      </c>
      <c r="BM171" s="12">
        <v>2311.8291015625</v>
      </c>
      <c r="BN171" s="12">
        <v>1945.838134765625</v>
      </c>
      <c r="BO171" s="12">
        <v>879.40386962890625</v>
      </c>
      <c r="BP171" s="12">
        <v>1844.4830322265625</v>
      </c>
      <c r="BQ171" s="12"/>
      <c r="BR171" s="12"/>
    </row>
    <row r="172" spans="2:70" x14ac:dyDescent="0.2">
      <c r="B172">
        <v>1967</v>
      </c>
      <c r="C172" s="12">
        <v>5497.8310546875</v>
      </c>
      <c r="D172" s="12">
        <v>10402.044921875</v>
      </c>
      <c r="E172" s="12">
        <v>17067.1640625</v>
      </c>
      <c r="F172" s="12">
        <v>5628.66064453125</v>
      </c>
      <c r="G172" s="12">
        <v>4182.35888671875</v>
      </c>
      <c r="H172" s="12">
        <v>1941.489013671875</v>
      </c>
      <c r="I172" s="12">
        <v>6458.759765625</v>
      </c>
      <c r="J172" s="12">
        <v>2039.22314453125</v>
      </c>
      <c r="K172" s="12">
        <v>1147.3125</v>
      </c>
      <c r="L172" s="12">
        <v>13981.6083984375</v>
      </c>
      <c r="M172" s="12">
        <v>18816.1953125</v>
      </c>
      <c r="N172" s="12">
        <v>11122.8115234375</v>
      </c>
      <c r="O172" s="12">
        <v>14021.8134765625</v>
      </c>
      <c r="P172" s="12">
        <v>13215.244140625</v>
      </c>
      <c r="Q172" s="12">
        <v>14333.828125</v>
      </c>
      <c r="R172" s="12">
        <v>16663.6640625</v>
      </c>
      <c r="S172" s="12">
        <v>18395.951171875</v>
      </c>
      <c r="T172" s="12">
        <v>16799.4296875</v>
      </c>
      <c r="U172" s="12">
        <v>12144.880859375</v>
      </c>
      <c r="V172" s="12">
        <v>5053.966796875</v>
      </c>
      <c r="W172" s="12">
        <v>18575.42578125</v>
      </c>
      <c r="X172" s="12">
        <v>15137.5224609375</v>
      </c>
      <c r="Y172" s="12">
        <v>15667.6923828125</v>
      </c>
      <c r="Z172" s="12">
        <v>13536.6875</v>
      </c>
      <c r="AA172" s="12">
        <v>3986.171630859375</v>
      </c>
      <c r="AB172" s="12">
        <v>8717.9599609375</v>
      </c>
      <c r="AC172" s="12">
        <v>4065.3291015625</v>
      </c>
      <c r="AD172" s="12">
        <v>5268.64892578125</v>
      </c>
      <c r="AE172" s="12">
        <v>3997.314208984375</v>
      </c>
      <c r="AF172" s="12">
        <v>7656.01953125</v>
      </c>
      <c r="AG172" s="12">
        <v>3812.73828125</v>
      </c>
      <c r="AH172" s="12">
        <v>24448.55859375</v>
      </c>
      <c r="AI172" s="12">
        <v>5078.12548828125</v>
      </c>
      <c r="AJ172" s="12">
        <v>2776.8408203125</v>
      </c>
      <c r="AK172" s="12">
        <v>4026.184814453125</v>
      </c>
      <c r="AL172" s="12">
        <v>1810.803466796875</v>
      </c>
      <c r="AM172" s="12">
        <v>14319.560546875</v>
      </c>
      <c r="AN172" s="12">
        <v>3745.940185546875</v>
      </c>
      <c r="AO172" s="12">
        <v>6028.1494140625</v>
      </c>
      <c r="AP172" s="12">
        <v>2354.037109375</v>
      </c>
      <c r="AQ172" s="12">
        <v>2667.899658203125</v>
      </c>
      <c r="AR172" s="12">
        <v>833.78375244140625</v>
      </c>
      <c r="AS172" s="12">
        <v>2098.448486328125</v>
      </c>
      <c r="AT172" s="12">
        <v>1047.7818603515625</v>
      </c>
      <c r="AU172" s="12">
        <v>1798.0718994140625</v>
      </c>
      <c r="AV172" s="12">
        <v>1663.5479736328125</v>
      </c>
      <c r="AW172" s="12">
        <v>494.33697509765625</v>
      </c>
      <c r="AX172" s="12">
        <v>487.33843994140625</v>
      </c>
      <c r="AY172" s="12">
        <v>7111.27490234375</v>
      </c>
      <c r="AZ172" s="12">
        <v>861.1748046875</v>
      </c>
      <c r="BA172" s="12">
        <v>8310.458984375</v>
      </c>
      <c r="BB172" s="12">
        <v>6751.83935546875</v>
      </c>
      <c r="BC172" s="12">
        <v>803.90264892578125</v>
      </c>
      <c r="BD172" s="12">
        <v>8421.4482421875</v>
      </c>
      <c r="BE172" s="12">
        <v>1534.4095458984375</v>
      </c>
      <c r="BF172" s="12">
        <v>2483.809814453125</v>
      </c>
      <c r="BG172" s="12">
        <v>3688.43798828125</v>
      </c>
      <c r="BH172" s="12">
        <v>1066.9697265625</v>
      </c>
      <c r="BI172" s="12">
        <v>1005.5550537109375</v>
      </c>
      <c r="BJ172" s="12">
        <v>1135.47265625</v>
      </c>
      <c r="BK172" s="12">
        <v>317.11679077148438</v>
      </c>
      <c r="BL172" s="12">
        <v>1035.2724609375</v>
      </c>
      <c r="BM172" s="12">
        <v>2359.787353515625</v>
      </c>
      <c r="BN172" s="12">
        <v>2022.8544921875</v>
      </c>
      <c r="BO172" s="12">
        <v>746.02862548828125</v>
      </c>
      <c r="BP172" s="12">
        <v>1976.989990234375</v>
      </c>
      <c r="BQ172" s="12"/>
      <c r="BR172" s="12"/>
    </row>
    <row r="173" spans="2:70" x14ac:dyDescent="0.2">
      <c r="B173">
        <v>1968</v>
      </c>
      <c r="C173" s="12">
        <v>5698.3154296875</v>
      </c>
      <c r="D173" s="12">
        <v>10923.9111328125</v>
      </c>
      <c r="E173" s="12">
        <v>17663.935546875</v>
      </c>
      <c r="F173" s="12">
        <v>5926.52734375</v>
      </c>
      <c r="G173" s="12">
        <v>4487.4814453125</v>
      </c>
      <c r="H173" s="12">
        <v>1952.435302734375</v>
      </c>
      <c r="I173" s="12">
        <v>6815.5322265625</v>
      </c>
      <c r="J173" s="12">
        <v>2131.00390625</v>
      </c>
      <c r="K173" s="12">
        <v>1185.6624755859375</v>
      </c>
      <c r="L173" s="12">
        <v>14891.1904296875</v>
      </c>
      <c r="M173" s="12">
        <v>19767.69140625</v>
      </c>
      <c r="N173" s="12">
        <v>11654.9052734375</v>
      </c>
      <c r="O173" s="12">
        <v>14478.939453125</v>
      </c>
      <c r="P173" s="12">
        <v>13848.3671875</v>
      </c>
      <c r="Q173" s="12">
        <v>15198.580078125</v>
      </c>
      <c r="R173" s="12">
        <v>17540.76953125</v>
      </c>
      <c r="S173" s="12">
        <v>18781.33984375</v>
      </c>
      <c r="T173" s="12">
        <v>17454.9921875</v>
      </c>
      <c r="U173" s="12">
        <v>12749.701171875</v>
      </c>
      <c r="V173" s="12">
        <v>5307.3759765625</v>
      </c>
      <c r="W173" s="12">
        <v>19241.3359375</v>
      </c>
      <c r="X173" s="12">
        <v>15675.619140625</v>
      </c>
      <c r="Y173" s="12">
        <v>16033.1318359375</v>
      </c>
      <c r="Z173" s="12">
        <v>13598.267578125</v>
      </c>
      <c r="AA173" s="12">
        <v>4108.16064453125</v>
      </c>
      <c r="AB173" s="12">
        <v>8998.7216796875</v>
      </c>
      <c r="AC173" s="12">
        <v>4364.04052734375</v>
      </c>
      <c r="AD173" s="12">
        <v>5202.23193359375</v>
      </c>
      <c r="AE173" s="12">
        <v>4126.748046875</v>
      </c>
      <c r="AF173" s="12">
        <v>8151.0234375</v>
      </c>
      <c r="AG173" s="12">
        <v>4004.499755859375</v>
      </c>
      <c r="AH173" s="12">
        <v>24258.080078125</v>
      </c>
      <c r="AI173" s="12">
        <v>5505.89599609375</v>
      </c>
      <c r="AJ173" s="12">
        <v>2666.2666015625</v>
      </c>
      <c r="AK173" s="12">
        <v>4463.658203125</v>
      </c>
      <c r="AL173" s="12">
        <v>1937.52099609375</v>
      </c>
      <c r="AM173" s="12">
        <v>15833.8759765625</v>
      </c>
      <c r="AN173" s="12">
        <v>3909.437744140625</v>
      </c>
      <c r="AO173" s="12">
        <v>6569.9873046875</v>
      </c>
      <c r="AP173" s="12">
        <v>2389.030517578125</v>
      </c>
      <c r="AQ173" s="12">
        <v>2890.351806640625</v>
      </c>
      <c r="AR173" s="12">
        <v>827.428955078125</v>
      </c>
      <c r="AS173" s="12">
        <v>2182.403076171875</v>
      </c>
      <c r="AT173" s="12">
        <v>1070.178955078125</v>
      </c>
      <c r="AU173" s="12">
        <v>1760.17822265625</v>
      </c>
      <c r="AV173" s="12">
        <v>1604.5079345703125</v>
      </c>
      <c r="AW173" s="12">
        <v>512.9871826171875</v>
      </c>
      <c r="AX173" s="12">
        <v>480.51739501953125</v>
      </c>
      <c r="AY173" s="12">
        <v>7178.56591796875</v>
      </c>
      <c r="AZ173" s="12">
        <v>863.14178466796875</v>
      </c>
      <c r="BA173" s="12">
        <v>8771.7529296875</v>
      </c>
      <c r="BB173" s="12">
        <v>7126.5546875</v>
      </c>
      <c r="BC173" s="12">
        <v>746.33392333984375</v>
      </c>
      <c r="BD173" s="12">
        <v>9398.6650390625</v>
      </c>
      <c r="BE173" s="12">
        <v>1692.1756591796875</v>
      </c>
      <c r="BF173" s="12">
        <v>2645.028564453125</v>
      </c>
      <c r="BG173" s="12">
        <v>3802.13037109375</v>
      </c>
      <c r="BH173" s="12">
        <v>1141.4739990234375</v>
      </c>
      <c r="BI173" s="12">
        <v>1019.2549438476562</v>
      </c>
      <c r="BJ173" s="12">
        <v>1232.0692138671875</v>
      </c>
      <c r="BK173" s="12">
        <v>351.65802001953125</v>
      </c>
      <c r="BL173" s="12">
        <v>1084.5347900390625</v>
      </c>
      <c r="BM173" s="12">
        <v>2403.370849609375</v>
      </c>
      <c r="BN173" s="12">
        <v>2110.683837890625</v>
      </c>
      <c r="BO173" s="12">
        <v>721.7425537109375</v>
      </c>
      <c r="BP173" s="12">
        <v>2054.36669921875</v>
      </c>
      <c r="BQ173" s="12"/>
      <c r="BR173" s="12"/>
    </row>
    <row r="174" spans="2:70" x14ac:dyDescent="0.2">
      <c r="B174">
        <v>1969</v>
      </c>
      <c r="C174" s="12">
        <v>5905.580078125</v>
      </c>
      <c r="D174" s="12">
        <v>11575.15625</v>
      </c>
      <c r="E174" s="12">
        <v>17988.37109375</v>
      </c>
      <c r="F174" s="12">
        <v>6200.31689453125</v>
      </c>
      <c r="G174" s="12">
        <v>4751.68896484375</v>
      </c>
      <c r="H174" s="12">
        <v>2079.79833984375</v>
      </c>
      <c r="I174" s="12">
        <v>6970.2099609375</v>
      </c>
      <c r="J174" s="12">
        <v>2327.910888671875</v>
      </c>
      <c r="K174" s="12">
        <v>1227.4410400390625</v>
      </c>
      <c r="L174" s="12">
        <v>16223.4365234375</v>
      </c>
      <c r="M174" s="12">
        <v>21064.109375</v>
      </c>
      <c r="N174" s="12">
        <v>12577.08984375</v>
      </c>
      <c r="O174" s="12">
        <v>15397.5830078125</v>
      </c>
      <c r="P174" s="12">
        <v>14140.513671875</v>
      </c>
      <c r="Q174" s="12">
        <v>16036.505859375</v>
      </c>
      <c r="R174" s="12">
        <v>18580.525390625</v>
      </c>
      <c r="S174" s="12">
        <v>19550.662109375</v>
      </c>
      <c r="T174" s="12">
        <v>18262.40625</v>
      </c>
      <c r="U174" s="12">
        <v>13514.5654296875</v>
      </c>
      <c r="V174" s="12">
        <v>5631.64208984375</v>
      </c>
      <c r="W174" s="12">
        <v>19564.529296875</v>
      </c>
      <c r="X174" s="12">
        <v>16134.1328125</v>
      </c>
      <c r="Y174" s="12">
        <v>16489.732421875</v>
      </c>
      <c r="Z174" s="12">
        <v>14772.9150390625</v>
      </c>
      <c r="AA174" s="12">
        <v>4201.52978515625</v>
      </c>
      <c r="AB174" s="12">
        <v>9770.5751953125</v>
      </c>
      <c r="AC174" s="12">
        <v>4656.22705078125</v>
      </c>
      <c r="AD174" s="12">
        <v>5499.98583984375</v>
      </c>
      <c r="AE174" s="12">
        <v>4284.32763671875</v>
      </c>
      <c r="AF174" s="12">
        <v>8173.05810546875</v>
      </c>
      <c r="AG174" s="12">
        <v>4185.90478515625</v>
      </c>
      <c r="AH174" s="12">
        <v>23582.3515625</v>
      </c>
      <c r="AI174" s="12">
        <v>5847.83740234375</v>
      </c>
      <c r="AJ174" s="12">
        <v>2742.036376953125</v>
      </c>
      <c r="AK174" s="12">
        <v>4950.23193359375</v>
      </c>
      <c r="AL174" s="12">
        <v>2045.997314453125</v>
      </c>
      <c r="AM174" s="12">
        <v>15342.43359375</v>
      </c>
      <c r="AN174" s="12">
        <v>3977.50439453125</v>
      </c>
      <c r="AO174" s="12">
        <v>7111.19970703125</v>
      </c>
      <c r="AP174" s="12">
        <v>2575.0693359375</v>
      </c>
      <c r="AQ174" s="12">
        <v>3054.57373046875</v>
      </c>
      <c r="AR174" s="12">
        <v>840.9412841796875</v>
      </c>
      <c r="AS174" s="12">
        <v>2277.218994140625</v>
      </c>
      <c r="AT174" s="12">
        <v>1057.96142578125</v>
      </c>
      <c r="AU174" s="12">
        <v>1618.6597900390625</v>
      </c>
      <c r="AV174" s="12">
        <v>1985.8203125</v>
      </c>
      <c r="AW174" s="12">
        <v>554.3289794921875</v>
      </c>
      <c r="AX174" s="12">
        <v>470.89654541015625</v>
      </c>
      <c r="AY174" s="12">
        <v>7331.08837890625</v>
      </c>
      <c r="AZ174" s="12">
        <v>924.1195068359375</v>
      </c>
      <c r="BA174" s="12">
        <v>8972.828125</v>
      </c>
      <c r="BB174" s="12">
        <v>7290.26806640625</v>
      </c>
      <c r="BC174" s="12">
        <v>826.46844482421875</v>
      </c>
      <c r="BD174" s="12">
        <v>10304.9140625</v>
      </c>
      <c r="BE174" s="12">
        <v>1899.8173828125</v>
      </c>
      <c r="BF174" s="12">
        <v>2812.468994140625</v>
      </c>
      <c r="BG174" s="12">
        <v>4182.78076171875</v>
      </c>
      <c r="BH174" s="12">
        <v>1124.615234375</v>
      </c>
      <c r="BI174" s="12">
        <v>1063.3046875</v>
      </c>
      <c r="BJ174" s="12">
        <v>1280.649169921875</v>
      </c>
      <c r="BK174" s="12">
        <v>356.07281494140625</v>
      </c>
      <c r="BL174" s="12">
        <v>1126.8404541015625</v>
      </c>
      <c r="BM174" s="12">
        <v>2444.048583984375</v>
      </c>
      <c r="BN174" s="12">
        <v>2177.133544921875</v>
      </c>
      <c r="BO174" s="12">
        <v>780.13934326171875</v>
      </c>
      <c r="BP174" s="12">
        <v>2138.752685546875</v>
      </c>
      <c r="BQ174" s="12"/>
      <c r="BR174" s="12"/>
    </row>
    <row r="175" spans="2:70" x14ac:dyDescent="0.2">
      <c r="B175">
        <v>1970</v>
      </c>
      <c r="C175" s="12">
        <v>6651.888671875</v>
      </c>
      <c r="D175" s="12">
        <v>14481.9345703125</v>
      </c>
      <c r="E175" s="12">
        <v>19179.2578125</v>
      </c>
      <c r="F175" s="12">
        <v>6818.625</v>
      </c>
      <c r="G175" s="12">
        <v>5984.607421875</v>
      </c>
      <c r="H175" s="12">
        <v>2476.529296875</v>
      </c>
      <c r="I175" s="12">
        <v>9138.107421875</v>
      </c>
      <c r="J175" s="12">
        <v>2425.09375</v>
      </c>
      <c r="K175" s="12">
        <v>1289.302490234375</v>
      </c>
      <c r="L175" s="12">
        <v>18103.37890625</v>
      </c>
      <c r="M175" s="12">
        <v>21712.736328125</v>
      </c>
      <c r="N175" s="12">
        <v>13325.8583984375</v>
      </c>
      <c r="O175" s="12">
        <v>16587.9453125</v>
      </c>
      <c r="P175" s="12">
        <v>15260.9501953125</v>
      </c>
      <c r="Q175" s="12">
        <v>17179.8515625</v>
      </c>
      <c r="R175" s="12">
        <v>20723.486328125</v>
      </c>
      <c r="S175" s="12">
        <v>20032.7578125</v>
      </c>
      <c r="T175" s="12">
        <v>19820.01953125</v>
      </c>
      <c r="U175" s="12">
        <v>16752.970703125</v>
      </c>
      <c r="V175" s="12">
        <v>7001.576171875</v>
      </c>
      <c r="W175" s="12">
        <v>19657.560546875</v>
      </c>
      <c r="X175" s="12">
        <v>18764.28125</v>
      </c>
      <c r="Y175" s="12">
        <v>17701.267578125</v>
      </c>
      <c r="Z175" s="12">
        <v>14597.5322265625</v>
      </c>
      <c r="AA175" s="12">
        <v>4019.915283203125</v>
      </c>
      <c r="AB175" s="12">
        <v>14396.1318359375</v>
      </c>
      <c r="AC175" s="12">
        <v>5102.994140625</v>
      </c>
      <c r="AD175" s="12">
        <v>5780.45849609375</v>
      </c>
      <c r="AE175" s="12">
        <v>4658.56982421875</v>
      </c>
      <c r="AF175" s="12">
        <v>8866.84765625</v>
      </c>
      <c r="AG175" s="12">
        <v>5788.8037109375</v>
      </c>
      <c r="AH175" s="12">
        <v>22094.21875</v>
      </c>
      <c r="AI175" s="12">
        <v>6097.58154296875</v>
      </c>
      <c r="AJ175" s="12">
        <v>3283.306640625</v>
      </c>
      <c r="AK175" s="12">
        <v>7861.61767578125</v>
      </c>
      <c r="AL175" s="12">
        <v>2061.35986328125</v>
      </c>
      <c r="AM175" s="12">
        <v>15751.9619140625</v>
      </c>
      <c r="AN175" s="12">
        <v>5586.8330078125</v>
      </c>
      <c r="AO175" s="12">
        <v>7429.03466796875</v>
      </c>
      <c r="AP175" s="12">
        <v>2724.311767578125</v>
      </c>
      <c r="AQ175" s="12">
        <v>3498.62353515625</v>
      </c>
      <c r="AR175" s="12">
        <v>1033.0828857421875</v>
      </c>
      <c r="AS175" s="12">
        <v>2189.648193359375</v>
      </c>
      <c r="AT175" s="12">
        <v>1153.7850341796875</v>
      </c>
      <c r="AU175" s="12">
        <v>1664.714599609375</v>
      </c>
      <c r="AV175" s="12">
        <v>2823.006103515625</v>
      </c>
      <c r="AW175" s="12">
        <v>638.61895751953125</v>
      </c>
      <c r="AX175" s="12">
        <v>803.00531005859375</v>
      </c>
      <c r="AY175" s="12">
        <v>7624.421875</v>
      </c>
      <c r="AZ175" s="12">
        <v>1604.845458984375</v>
      </c>
      <c r="BA175" s="12">
        <v>10096.4873046875</v>
      </c>
      <c r="BB175" s="12">
        <v>8205.3603515625</v>
      </c>
      <c r="BC175" s="12">
        <v>911.50347900390625</v>
      </c>
      <c r="BD175" s="12">
        <v>10876.142578125</v>
      </c>
      <c r="BE175" s="12">
        <v>2111.97900390625</v>
      </c>
      <c r="BF175" s="12">
        <v>3114.54345703125</v>
      </c>
      <c r="BG175" s="12">
        <v>3930.58837890625</v>
      </c>
      <c r="BH175" s="12">
        <v>1263.7645263671875</v>
      </c>
      <c r="BI175" s="12">
        <v>1106.270751953125</v>
      </c>
      <c r="BJ175" s="12">
        <v>1361.666259765625</v>
      </c>
      <c r="BK175" s="12">
        <v>401.11102294921875</v>
      </c>
      <c r="BL175" s="12">
        <v>1255.73583984375</v>
      </c>
      <c r="BM175" s="12">
        <v>2308.916259765625</v>
      </c>
      <c r="BN175" s="12">
        <v>2377.309326171875</v>
      </c>
      <c r="BO175" s="12">
        <v>890.44158935546875</v>
      </c>
      <c r="BP175" s="12">
        <v>2100.566162109375</v>
      </c>
      <c r="BQ175" s="12"/>
      <c r="BR175" s="12"/>
    </row>
    <row r="176" spans="2:70" x14ac:dyDescent="0.2">
      <c r="B176">
        <v>1971</v>
      </c>
      <c r="C176" s="12">
        <v>6784.6376953125</v>
      </c>
      <c r="D176" s="12">
        <v>14884.61328125</v>
      </c>
      <c r="E176" s="12">
        <v>19558.306640625</v>
      </c>
      <c r="F176" s="12">
        <v>7079.21337890625</v>
      </c>
      <c r="G176" s="12">
        <v>6548.31103515625</v>
      </c>
      <c r="H176" s="12">
        <v>2537.406005859375</v>
      </c>
      <c r="I176" s="12">
        <v>9398.9453125</v>
      </c>
      <c r="J176" s="12">
        <v>2478.4482421875</v>
      </c>
      <c r="K176" s="12">
        <v>1299.0908203125</v>
      </c>
      <c r="L176" s="12">
        <v>18454.923828125</v>
      </c>
      <c r="M176" s="12">
        <v>22236</v>
      </c>
      <c r="N176" s="12">
        <v>13838.595703125</v>
      </c>
      <c r="O176" s="12">
        <v>17204.72265625</v>
      </c>
      <c r="P176" s="12">
        <v>15674.2451171875</v>
      </c>
      <c r="Q176" s="12">
        <v>17405.77734375</v>
      </c>
      <c r="R176" s="12">
        <v>21126.10546875</v>
      </c>
      <c r="S176" s="12">
        <v>21197.89453125</v>
      </c>
      <c r="T176" s="12">
        <v>19796.580078125</v>
      </c>
      <c r="U176" s="12">
        <v>17309.345703125</v>
      </c>
      <c r="V176" s="12">
        <v>7422.3388671875</v>
      </c>
      <c r="W176" s="12">
        <v>20051.849609375</v>
      </c>
      <c r="X176" s="12">
        <v>18973.1875</v>
      </c>
      <c r="Y176" s="12">
        <v>18006.087890625</v>
      </c>
      <c r="Z176" s="12">
        <v>16141.8173828125</v>
      </c>
      <c r="AA176" s="12">
        <v>4435.4775390625</v>
      </c>
      <c r="AB176" s="12">
        <v>14735.611328125</v>
      </c>
      <c r="AC176" s="12">
        <v>5549.08544921875</v>
      </c>
      <c r="AD176" s="12">
        <v>6197.43505859375</v>
      </c>
      <c r="AE176" s="12">
        <v>4807.21923828125</v>
      </c>
      <c r="AF176" s="12">
        <v>8972.2802734375</v>
      </c>
      <c r="AG176" s="12">
        <v>5949.1083984375</v>
      </c>
      <c r="AH176" s="12">
        <v>25092.40625</v>
      </c>
      <c r="AI176" s="12">
        <v>5617.92431640625</v>
      </c>
      <c r="AJ176" s="12">
        <v>3392.75146484375</v>
      </c>
      <c r="AK176" s="12">
        <v>8826.2666015625</v>
      </c>
      <c r="AL176" s="12">
        <v>2100.43798828125</v>
      </c>
      <c r="AM176" s="12">
        <v>25861.91015625</v>
      </c>
      <c r="AN176" s="12">
        <v>5793.947265625</v>
      </c>
      <c r="AO176" s="12">
        <v>7814.6982421875</v>
      </c>
      <c r="AP176" s="12">
        <v>2791.646484375</v>
      </c>
      <c r="AQ176" s="12">
        <v>3649.3701171875</v>
      </c>
      <c r="AR176" s="12">
        <v>1029.955810546875</v>
      </c>
      <c r="AS176" s="12">
        <v>2274.523193359375</v>
      </c>
      <c r="AT176" s="12">
        <v>1169.477783203125</v>
      </c>
      <c r="AU176" s="12">
        <v>1725.950927734375</v>
      </c>
      <c r="AV176" s="12">
        <v>3196.1787109375</v>
      </c>
      <c r="AW176" s="12">
        <v>627.17755126953125</v>
      </c>
      <c r="AX176" s="12">
        <v>800.510986328125</v>
      </c>
      <c r="AY176" s="12">
        <v>7689.2158203125</v>
      </c>
      <c r="AZ176" s="12">
        <v>1629.1912841796875</v>
      </c>
      <c r="BA176" s="12">
        <v>10413.2880859375</v>
      </c>
      <c r="BB176" s="12">
        <v>8415.8779296875</v>
      </c>
      <c r="BC176" s="12">
        <v>925.7989501953125</v>
      </c>
      <c r="BD176" s="12">
        <v>11212.15625</v>
      </c>
      <c r="BE176" s="12">
        <v>2247.99853515625</v>
      </c>
      <c r="BF176" s="12">
        <v>3450.004638671875</v>
      </c>
      <c r="BG176" s="12">
        <v>4100.97216796875</v>
      </c>
      <c r="BH176" s="12">
        <v>1113.4495849609375</v>
      </c>
      <c r="BI176" s="12">
        <v>1091.218017578125</v>
      </c>
      <c r="BJ176" s="12">
        <v>1423.1400146484375</v>
      </c>
      <c r="BK176" s="12">
        <v>408.2620849609375</v>
      </c>
      <c r="BL176" s="12">
        <v>1294.82666015625</v>
      </c>
      <c r="BM176" s="12">
        <v>2408.66064453125</v>
      </c>
      <c r="BN176" s="12">
        <v>2333.73681640625</v>
      </c>
      <c r="BO176" s="12">
        <v>904.47589111328125</v>
      </c>
      <c r="BP176" s="12">
        <v>2252.466796875</v>
      </c>
      <c r="BQ176" s="12"/>
      <c r="BR176" s="12"/>
    </row>
    <row r="177" spans="2:70" x14ac:dyDescent="0.2">
      <c r="B177">
        <v>1972</v>
      </c>
      <c r="C177" s="12">
        <v>7004.5380859375</v>
      </c>
      <c r="D177" s="12">
        <v>15456.6650390625</v>
      </c>
      <c r="E177" s="12">
        <v>20346.966796875</v>
      </c>
      <c r="F177" s="12">
        <v>7397.57568359375</v>
      </c>
      <c r="G177" s="12">
        <v>7189.89501953125</v>
      </c>
      <c r="H177" s="12">
        <v>2523.81982421875</v>
      </c>
      <c r="I177" s="12">
        <v>9571.4375</v>
      </c>
      <c r="J177" s="12">
        <v>2588.822021484375</v>
      </c>
      <c r="K177" s="12">
        <v>1306.698974609375</v>
      </c>
      <c r="L177" s="12">
        <v>19113.478515625</v>
      </c>
      <c r="M177" s="12">
        <v>22939.34765625</v>
      </c>
      <c r="N177" s="12">
        <v>14966.4921875</v>
      </c>
      <c r="O177" s="12">
        <v>17825.77734375</v>
      </c>
      <c r="P177" s="12">
        <v>16308.697265625</v>
      </c>
      <c r="Q177" s="12">
        <v>17903.49609375</v>
      </c>
      <c r="R177" s="12">
        <v>21449.22265625</v>
      </c>
      <c r="S177" s="12">
        <v>22112.44140625</v>
      </c>
      <c r="T177" s="12">
        <v>20160.24609375</v>
      </c>
      <c r="U177" s="12">
        <v>18086.009765625</v>
      </c>
      <c r="V177" s="12">
        <v>7747.95947265625</v>
      </c>
      <c r="W177" s="12">
        <v>20910.78515625</v>
      </c>
      <c r="X177" s="12">
        <v>19712.06640625</v>
      </c>
      <c r="Y177" s="12">
        <v>18143.3515625</v>
      </c>
      <c r="Z177" s="12">
        <v>16310.2001953125</v>
      </c>
      <c r="AA177" s="12">
        <v>4575.0419921875</v>
      </c>
      <c r="AB177" s="12">
        <v>14836.8173828125</v>
      </c>
      <c r="AC177" s="12">
        <v>6061.50341796875</v>
      </c>
      <c r="AD177" s="12">
        <v>6042.96044921875</v>
      </c>
      <c r="AE177" s="12">
        <v>5043.51513671875</v>
      </c>
      <c r="AF177" s="12">
        <v>9428.6552734375</v>
      </c>
      <c r="AG177" s="12">
        <v>6108.2646484375</v>
      </c>
      <c r="AH177" s="12">
        <v>30525.140625</v>
      </c>
      <c r="AI177" s="12">
        <v>6730.580078125</v>
      </c>
      <c r="AJ177" s="12">
        <v>3381.90380859375</v>
      </c>
      <c r="AK177" s="12">
        <v>10172.8095703125</v>
      </c>
      <c r="AL177" s="12">
        <v>2128.5595703125</v>
      </c>
      <c r="AM177" s="12">
        <v>32485.318359375</v>
      </c>
      <c r="AN177" s="12">
        <v>6110.5068359375</v>
      </c>
      <c r="AO177" s="12">
        <v>8103.615234375</v>
      </c>
      <c r="AP177" s="12">
        <v>2686.5224609375</v>
      </c>
      <c r="AQ177" s="12">
        <v>3651.2958984375</v>
      </c>
      <c r="AR177" s="12">
        <v>1096.2703857421875</v>
      </c>
      <c r="AS177" s="12">
        <v>2343.78857421875</v>
      </c>
      <c r="AT177" s="12">
        <v>1222.3648681640625</v>
      </c>
      <c r="AU177" s="12">
        <v>1599.0638427734375</v>
      </c>
      <c r="AV177" s="12">
        <v>3291.145263671875</v>
      </c>
      <c r="AW177" s="12">
        <v>610.83245849609375</v>
      </c>
      <c r="AX177" s="12">
        <v>783.15216064453125</v>
      </c>
      <c r="AY177" s="12">
        <v>7521.96630859375</v>
      </c>
      <c r="AZ177" s="12">
        <v>1625.5811767578125</v>
      </c>
      <c r="BA177" s="12">
        <v>10564.9716796875</v>
      </c>
      <c r="BB177" s="12">
        <v>8648.525390625</v>
      </c>
      <c r="BC177" s="12">
        <v>935.119140625</v>
      </c>
      <c r="BD177" s="12">
        <v>11964.6025390625</v>
      </c>
      <c r="BE177" s="12">
        <v>2360.75341796875</v>
      </c>
      <c r="BF177" s="12">
        <v>3830.96533203125</v>
      </c>
      <c r="BG177" s="12">
        <v>4397.421875</v>
      </c>
      <c r="BH177" s="12">
        <v>1027.5032958984375</v>
      </c>
      <c r="BI177" s="12">
        <v>1065.6121826171875</v>
      </c>
      <c r="BJ177" s="12">
        <v>1507.412109375</v>
      </c>
      <c r="BK177" s="12">
        <v>401.50241088867188</v>
      </c>
      <c r="BL177" s="12">
        <v>1302.773681640625</v>
      </c>
      <c r="BM177" s="12">
        <v>2485.9765625</v>
      </c>
      <c r="BN177" s="12">
        <v>2473.221923828125</v>
      </c>
      <c r="BO177" s="12">
        <v>901.0772705078125</v>
      </c>
      <c r="BP177" s="12">
        <v>2308.931396484375</v>
      </c>
      <c r="BQ177" s="12"/>
      <c r="BR177" s="12"/>
    </row>
    <row r="178" spans="2:70" x14ac:dyDescent="0.2">
      <c r="B178">
        <v>1973</v>
      </c>
      <c r="C178" s="12">
        <v>7308.8779296875</v>
      </c>
      <c r="D178" s="12">
        <v>16273.4580078125</v>
      </c>
      <c r="E178" s="12">
        <v>21334.376953125</v>
      </c>
      <c r="F178" s="12">
        <v>7777.20947265625</v>
      </c>
      <c r="G178" s="12">
        <v>7455.9765625</v>
      </c>
      <c r="H178" s="12">
        <v>2561.873779296875</v>
      </c>
      <c r="I178" s="12">
        <v>10227.08203125</v>
      </c>
      <c r="J178" s="12">
        <v>2745.726806640625</v>
      </c>
      <c r="K178" s="12">
        <v>1354.09326171875</v>
      </c>
      <c r="L178" s="12">
        <v>19981.740234375</v>
      </c>
      <c r="M178" s="12">
        <v>23880.337890625</v>
      </c>
      <c r="N178" s="12">
        <v>16033.326171875</v>
      </c>
      <c r="O178" s="12">
        <v>18787.5</v>
      </c>
      <c r="P178" s="12">
        <v>17366.5703125</v>
      </c>
      <c r="Q178" s="12">
        <v>18947.6875</v>
      </c>
      <c r="R178" s="12">
        <v>22595.28125</v>
      </c>
      <c r="S178" s="12">
        <v>23065.98046875</v>
      </c>
      <c r="T178" s="12">
        <v>20977.3515625</v>
      </c>
      <c r="U178" s="12">
        <v>19038.537109375</v>
      </c>
      <c r="V178" s="12">
        <v>8090.86279296875</v>
      </c>
      <c r="W178" s="12">
        <v>21938.123046875</v>
      </c>
      <c r="X178" s="12">
        <v>20798.671875</v>
      </c>
      <c r="Y178" s="12">
        <v>18728.775390625</v>
      </c>
      <c r="Z178" s="12">
        <v>17413.072265625</v>
      </c>
      <c r="AA178" s="12">
        <v>4547.7490234375</v>
      </c>
      <c r="AB178" s="12">
        <v>15187.4296875</v>
      </c>
      <c r="AC178" s="12">
        <v>6739.18408203125</v>
      </c>
      <c r="AD178" s="12">
        <v>5484.27734375</v>
      </c>
      <c r="AE178" s="12">
        <v>5259.7109375</v>
      </c>
      <c r="AF178" s="12">
        <v>9931.0107421875</v>
      </c>
      <c r="AG178" s="12">
        <v>6251.4169921875</v>
      </c>
      <c r="AH178" s="12">
        <v>45669.4921875</v>
      </c>
      <c r="AI178" s="12">
        <v>6767.24560546875</v>
      </c>
      <c r="AJ178" s="12">
        <v>3354.759765625</v>
      </c>
      <c r="AK178" s="12">
        <v>11042.0478515625</v>
      </c>
      <c r="AL178" s="12">
        <v>2155.866455078125</v>
      </c>
      <c r="AM178" s="12">
        <v>33763.53125</v>
      </c>
      <c r="AN178" s="12">
        <v>6234.56689453125</v>
      </c>
      <c r="AO178" s="12">
        <v>8053.2587890625</v>
      </c>
      <c r="AP178" s="12">
        <v>2838.109619140625</v>
      </c>
      <c r="AQ178" s="12">
        <v>3723.152587890625</v>
      </c>
      <c r="AR178" s="12">
        <v>1061.9285888671875</v>
      </c>
      <c r="AS178" s="12">
        <v>2413.835693359375</v>
      </c>
      <c r="AT178" s="12">
        <v>1186.02001953125</v>
      </c>
      <c r="AU178" s="12">
        <v>1283.5906982421875</v>
      </c>
      <c r="AV178" s="12">
        <v>3403.20166015625</v>
      </c>
      <c r="AW178" s="12">
        <v>612.99029541015625</v>
      </c>
      <c r="AX178" s="12">
        <v>759.46881103515625</v>
      </c>
      <c r="AY178" s="12">
        <v>7697.61962890625</v>
      </c>
      <c r="AZ178" s="12">
        <v>1639.9036865234375</v>
      </c>
      <c r="BA178" s="12">
        <v>11321.919921875</v>
      </c>
      <c r="BB178" s="12">
        <v>9209.7216796875</v>
      </c>
      <c r="BC178" s="12">
        <v>970.4244384765625</v>
      </c>
      <c r="BD178" s="12">
        <v>12838.11328125</v>
      </c>
      <c r="BE178" s="12">
        <v>2649</v>
      </c>
      <c r="BF178" s="12">
        <v>4239.96533203125</v>
      </c>
      <c r="BG178" s="12">
        <v>4795.45654296875</v>
      </c>
      <c r="BH178" s="12">
        <v>1073.852294921875</v>
      </c>
      <c r="BI178" s="12">
        <v>1067.2598876953125</v>
      </c>
      <c r="BJ178" s="12">
        <v>1640.5299072265625</v>
      </c>
      <c r="BK178" s="12">
        <v>400.09915161132812</v>
      </c>
      <c r="BL178" s="12">
        <v>1348.330810546875</v>
      </c>
      <c r="BM178" s="12">
        <v>2703.545654296875</v>
      </c>
      <c r="BN178" s="12">
        <v>2686.482177734375</v>
      </c>
      <c r="BO178" s="12">
        <v>866.33087158203125</v>
      </c>
      <c r="BP178" s="12">
        <v>2383.0478515625</v>
      </c>
      <c r="BQ178" s="12"/>
      <c r="BR178" s="12"/>
    </row>
    <row r="179" spans="2:70" x14ac:dyDescent="0.2">
      <c r="B179">
        <v>1974</v>
      </c>
      <c r="C179" s="12">
        <v>7354.169921875</v>
      </c>
      <c r="D179" s="12">
        <v>16512.517578125</v>
      </c>
      <c r="E179" s="12">
        <v>20949.14453125</v>
      </c>
      <c r="F179" s="12">
        <v>8069.56396484375</v>
      </c>
      <c r="G179" s="12">
        <v>9628.5078125</v>
      </c>
      <c r="H179" s="12">
        <v>2625.447509765625</v>
      </c>
      <c r="I179" s="12">
        <v>10467.759765625</v>
      </c>
      <c r="J179" s="12">
        <v>2702.133056640625</v>
      </c>
      <c r="K179" s="12">
        <v>1380.2830810546875</v>
      </c>
      <c r="L179" s="12">
        <v>20038.171875</v>
      </c>
      <c r="M179" s="12">
        <v>22895.349609375</v>
      </c>
      <c r="N179" s="12">
        <v>16808.0625</v>
      </c>
      <c r="O179" s="12">
        <v>19404.212890625</v>
      </c>
      <c r="P179" s="12">
        <v>16734.080078125</v>
      </c>
      <c r="Q179" s="12">
        <v>19598.572265625</v>
      </c>
      <c r="R179" s="12">
        <v>23394.97265625</v>
      </c>
      <c r="S179" s="12">
        <v>23638.87109375</v>
      </c>
      <c r="T179" s="12">
        <v>21470.45703125</v>
      </c>
      <c r="U179" s="12">
        <v>19334.953125</v>
      </c>
      <c r="V179" s="12">
        <v>8587.470703125</v>
      </c>
      <c r="W179" s="12">
        <v>21427.08203125</v>
      </c>
      <c r="X179" s="12">
        <v>21193.70703125</v>
      </c>
      <c r="Y179" s="12">
        <v>19076.966796875</v>
      </c>
      <c r="Z179" s="12">
        <v>18152.53125</v>
      </c>
      <c r="AA179" s="12">
        <v>4536.9775390625</v>
      </c>
      <c r="AB179" s="12">
        <v>15824.24609375</v>
      </c>
      <c r="AC179" s="12">
        <v>7134.5078125</v>
      </c>
      <c r="AD179" s="12">
        <v>5411.2412109375</v>
      </c>
      <c r="AE179" s="12">
        <v>5455.90380859375</v>
      </c>
      <c r="AF179" s="12">
        <v>10202.806640625</v>
      </c>
      <c r="AG179" s="12">
        <v>6424.97900390625</v>
      </c>
      <c r="AH179" s="12">
        <v>106215.1796875</v>
      </c>
      <c r="AI179" s="12">
        <v>6964.6904296875</v>
      </c>
      <c r="AJ179" s="12">
        <v>3406.9970703125</v>
      </c>
      <c r="AK179" s="12">
        <v>11791.2060546875</v>
      </c>
      <c r="AL179" s="12">
        <v>2221.135498046875</v>
      </c>
      <c r="AM179" s="12">
        <v>105635.6875</v>
      </c>
      <c r="AN179" s="12">
        <v>6194.65869140625</v>
      </c>
      <c r="AO179" s="12">
        <v>8012.896484375</v>
      </c>
      <c r="AP179" s="12">
        <v>2831.413818359375</v>
      </c>
      <c r="AQ179" s="12">
        <v>3704.803466796875</v>
      </c>
      <c r="AR179" s="12">
        <v>1009.9600219726562</v>
      </c>
      <c r="AS179" s="12">
        <v>2430.282958984375</v>
      </c>
      <c r="AT179" s="12">
        <v>1200.9290771484375</v>
      </c>
      <c r="AU179" s="12">
        <v>1375.4576416015625</v>
      </c>
      <c r="AV179" s="12">
        <v>3413.160400390625</v>
      </c>
      <c r="AW179" s="12">
        <v>601.6358642578125</v>
      </c>
      <c r="AX179" s="12">
        <v>789.45306396484375</v>
      </c>
      <c r="AY179" s="12">
        <v>7974.0849609375</v>
      </c>
      <c r="AZ179" s="12">
        <v>1692.23046875</v>
      </c>
      <c r="BA179" s="12">
        <v>11695.4580078125</v>
      </c>
      <c r="BB179" s="12">
        <v>9285.7021484375</v>
      </c>
      <c r="BC179" s="12">
        <v>965.52874755859375</v>
      </c>
      <c r="BD179" s="12">
        <v>12565.7568359375</v>
      </c>
      <c r="BE179" s="12">
        <v>2860.79150390625</v>
      </c>
      <c r="BF179" s="12">
        <v>4169.39599609375</v>
      </c>
      <c r="BG179" s="12">
        <v>4857.35205078125</v>
      </c>
      <c r="BH179" s="12">
        <v>1062.8841552734375</v>
      </c>
      <c r="BI179" s="12">
        <v>1062.3564453125</v>
      </c>
      <c r="BJ179" s="12">
        <v>1733.5001220703125</v>
      </c>
      <c r="BK179" s="12">
        <v>404.95111083984375</v>
      </c>
      <c r="BL179" s="12">
        <v>1366.1259765625</v>
      </c>
      <c r="BM179" s="12">
        <v>3001.06591796875</v>
      </c>
      <c r="BN179" s="12">
        <v>2623.4150390625</v>
      </c>
      <c r="BO179" s="12">
        <v>867.3751220703125</v>
      </c>
      <c r="BP179" s="12">
        <v>2442.965087890625</v>
      </c>
      <c r="BQ179" s="12"/>
      <c r="BR179" s="12"/>
    </row>
    <row r="180" spans="2:70" x14ac:dyDescent="0.2">
      <c r="B180">
        <v>1975</v>
      </c>
      <c r="C180" s="12">
        <v>7248.50390625</v>
      </c>
      <c r="D180" s="12">
        <v>16262.7919921875</v>
      </c>
      <c r="E180" s="12">
        <v>20526.541015625</v>
      </c>
      <c r="F180" s="12">
        <v>8137.01904296875</v>
      </c>
      <c r="G180" s="12">
        <v>9491.8984375</v>
      </c>
      <c r="H180" s="12">
        <v>2603.003173828125</v>
      </c>
      <c r="I180" s="12">
        <v>10794.384765625</v>
      </c>
      <c r="J180" s="12">
        <v>2786.42822265625</v>
      </c>
      <c r="K180" s="12">
        <v>1414.01123046875</v>
      </c>
      <c r="L180" s="12">
        <v>19913.529296875</v>
      </c>
      <c r="M180" s="12">
        <v>22328.310546875</v>
      </c>
      <c r="N180" s="12">
        <v>16528.296875</v>
      </c>
      <c r="O180" s="12">
        <v>19111.849609375</v>
      </c>
      <c r="P180" s="12">
        <v>16295.9287109375</v>
      </c>
      <c r="Q180" s="12">
        <v>18714.169921875</v>
      </c>
      <c r="R180" s="12">
        <v>22770.1875</v>
      </c>
      <c r="S180" s="12">
        <v>24727.8984375</v>
      </c>
      <c r="T180" s="12">
        <v>21979.9765625</v>
      </c>
      <c r="U180" s="12">
        <v>18782.568359375</v>
      </c>
      <c r="V180" s="12">
        <v>8979.146484375</v>
      </c>
      <c r="W180" s="12">
        <v>20941.880859375</v>
      </c>
      <c r="X180" s="12">
        <v>21144.328125</v>
      </c>
      <c r="Y180" s="12">
        <v>19278.29296875</v>
      </c>
      <c r="Z180" s="12">
        <v>16896.025390625</v>
      </c>
      <c r="AA180" s="12">
        <v>4658.37353515625</v>
      </c>
      <c r="AB180" s="12">
        <v>15325.0849609375</v>
      </c>
      <c r="AC180" s="12">
        <v>7236.88232421875</v>
      </c>
      <c r="AD180" s="12">
        <v>4328.919921875</v>
      </c>
      <c r="AE180" s="12">
        <v>5391.6484375</v>
      </c>
      <c r="AF180" s="12">
        <v>10435.986328125</v>
      </c>
      <c r="AG180" s="12">
        <v>6626.396484375</v>
      </c>
      <c r="AH180" s="12">
        <v>113383.7109375</v>
      </c>
      <c r="AI180" s="12">
        <v>7051.01513671875</v>
      </c>
      <c r="AJ180" s="12">
        <v>3641.414306640625</v>
      </c>
      <c r="AK180" s="12">
        <v>11361.3759765625</v>
      </c>
      <c r="AL180" s="12">
        <v>2323.48583984375</v>
      </c>
      <c r="AM180" s="12">
        <v>97070.625</v>
      </c>
      <c r="AN180" s="12">
        <v>6532.740234375</v>
      </c>
      <c r="AO180" s="12">
        <v>7754.08935546875</v>
      </c>
      <c r="AP180" s="12">
        <v>2590.635986328125</v>
      </c>
      <c r="AQ180" s="12">
        <v>3786.0224609375</v>
      </c>
      <c r="AR180" s="12">
        <v>960.80902099609375</v>
      </c>
      <c r="AS180" s="12">
        <v>2271.819091796875</v>
      </c>
      <c r="AT180" s="12">
        <v>1328.0360107421875</v>
      </c>
      <c r="AU180" s="12">
        <v>1301.8614501953125</v>
      </c>
      <c r="AV180" s="12">
        <v>3417.17822265625</v>
      </c>
      <c r="AW180" s="12">
        <v>577.18975830078125</v>
      </c>
      <c r="AX180" s="12">
        <v>880.053466796875</v>
      </c>
      <c r="AY180" s="12">
        <v>7693.81689453125</v>
      </c>
      <c r="AZ180" s="12">
        <v>1705.1572265625</v>
      </c>
      <c r="BA180" s="12">
        <v>12118.1240234375</v>
      </c>
      <c r="BB180" s="12">
        <v>9507.73828125</v>
      </c>
      <c r="BC180" s="12">
        <v>1010.4508056640625</v>
      </c>
      <c r="BD180" s="12">
        <v>12899.560546875</v>
      </c>
      <c r="BE180" s="12">
        <v>3120.651123046875</v>
      </c>
      <c r="BF180" s="12">
        <v>4276.13720703125</v>
      </c>
      <c r="BG180" s="12">
        <v>4899.98583984375</v>
      </c>
      <c r="BH180" s="12">
        <v>1037.7821044921875</v>
      </c>
      <c r="BI180" s="12">
        <v>1105.3795166015625</v>
      </c>
      <c r="BJ180" s="12">
        <v>1774.7706298828125</v>
      </c>
      <c r="BK180" s="12">
        <v>414.81756591796875</v>
      </c>
      <c r="BL180" s="12">
        <v>1389.24365234375</v>
      </c>
      <c r="BM180" s="12">
        <v>2900.27197265625</v>
      </c>
      <c r="BN180" s="12">
        <v>2854.42578125</v>
      </c>
      <c r="BO180" s="12">
        <v>870.89459228515625</v>
      </c>
      <c r="BP180" s="12">
        <v>2486.814208984375</v>
      </c>
      <c r="BQ180" s="12"/>
      <c r="BR180" s="12"/>
    </row>
    <row r="181" spans="2:70" x14ac:dyDescent="0.2">
      <c r="B181">
        <v>1976</v>
      </c>
      <c r="C181" s="12">
        <v>7482.03466796875</v>
      </c>
      <c r="D181" s="12">
        <v>16953.109375</v>
      </c>
      <c r="E181" s="12">
        <v>21461.705078125</v>
      </c>
      <c r="F181" s="12">
        <v>8370.255859375</v>
      </c>
      <c r="G181" s="12">
        <v>10295.5390625</v>
      </c>
      <c r="H181" s="12">
        <v>2645.214599609375</v>
      </c>
      <c r="I181" s="12">
        <v>11082.033203125</v>
      </c>
      <c r="J181" s="12">
        <v>2805.23486328125</v>
      </c>
      <c r="K181" s="12">
        <v>1456.4124755859375</v>
      </c>
      <c r="L181" s="12">
        <v>21048.244140625</v>
      </c>
      <c r="M181" s="12">
        <v>23785.662109375</v>
      </c>
      <c r="N181" s="12">
        <v>16863.70703125</v>
      </c>
      <c r="O181" s="12">
        <v>19902.94921875</v>
      </c>
      <c r="P181" s="12">
        <v>16770.078125</v>
      </c>
      <c r="Q181" s="12">
        <v>20039.607421875</v>
      </c>
      <c r="R181" s="12">
        <v>23948.24609375</v>
      </c>
      <c r="S181" s="12">
        <v>25774.22265625</v>
      </c>
      <c r="T181" s="12">
        <v>22016.015625</v>
      </c>
      <c r="U181" s="12">
        <v>19371.291015625</v>
      </c>
      <c r="V181" s="12">
        <v>9364.45703125</v>
      </c>
      <c r="W181" s="12">
        <v>21944.19140625</v>
      </c>
      <c r="X181" s="12">
        <v>22117.779296875</v>
      </c>
      <c r="Y181" s="12">
        <v>19641.853515625</v>
      </c>
      <c r="Z181" s="12">
        <v>16745.302734375</v>
      </c>
      <c r="AA181" s="12">
        <v>4787.1083984375</v>
      </c>
      <c r="AB181" s="12">
        <v>15086.478515625</v>
      </c>
      <c r="AC181" s="12">
        <v>7782.61474609375</v>
      </c>
      <c r="AD181" s="12">
        <v>4522.84716796875</v>
      </c>
      <c r="AE181" s="12">
        <v>5518.01806640625</v>
      </c>
      <c r="AF181" s="12">
        <v>10504.578125</v>
      </c>
      <c r="AG181" s="12">
        <v>6787.98779296875</v>
      </c>
      <c r="AH181" s="12">
        <v>113235.2109375</v>
      </c>
      <c r="AI181" s="12">
        <v>7071.83349609375</v>
      </c>
      <c r="AJ181" s="12">
        <v>3949.50732421875</v>
      </c>
      <c r="AK181" s="12">
        <v>12652.287109375</v>
      </c>
      <c r="AL181" s="12">
        <v>2506.4697265625</v>
      </c>
      <c r="AM181" s="12">
        <v>107616.1484375</v>
      </c>
      <c r="AN181" s="12">
        <v>7061.66162109375</v>
      </c>
      <c r="AO181" s="12">
        <v>7943.19287109375</v>
      </c>
      <c r="AP181" s="12">
        <v>2447.744140625</v>
      </c>
      <c r="AQ181" s="12">
        <v>4044.505126953125</v>
      </c>
      <c r="AR181" s="12">
        <v>809.693359375</v>
      </c>
      <c r="AS181" s="12">
        <v>2258.71337890625</v>
      </c>
      <c r="AT181" s="12">
        <v>1681.83203125</v>
      </c>
      <c r="AU181" s="12">
        <v>1271.8656005859375</v>
      </c>
      <c r="AV181" s="12">
        <v>3547.692626953125</v>
      </c>
      <c r="AW181" s="12">
        <v>669.05084228515625</v>
      </c>
      <c r="AX181" s="12">
        <v>993.050048828125</v>
      </c>
      <c r="AY181" s="12">
        <v>7530.373046875</v>
      </c>
      <c r="AZ181" s="12">
        <v>1758.5064697265625</v>
      </c>
      <c r="BA181" s="12">
        <v>12459.4501953125</v>
      </c>
      <c r="BB181" s="12">
        <v>9752.291015625</v>
      </c>
      <c r="BC181" s="12">
        <v>928.89093017578125</v>
      </c>
      <c r="BD181" s="12">
        <v>13354.4375</v>
      </c>
      <c r="BE181" s="12">
        <v>3493.476806640625</v>
      </c>
      <c r="BF181" s="12">
        <v>4793.9267578125</v>
      </c>
      <c r="BG181" s="12">
        <v>5453.279296875</v>
      </c>
      <c r="BH181" s="12">
        <v>1058.858642578125</v>
      </c>
      <c r="BI181" s="12">
        <v>1110.7467041015625</v>
      </c>
      <c r="BJ181" s="12">
        <v>1845.70166015625</v>
      </c>
      <c r="BK181" s="12">
        <v>429.85891723632812</v>
      </c>
      <c r="BL181" s="12">
        <v>1407.1004638671875</v>
      </c>
      <c r="BM181" s="12">
        <v>3076.6591796875</v>
      </c>
      <c r="BN181" s="12">
        <v>2977.762939453125</v>
      </c>
      <c r="BO181" s="12">
        <v>945.3167724609375</v>
      </c>
      <c r="BP181" s="12">
        <v>2639.52783203125</v>
      </c>
      <c r="BQ181" s="12"/>
      <c r="BR181" s="12"/>
    </row>
    <row r="182" spans="2:70" x14ac:dyDescent="0.2">
      <c r="B182">
        <v>1977</v>
      </c>
      <c r="C182" s="12">
        <v>7640.11962890625</v>
      </c>
      <c r="D182" s="12">
        <v>17333.39453125</v>
      </c>
      <c r="E182" s="12">
        <v>22210.314453125</v>
      </c>
      <c r="F182" s="12">
        <v>8535.1162109375</v>
      </c>
      <c r="G182" s="12">
        <v>10482.90625</v>
      </c>
      <c r="H182" s="12">
        <v>2620.610107421875</v>
      </c>
      <c r="I182" s="12">
        <v>11303.5478515625</v>
      </c>
      <c r="J182" s="12">
        <v>2931.2109375</v>
      </c>
      <c r="K182" s="12">
        <v>1533.3802490234375</v>
      </c>
      <c r="L182" s="12">
        <v>21707.72265625</v>
      </c>
      <c r="M182" s="12">
        <v>23929.580078125</v>
      </c>
      <c r="N182" s="12">
        <v>17137.876953125</v>
      </c>
      <c r="O182" s="12">
        <v>20450.1875</v>
      </c>
      <c r="P182" s="12">
        <v>17002.099609375</v>
      </c>
      <c r="Q182" s="12">
        <v>20434.591796875</v>
      </c>
      <c r="R182" s="12">
        <v>24209.86328125</v>
      </c>
      <c r="S182" s="12">
        <v>26293.224609375</v>
      </c>
      <c r="T182" s="12">
        <v>21568.888671875</v>
      </c>
      <c r="U182" s="12">
        <v>19719.208984375</v>
      </c>
      <c r="V182" s="12">
        <v>9867.7333984375</v>
      </c>
      <c r="W182" s="12">
        <v>22768.578125</v>
      </c>
      <c r="X182" s="12">
        <v>22628.095703125</v>
      </c>
      <c r="Y182" s="12">
        <v>20153.705078125</v>
      </c>
      <c r="Z182" s="12">
        <v>16030.158203125</v>
      </c>
      <c r="AA182" s="12">
        <v>4706.564453125</v>
      </c>
      <c r="AB182" s="12">
        <v>15806.6826171875</v>
      </c>
      <c r="AC182" s="12">
        <v>7908.94482421875</v>
      </c>
      <c r="AD182" s="12">
        <v>5014.1875</v>
      </c>
      <c r="AE182" s="12">
        <v>5637.759765625</v>
      </c>
      <c r="AF182" s="12">
        <v>10506.4501953125</v>
      </c>
      <c r="AG182" s="12">
        <v>6937.6787109375</v>
      </c>
      <c r="AH182" s="12">
        <v>112783.296875</v>
      </c>
      <c r="AI182" s="12">
        <v>7069.79638671875</v>
      </c>
      <c r="AJ182" s="12">
        <v>4067.3115234375</v>
      </c>
      <c r="AK182" s="12">
        <v>12154.7080078125</v>
      </c>
      <c r="AL182" s="12">
        <v>2583.248046875</v>
      </c>
      <c r="AM182" s="12">
        <v>109254.8046875</v>
      </c>
      <c r="AN182" s="12">
        <v>7171.77978515625</v>
      </c>
      <c r="AO182" s="12">
        <v>8086.763671875</v>
      </c>
      <c r="AP182" s="12">
        <v>2429.319580078125</v>
      </c>
      <c r="AQ182" s="12">
        <v>4081.83984375</v>
      </c>
      <c r="AR182" s="12">
        <v>751.69549560546875</v>
      </c>
      <c r="AS182" s="12">
        <v>2406.246826171875</v>
      </c>
      <c r="AT182" s="12">
        <v>1948.1375732421875</v>
      </c>
      <c r="AU182" s="12">
        <v>1334.34130859375</v>
      </c>
      <c r="AV182" s="12">
        <v>3751.50732421875</v>
      </c>
      <c r="AW182" s="12">
        <v>681.8228759765625</v>
      </c>
      <c r="AX182" s="12">
        <v>985.22137451171875</v>
      </c>
      <c r="AY182" s="12">
        <v>7245.92138671875</v>
      </c>
      <c r="AZ182" s="12">
        <v>1723.8507080078125</v>
      </c>
      <c r="BA182" s="12">
        <v>12797.9287109375</v>
      </c>
      <c r="BB182" s="12">
        <v>9837.5126953125</v>
      </c>
      <c r="BC182" s="12">
        <v>986.14697265625</v>
      </c>
      <c r="BD182" s="12">
        <v>13818.0263671875</v>
      </c>
      <c r="BE182" s="12">
        <v>3869.0341796875</v>
      </c>
      <c r="BF182" s="12">
        <v>5170.29150390625</v>
      </c>
      <c r="BG182" s="12">
        <v>5879.4306640625</v>
      </c>
      <c r="BH182" s="12">
        <v>1087.7061767578125</v>
      </c>
      <c r="BI182" s="12">
        <v>1148.818603515625</v>
      </c>
      <c r="BJ182" s="12">
        <v>1964.8079833984375</v>
      </c>
      <c r="BK182" s="12">
        <v>439.62808227539062</v>
      </c>
      <c r="BL182" s="12">
        <v>1432.896240234375</v>
      </c>
      <c r="BM182" s="12">
        <v>3351.07177734375</v>
      </c>
      <c r="BN182" s="12">
        <v>3364.908203125</v>
      </c>
      <c r="BO182" s="12">
        <v>1050.984375</v>
      </c>
      <c r="BP182" s="12">
        <v>2732.972412109375</v>
      </c>
      <c r="BQ182" s="12"/>
      <c r="BR182" s="12"/>
    </row>
    <row r="183" spans="2:70" x14ac:dyDescent="0.2">
      <c r="B183">
        <v>1978</v>
      </c>
      <c r="C183" s="12">
        <v>7810.01220703125</v>
      </c>
      <c r="D183" s="12">
        <v>17822.046875</v>
      </c>
      <c r="E183" s="12">
        <v>23101.03515625</v>
      </c>
      <c r="F183" s="12">
        <v>8688.1298828125</v>
      </c>
      <c r="G183" s="12">
        <v>10043.4853515625</v>
      </c>
      <c r="H183" s="12">
        <v>2538.49169921875</v>
      </c>
      <c r="I183" s="12">
        <v>11429.57421875</v>
      </c>
      <c r="J183" s="12">
        <v>3113.80419921875</v>
      </c>
      <c r="K183" s="12">
        <v>1598.67822265625</v>
      </c>
      <c r="L183" s="12">
        <v>22426.689453125</v>
      </c>
      <c r="M183" s="12">
        <v>24263.119140625</v>
      </c>
      <c r="N183" s="12">
        <v>17207.75390625</v>
      </c>
      <c r="O183" s="12">
        <v>21161.091796875</v>
      </c>
      <c r="P183" s="12">
        <v>17716.302734375</v>
      </c>
      <c r="Q183" s="12">
        <v>21130.017578125</v>
      </c>
      <c r="R183" s="12">
        <v>24347.26953125</v>
      </c>
      <c r="S183" s="12">
        <v>26838.849609375</v>
      </c>
      <c r="T183" s="12">
        <v>22066.947265625</v>
      </c>
      <c r="U183" s="12">
        <v>20000.6953125</v>
      </c>
      <c r="V183" s="12">
        <v>10283.9384765625</v>
      </c>
      <c r="W183" s="12">
        <v>23793.677734375</v>
      </c>
      <c r="X183" s="12">
        <v>22920.259765625</v>
      </c>
      <c r="Y183" s="12">
        <v>20289.3984375</v>
      </c>
      <c r="Z183" s="12">
        <v>15694.771484375</v>
      </c>
      <c r="AA183" s="12">
        <v>4864.7626953125</v>
      </c>
      <c r="AB183" s="12">
        <v>15017.5244140625</v>
      </c>
      <c r="AC183" s="12">
        <v>8054.5283203125</v>
      </c>
      <c r="AD183" s="12">
        <v>5338.87841796875</v>
      </c>
      <c r="AE183" s="12">
        <v>5999.6572265625</v>
      </c>
      <c r="AF183" s="12">
        <v>11073.76953125</v>
      </c>
      <c r="AG183" s="12">
        <v>6991.8623046875</v>
      </c>
      <c r="AH183" s="12">
        <v>91535.375</v>
      </c>
      <c r="AI183" s="12">
        <v>7705.09033203125</v>
      </c>
      <c r="AJ183" s="12">
        <v>4413.1162109375</v>
      </c>
      <c r="AK183" s="12">
        <v>10241.201171875</v>
      </c>
      <c r="AL183" s="12">
        <v>2558.15771484375</v>
      </c>
      <c r="AM183" s="12">
        <v>95669.171875</v>
      </c>
      <c r="AN183" s="12">
        <v>7128.1640625</v>
      </c>
      <c r="AO183" s="12">
        <v>8555.466796875</v>
      </c>
      <c r="AP183" s="12">
        <v>2223.7119140625</v>
      </c>
      <c r="AQ183" s="12">
        <v>4218.03662109375</v>
      </c>
      <c r="AR183" s="12">
        <v>700.782470703125</v>
      </c>
      <c r="AS183" s="12">
        <v>2532.16064453125</v>
      </c>
      <c r="AT183" s="12">
        <v>2011.8016357421875</v>
      </c>
      <c r="AU183" s="12">
        <v>1437.2154541015625</v>
      </c>
      <c r="AV183" s="12">
        <v>3577.54638671875</v>
      </c>
      <c r="AW183" s="12">
        <v>721.9798583984375</v>
      </c>
      <c r="AX183" s="12">
        <v>917.30474853515625</v>
      </c>
      <c r="AY183" s="12">
        <v>7230.470703125</v>
      </c>
      <c r="AZ183" s="12">
        <v>1639.6978759765625</v>
      </c>
      <c r="BA183" s="12">
        <v>13006.638671875</v>
      </c>
      <c r="BB183" s="12">
        <v>9872.2666015625</v>
      </c>
      <c r="BC183" s="12">
        <v>1081.3837890625</v>
      </c>
      <c r="BD183" s="12">
        <v>14480.5615234375</v>
      </c>
      <c r="BE183" s="12">
        <v>4216.3125</v>
      </c>
      <c r="BF183" s="12">
        <v>5780.27001953125</v>
      </c>
      <c r="BG183" s="12">
        <v>6175.3935546875</v>
      </c>
      <c r="BH183" s="12">
        <v>1123.4901123046875</v>
      </c>
      <c r="BI183" s="12">
        <v>1195.5458984375</v>
      </c>
      <c r="BJ183" s="12">
        <v>2063.94140625</v>
      </c>
      <c r="BK183" s="12">
        <v>454.56094360351562</v>
      </c>
      <c r="BL183" s="12">
        <v>1487.0272216796875</v>
      </c>
      <c r="BM183" s="12">
        <v>3434.56494140625</v>
      </c>
      <c r="BN183" s="12">
        <v>3642.947265625</v>
      </c>
      <c r="BO183" s="12">
        <v>1038.1776123046875</v>
      </c>
      <c r="BP183" s="12">
        <v>2862.373291015625</v>
      </c>
      <c r="BQ183" s="12"/>
      <c r="BR183" s="12"/>
    </row>
    <row r="184" spans="2:70" x14ac:dyDescent="0.2">
      <c r="B184">
        <v>1979</v>
      </c>
      <c r="C184" s="12">
        <v>7964.36328125</v>
      </c>
      <c r="D184" s="12">
        <v>18393.8984375</v>
      </c>
      <c r="E184" s="12">
        <v>23545.7265625</v>
      </c>
      <c r="F184" s="12">
        <v>8996.482421875</v>
      </c>
      <c r="G184" s="12">
        <v>10489.7294921875</v>
      </c>
      <c r="H184" s="12">
        <v>2484.174560546875</v>
      </c>
      <c r="I184" s="12">
        <v>11432.390625</v>
      </c>
      <c r="J184" s="12">
        <v>3254.57666015625</v>
      </c>
      <c r="K184" s="12">
        <v>1608.553955078125</v>
      </c>
      <c r="L184" s="12">
        <v>23293.06640625</v>
      </c>
      <c r="M184" s="12">
        <v>25072.5</v>
      </c>
      <c r="N184" s="12">
        <v>17006.12109375</v>
      </c>
      <c r="O184" s="12">
        <v>21843.337890625</v>
      </c>
      <c r="P184" s="12">
        <v>18274.19140625</v>
      </c>
      <c r="Q184" s="12">
        <v>22500.212890625</v>
      </c>
      <c r="R184" s="12">
        <v>24677.515625</v>
      </c>
      <c r="S184" s="12">
        <v>27771.900390625</v>
      </c>
      <c r="T184" s="12">
        <v>22775.810546875</v>
      </c>
      <c r="U184" s="12">
        <v>20595.060546875</v>
      </c>
      <c r="V184" s="12">
        <v>10545.1650390625</v>
      </c>
      <c r="W184" s="12">
        <v>24247.025390625</v>
      </c>
      <c r="X184" s="12">
        <v>23360.166015625</v>
      </c>
      <c r="Y184" s="12">
        <v>20741.564453125</v>
      </c>
      <c r="Z184" s="12">
        <v>16558.09375</v>
      </c>
      <c r="AA184" s="12">
        <v>4867.64453125</v>
      </c>
      <c r="AB184" s="12">
        <v>15847.150390625</v>
      </c>
      <c r="AC184" s="12">
        <v>8353.7939453125</v>
      </c>
      <c r="AD184" s="12">
        <v>5788.13232421875</v>
      </c>
      <c r="AE184" s="12">
        <v>6200.4140625</v>
      </c>
      <c r="AF184" s="12">
        <v>11735.783203125</v>
      </c>
      <c r="AG184" s="12">
        <v>6959.50830078125</v>
      </c>
      <c r="AH184" s="12">
        <v>106230.5703125</v>
      </c>
      <c r="AI184" s="12">
        <v>7939.53369140625</v>
      </c>
      <c r="AJ184" s="12">
        <v>4743.60791015625</v>
      </c>
      <c r="AK184" s="12">
        <v>8632.9990234375</v>
      </c>
      <c r="AL184" s="12">
        <v>2602.78125</v>
      </c>
      <c r="AM184" s="12">
        <v>105167.1875</v>
      </c>
      <c r="AN184" s="12">
        <v>6922.6875</v>
      </c>
      <c r="AO184" s="12">
        <v>9219.6142578125</v>
      </c>
      <c r="AP184" s="12">
        <v>2148.679443359375</v>
      </c>
      <c r="AQ184" s="12">
        <v>4051.67138671875</v>
      </c>
      <c r="AR184" s="12">
        <v>642.227783203125</v>
      </c>
      <c r="AS184" s="12">
        <v>2546.449951171875</v>
      </c>
      <c r="AT184" s="12">
        <v>2276.952392578125</v>
      </c>
      <c r="AU184" s="12">
        <v>1497.0677490234375</v>
      </c>
      <c r="AV184" s="12">
        <v>3356.67138671875</v>
      </c>
      <c r="AW184" s="12">
        <v>763.0645751953125</v>
      </c>
      <c r="AX184" s="12">
        <v>838.67926025390625</v>
      </c>
      <c r="AY184" s="12">
        <v>7308.48486328125</v>
      </c>
      <c r="AZ184" s="12">
        <v>1593.8077392578125</v>
      </c>
      <c r="BA184" s="12">
        <v>13063.791015625</v>
      </c>
      <c r="BB184" s="12">
        <v>9816.1650390625</v>
      </c>
      <c r="BC184" s="12">
        <v>1134.405029296875</v>
      </c>
      <c r="BD184" s="12">
        <v>15104.564453125</v>
      </c>
      <c r="BE184" s="12">
        <v>4548.82470703125</v>
      </c>
      <c r="BF184" s="12">
        <v>6159.45947265625</v>
      </c>
      <c r="BG184" s="12">
        <v>6653.63671875</v>
      </c>
      <c r="BH184" s="12">
        <v>1125.32421875</v>
      </c>
      <c r="BI184" s="12">
        <v>1136.9234619140625</v>
      </c>
      <c r="BJ184" s="12">
        <v>2131.50830078125</v>
      </c>
      <c r="BK184" s="12">
        <v>466.11822509765625</v>
      </c>
      <c r="BL184" s="12">
        <v>1532.689697265625</v>
      </c>
      <c r="BM184" s="12">
        <v>3505.015380859375</v>
      </c>
      <c r="BN184" s="12">
        <v>3762.70458984375</v>
      </c>
      <c r="BO184" s="12">
        <v>1084.119140625</v>
      </c>
      <c r="BP184" s="12">
        <v>3073.5703125</v>
      </c>
      <c r="BQ184" s="12"/>
      <c r="BR184" s="12"/>
    </row>
    <row r="185" spans="2:70" x14ac:dyDescent="0.2">
      <c r="B185">
        <v>1980</v>
      </c>
      <c r="C185" s="12">
        <v>7915.16943359375</v>
      </c>
      <c r="D185" s="12">
        <v>18445.048828125</v>
      </c>
      <c r="E185" s="12">
        <v>23172.1484375</v>
      </c>
      <c r="F185" s="12">
        <v>9309.2724609375</v>
      </c>
      <c r="G185" s="12">
        <v>10161.9638671875</v>
      </c>
      <c r="H185" s="12">
        <v>2511.057373046875</v>
      </c>
      <c r="I185" s="12">
        <v>11697.658203125</v>
      </c>
      <c r="J185" s="12">
        <v>3294.3447265625</v>
      </c>
      <c r="K185" s="12">
        <v>1652.0142822265625</v>
      </c>
      <c r="L185" s="12">
        <v>23004.826171875</v>
      </c>
      <c r="M185" s="12">
        <v>23564.9296875</v>
      </c>
      <c r="N185" s="12">
        <v>17104.92578125</v>
      </c>
      <c r="O185" s="12">
        <v>22009.462890625</v>
      </c>
      <c r="P185" s="12">
        <v>17819.708984375</v>
      </c>
      <c r="Q185" s="12">
        <v>23224.6640625</v>
      </c>
      <c r="R185" s="12">
        <v>25348.95703125</v>
      </c>
      <c r="S185" s="12">
        <v>29528.546875</v>
      </c>
      <c r="T185" s="12">
        <v>23006.529296875</v>
      </c>
      <c r="U185" s="12">
        <v>21152.529296875</v>
      </c>
      <c r="V185" s="12">
        <v>10442.1806640625</v>
      </c>
      <c r="W185" s="12">
        <v>23764.224609375</v>
      </c>
      <c r="X185" s="12">
        <v>23569.921875</v>
      </c>
      <c r="Y185" s="12">
        <v>21172.515625</v>
      </c>
      <c r="Z185" s="12">
        <v>16853.34375</v>
      </c>
      <c r="AA185" s="12">
        <v>4737.18701171875</v>
      </c>
      <c r="AB185" s="12">
        <v>15854.796875</v>
      </c>
      <c r="AC185" s="12">
        <v>8915.9453125</v>
      </c>
      <c r="AD185" s="12">
        <v>6160.00341796875</v>
      </c>
      <c r="AE185" s="12">
        <v>6324.783203125</v>
      </c>
      <c r="AF185" s="12">
        <v>12415.9423828125</v>
      </c>
      <c r="AG185" s="12">
        <v>6880.4140625</v>
      </c>
      <c r="AH185" s="12">
        <v>122996.6328125</v>
      </c>
      <c r="AI185" s="12">
        <v>7829.6884765625</v>
      </c>
      <c r="AJ185" s="12">
        <v>4924.435546875</v>
      </c>
      <c r="AK185" s="12">
        <v>6538.2236328125</v>
      </c>
      <c r="AL185" s="12">
        <v>2609.34033203125</v>
      </c>
      <c r="AM185" s="12">
        <v>103553.7265625</v>
      </c>
      <c r="AN185" s="12">
        <v>6594.044921875</v>
      </c>
      <c r="AO185" s="12">
        <v>8818.67578125</v>
      </c>
      <c r="AP185" s="12">
        <v>2129.03955078125</v>
      </c>
      <c r="AQ185" s="12">
        <v>3420.87158203125</v>
      </c>
      <c r="AR185" s="12">
        <v>677.525634765625</v>
      </c>
      <c r="AS185" s="12">
        <v>2611.03857421875</v>
      </c>
      <c r="AT185" s="12">
        <v>1557.4854736328125</v>
      </c>
      <c r="AU185" s="12">
        <v>1403.4547119140625</v>
      </c>
      <c r="AV185" s="12">
        <v>3303.63037109375</v>
      </c>
      <c r="AW185" s="12">
        <v>799.6278076171875</v>
      </c>
      <c r="AX185" s="12">
        <v>856.55841064453125</v>
      </c>
      <c r="AY185" s="12">
        <v>7733.71875</v>
      </c>
      <c r="AZ185" s="12">
        <v>1609.8154296875</v>
      </c>
      <c r="BA185" s="12">
        <v>13502.1845703125</v>
      </c>
      <c r="BB185" s="12">
        <v>9870.2080078125</v>
      </c>
      <c r="BC185" s="12">
        <v>1160.7979736328125</v>
      </c>
      <c r="BD185" s="12">
        <v>15316.2529296875</v>
      </c>
      <c r="BE185" s="12">
        <v>4334.27685546875</v>
      </c>
      <c r="BF185" s="12">
        <v>6466.37744140625</v>
      </c>
      <c r="BG185" s="12">
        <v>7102.361328125</v>
      </c>
      <c r="BH185" s="12">
        <v>1124.578369140625</v>
      </c>
      <c r="BI185" s="12">
        <v>1145.1253662109375</v>
      </c>
      <c r="BJ185" s="12">
        <v>2303.245361328125</v>
      </c>
      <c r="BK185" s="12">
        <v>488.77899169921875</v>
      </c>
      <c r="BL185" s="12">
        <v>1588.6707763671875</v>
      </c>
      <c r="BM185" s="12">
        <v>3602.550537109375</v>
      </c>
      <c r="BN185" s="12">
        <v>3928.219482421875</v>
      </c>
      <c r="BO185" s="12">
        <v>1012.6856079101562</v>
      </c>
      <c r="BP185" s="12">
        <v>3164.763427734375</v>
      </c>
      <c r="BQ185" s="12"/>
      <c r="BR185" s="12"/>
    </row>
    <row r="186" spans="2:70" x14ac:dyDescent="0.2">
      <c r="B186">
        <v>1981</v>
      </c>
      <c r="C186" s="12">
        <v>7889.74853515625</v>
      </c>
      <c r="D186" s="12">
        <v>18342.185546875</v>
      </c>
      <c r="E186" s="12">
        <v>23518.109375</v>
      </c>
      <c r="F186" s="12">
        <v>9164.236328125</v>
      </c>
      <c r="G186" s="12">
        <v>9800.82421875</v>
      </c>
      <c r="H186" s="12">
        <v>2524.22265625</v>
      </c>
      <c r="I186" s="12">
        <v>11754.625</v>
      </c>
      <c r="J186" s="12">
        <v>3388.7236328125</v>
      </c>
      <c r="K186" s="12">
        <v>1697.934814453125</v>
      </c>
      <c r="L186" s="12">
        <v>22977.794921875</v>
      </c>
      <c r="M186" s="12">
        <v>23909.927734375</v>
      </c>
      <c r="N186" s="12">
        <v>16723.4375</v>
      </c>
      <c r="O186" s="12">
        <v>22070.201171875</v>
      </c>
      <c r="P186" s="12">
        <v>17809.228515625</v>
      </c>
      <c r="Q186" s="12">
        <v>22944.9140625</v>
      </c>
      <c r="R186" s="12">
        <v>24863.3359375</v>
      </c>
      <c r="S186" s="12">
        <v>30087.7890625</v>
      </c>
      <c r="T186" s="12">
        <v>22849.80078125</v>
      </c>
      <c r="U186" s="12">
        <v>21236.142578125</v>
      </c>
      <c r="V186" s="12">
        <v>10211.3056640625</v>
      </c>
      <c r="W186" s="12">
        <v>24111.486328125</v>
      </c>
      <c r="X186" s="12">
        <v>23946.8984375</v>
      </c>
      <c r="Y186" s="12">
        <v>21610.943359375</v>
      </c>
      <c r="Z186" s="12">
        <v>17600.23828125</v>
      </c>
      <c r="AA186" s="12">
        <v>4669.88525390625</v>
      </c>
      <c r="AB186" s="12">
        <v>14314.9462890625</v>
      </c>
      <c r="AC186" s="12">
        <v>8060.72021484375</v>
      </c>
      <c r="AD186" s="12">
        <v>6411.86669921875</v>
      </c>
      <c r="AE186" s="12">
        <v>6286.7490234375</v>
      </c>
      <c r="AF186" s="12">
        <v>13116.2373046875</v>
      </c>
      <c r="AG186" s="12">
        <v>7144.236328125</v>
      </c>
      <c r="AH186" s="12">
        <v>112732.3125</v>
      </c>
      <c r="AI186" s="12">
        <v>7858.0498046875</v>
      </c>
      <c r="AJ186" s="12">
        <v>5085.12841796875</v>
      </c>
      <c r="AK186" s="12">
        <v>5656.01171875</v>
      </c>
      <c r="AL186" s="12">
        <v>2437.661865234375</v>
      </c>
      <c r="AM186" s="12">
        <v>102175.2578125</v>
      </c>
      <c r="AN186" s="12">
        <v>6758.7939453125</v>
      </c>
      <c r="AO186" s="12">
        <v>8034.05078125</v>
      </c>
      <c r="AP186" s="12">
        <v>2116.382080078125</v>
      </c>
      <c r="AQ186" s="12">
        <v>3283.84521484375</v>
      </c>
      <c r="AR186" s="12">
        <v>668.19866943359375</v>
      </c>
      <c r="AS186" s="12">
        <v>2612.41552734375</v>
      </c>
      <c r="AT186" s="12">
        <v>1579.8538818359375</v>
      </c>
      <c r="AU186" s="12">
        <v>1356.967041015625</v>
      </c>
      <c r="AV186" s="12">
        <v>3334.827880859375</v>
      </c>
      <c r="AW186" s="12">
        <v>823.913330078125</v>
      </c>
      <c r="AX186" s="12">
        <v>865.65655517578125</v>
      </c>
      <c r="AY186" s="12">
        <v>7829.623046875</v>
      </c>
      <c r="AZ186" s="12">
        <v>1611.8074951171875</v>
      </c>
      <c r="BA186" s="12">
        <v>13625.5322265625</v>
      </c>
      <c r="BB186" s="12">
        <v>9856.3759765625</v>
      </c>
      <c r="BC186" s="12">
        <v>1202.4249267578125</v>
      </c>
      <c r="BD186" s="12">
        <v>15736.955078125</v>
      </c>
      <c r="BE186" s="12">
        <v>4559.6025390625</v>
      </c>
      <c r="BF186" s="12">
        <v>6919.51220703125</v>
      </c>
      <c r="BG186" s="12">
        <v>7580.39453125</v>
      </c>
      <c r="BH186" s="12">
        <v>1116.9376220703125</v>
      </c>
      <c r="BI186" s="12">
        <v>1189.7259521484375</v>
      </c>
      <c r="BJ186" s="12">
        <v>2377.4951171875</v>
      </c>
      <c r="BK186" s="12">
        <v>511.828369140625</v>
      </c>
      <c r="BL186" s="12">
        <v>1624.67431640625</v>
      </c>
      <c r="BM186" s="12">
        <v>3625.333984375</v>
      </c>
      <c r="BN186" s="12">
        <v>4040.931396484375</v>
      </c>
      <c r="BO186" s="12">
        <v>1046.0953369140625</v>
      </c>
      <c r="BP186" s="12">
        <v>3287.095458984375</v>
      </c>
      <c r="BQ186" s="12"/>
      <c r="BR186" s="12"/>
    </row>
    <row r="187" spans="2:70" x14ac:dyDescent="0.2">
      <c r="B187">
        <v>1982</v>
      </c>
      <c r="C187" s="12">
        <v>7726.4404296875</v>
      </c>
      <c r="D187" s="12">
        <v>18398.990234375</v>
      </c>
      <c r="E187" s="12">
        <v>22676.505859375</v>
      </c>
      <c r="F187" s="12">
        <v>8766.576171875</v>
      </c>
      <c r="G187" s="12">
        <v>9215.396484375</v>
      </c>
      <c r="H187" s="12">
        <v>2430.8994140625</v>
      </c>
      <c r="I187" s="12">
        <v>11748.423828125</v>
      </c>
      <c r="J187" s="12">
        <v>3505.751953125</v>
      </c>
      <c r="K187" s="12">
        <v>1721.6029052734375</v>
      </c>
      <c r="L187" s="12">
        <v>22778.44921875</v>
      </c>
      <c r="M187" s="12">
        <v>24928.65625</v>
      </c>
      <c r="N187" s="12">
        <v>16788.626953125</v>
      </c>
      <c r="O187" s="12">
        <v>22351.59375</v>
      </c>
      <c r="P187" s="12">
        <v>18307.734375</v>
      </c>
      <c r="Q187" s="12">
        <v>22915.162109375</v>
      </c>
      <c r="R187" s="12">
        <v>24302.251953125</v>
      </c>
      <c r="S187" s="12">
        <v>29779.705078125</v>
      </c>
      <c r="T187" s="12">
        <v>23060.49609375</v>
      </c>
      <c r="U187" s="12">
        <v>21235.404296875</v>
      </c>
      <c r="V187" s="12">
        <v>10259.646484375</v>
      </c>
      <c r="W187" s="12">
        <v>23200.25</v>
      </c>
      <c r="X187" s="12">
        <v>23296.41796875</v>
      </c>
      <c r="Y187" s="12">
        <v>21352.537109375</v>
      </c>
      <c r="Z187" s="12">
        <v>17204.638671875</v>
      </c>
      <c r="AA187" s="12">
        <v>4632.22412109375</v>
      </c>
      <c r="AB187" s="12">
        <v>13460.87109375</v>
      </c>
      <c r="AC187" s="12">
        <v>7833.8994140625</v>
      </c>
      <c r="AD187" s="12">
        <v>5163.59521484375</v>
      </c>
      <c r="AE187" s="12">
        <v>6131.8046875</v>
      </c>
      <c r="AF187" s="12">
        <v>12240.4326171875</v>
      </c>
      <c r="AG187" s="12">
        <v>7047.0576171875</v>
      </c>
      <c r="AH187" s="12">
        <v>96991.8203125</v>
      </c>
      <c r="AI187" s="12">
        <v>8019.2099609375</v>
      </c>
      <c r="AJ187" s="12">
        <v>5289.6083984375</v>
      </c>
      <c r="AK187" s="12">
        <v>6349.2236328125</v>
      </c>
      <c r="AL187" s="12">
        <v>2613.728515625</v>
      </c>
      <c r="AM187" s="12">
        <v>83605.265625</v>
      </c>
      <c r="AN187" s="12">
        <v>6835.44775390625</v>
      </c>
      <c r="AO187" s="12">
        <v>7494.85302734375</v>
      </c>
      <c r="AP187" s="12">
        <v>2036.5919189453125</v>
      </c>
      <c r="AQ187" s="12">
        <v>3154.873046875</v>
      </c>
      <c r="AR187" s="12">
        <v>653.84686279296875</v>
      </c>
      <c r="AS187" s="12">
        <v>2613.579345703125</v>
      </c>
      <c r="AT187" s="12">
        <v>1419.277099609375</v>
      </c>
      <c r="AU187" s="12">
        <v>1338.9090576171875</v>
      </c>
      <c r="AV187" s="12">
        <v>3001.5654296875</v>
      </c>
      <c r="AW187" s="12">
        <v>805.273681640625</v>
      </c>
      <c r="AX187" s="12">
        <v>813.56207275390625</v>
      </c>
      <c r="AY187" s="12">
        <v>7440.51513671875</v>
      </c>
      <c r="AZ187" s="12">
        <v>1589.5423583984375</v>
      </c>
      <c r="BA187" s="12">
        <v>13759.650390625</v>
      </c>
      <c r="BB187" s="12">
        <v>9669.3681640625</v>
      </c>
      <c r="BC187" s="12">
        <v>1279.906982421875</v>
      </c>
      <c r="BD187" s="12">
        <v>16201.8837890625</v>
      </c>
      <c r="BE187" s="12">
        <v>4848.40673828125</v>
      </c>
      <c r="BF187" s="12">
        <v>7158.841796875</v>
      </c>
      <c r="BG187" s="12">
        <v>7645.4892578125</v>
      </c>
      <c r="BH187" s="12">
        <v>1115.9307861328125</v>
      </c>
      <c r="BI187" s="12">
        <v>1201.33203125</v>
      </c>
      <c r="BJ187" s="12">
        <v>2379.728759765625</v>
      </c>
      <c r="BK187" s="12">
        <v>530.33612060546875</v>
      </c>
      <c r="BL187" s="12">
        <v>1660.3555908203125</v>
      </c>
      <c r="BM187" s="12">
        <v>3607.0078125</v>
      </c>
      <c r="BN187" s="12">
        <v>4180.13818359375</v>
      </c>
      <c r="BO187" s="12">
        <v>1104.37548828125</v>
      </c>
      <c r="BP187" s="12">
        <v>3430.697509765625</v>
      </c>
      <c r="BQ187" s="12"/>
      <c r="BR187" s="12"/>
    </row>
    <row r="188" spans="2:70" x14ac:dyDescent="0.2">
      <c r="B188">
        <v>1983</v>
      </c>
      <c r="C188" s="12">
        <v>7784.998046875</v>
      </c>
      <c r="D188" s="12">
        <v>18673.427734375</v>
      </c>
      <c r="E188" s="12">
        <v>23419.892578125</v>
      </c>
      <c r="F188" s="12">
        <v>8307.1416015625</v>
      </c>
      <c r="G188" s="12">
        <v>9007.1015625</v>
      </c>
      <c r="H188" s="12">
        <v>2329.338134765625</v>
      </c>
      <c r="I188" s="12">
        <v>11931.958984375</v>
      </c>
      <c r="J188" s="12">
        <v>3637.29638671875</v>
      </c>
      <c r="K188" s="12">
        <v>1777.9237060546875</v>
      </c>
      <c r="L188" s="12">
        <v>23236.087890625</v>
      </c>
      <c r="M188" s="12">
        <v>25641.1015625</v>
      </c>
      <c r="N188" s="12">
        <v>16864.732421875</v>
      </c>
      <c r="O188" s="12">
        <v>22322.63671875</v>
      </c>
      <c r="P188" s="12">
        <v>19057.853515625</v>
      </c>
      <c r="Q188" s="12">
        <v>23188.263671875</v>
      </c>
      <c r="R188" s="12">
        <v>24769.0703125</v>
      </c>
      <c r="S188" s="12">
        <v>30932.3203125</v>
      </c>
      <c r="T188" s="12">
        <v>23357.384765625</v>
      </c>
      <c r="U188" s="12">
        <v>21214.76171875</v>
      </c>
      <c r="V188" s="12">
        <v>10507.0087890625</v>
      </c>
      <c r="W188" s="12">
        <v>24097.65234375</v>
      </c>
      <c r="X188" s="12">
        <v>23427.818359375</v>
      </c>
      <c r="Y188" s="12">
        <v>20971.90625</v>
      </c>
      <c r="Z188" s="12">
        <v>17220.076171875</v>
      </c>
      <c r="AA188" s="12">
        <v>4640.5205078125</v>
      </c>
      <c r="AB188" s="12">
        <v>13795.5849609375</v>
      </c>
      <c r="AC188" s="12">
        <v>7303.19091796875</v>
      </c>
      <c r="AD188" s="12">
        <v>4830.63818359375</v>
      </c>
      <c r="AE188" s="12">
        <v>6036.361328125</v>
      </c>
      <c r="AF188" s="12">
        <v>11226.9169921875</v>
      </c>
      <c r="AG188" s="12">
        <v>6779.1044921875</v>
      </c>
      <c r="AH188" s="12">
        <v>84345.9140625</v>
      </c>
      <c r="AI188" s="12">
        <v>8192.9580078125</v>
      </c>
      <c r="AJ188" s="12">
        <v>5541.88232421875</v>
      </c>
      <c r="AK188" s="12">
        <v>6979.32568359375</v>
      </c>
      <c r="AL188" s="12">
        <v>2526.251220703125</v>
      </c>
      <c r="AM188" s="12">
        <v>73560.3671875</v>
      </c>
      <c r="AN188" s="12">
        <v>7008.68896484375</v>
      </c>
      <c r="AO188" s="12">
        <v>7335.3603515625</v>
      </c>
      <c r="AP188" s="12">
        <v>1995.9339599609375</v>
      </c>
      <c r="AQ188" s="12">
        <v>3002.84423828125</v>
      </c>
      <c r="AR188" s="12">
        <v>705.57373046875</v>
      </c>
      <c r="AS188" s="12">
        <v>2543.3671875</v>
      </c>
      <c r="AT188" s="12">
        <v>1352.916748046875</v>
      </c>
      <c r="AU188" s="12">
        <v>1219.90478515625</v>
      </c>
      <c r="AV188" s="12">
        <v>2609.421630859375</v>
      </c>
      <c r="AW188" s="12">
        <v>823.7109375</v>
      </c>
      <c r="AX188" s="12">
        <v>773.45367431640625</v>
      </c>
      <c r="AY188" s="12">
        <v>7005.8720703125</v>
      </c>
      <c r="AZ188" s="12">
        <v>1553.051025390625</v>
      </c>
      <c r="BA188" s="12">
        <v>13955.9775390625</v>
      </c>
      <c r="BB188" s="12">
        <v>9861.1103515625</v>
      </c>
      <c r="BC188" s="12">
        <v>1356.3138427734375</v>
      </c>
      <c r="BD188" s="12">
        <v>16651.49609375</v>
      </c>
      <c r="BE188" s="12">
        <v>5388.7421875</v>
      </c>
      <c r="BF188" s="12">
        <v>7677.9375</v>
      </c>
      <c r="BG188" s="12">
        <v>7978.962890625</v>
      </c>
      <c r="BH188" s="12">
        <v>1146.69970703125</v>
      </c>
      <c r="BI188" s="12">
        <v>1242.68408203125</v>
      </c>
      <c r="BJ188" s="12">
        <v>2507.694091796875</v>
      </c>
      <c r="BK188" s="12">
        <v>541.85260009765625</v>
      </c>
      <c r="BL188" s="12">
        <v>1695.5157470703125</v>
      </c>
      <c r="BM188" s="12">
        <v>3546.649658203125</v>
      </c>
      <c r="BN188" s="12">
        <v>4316.048828125</v>
      </c>
      <c r="BO188" s="12">
        <v>1161.9029541015625</v>
      </c>
      <c r="BP188" s="12">
        <v>3584.368896484375</v>
      </c>
      <c r="BQ188" s="12"/>
      <c r="BR188" s="12"/>
    </row>
    <row r="189" spans="2:70" x14ac:dyDescent="0.2">
      <c r="B189">
        <v>1984</v>
      </c>
      <c r="C189" s="12">
        <v>8016.17578125</v>
      </c>
      <c r="D189" s="12">
        <v>19166.43359375</v>
      </c>
      <c r="E189" s="12">
        <v>24959.970703125</v>
      </c>
      <c r="F189" s="12">
        <v>8476.5263671875</v>
      </c>
      <c r="G189" s="12">
        <v>8823.1396484375</v>
      </c>
      <c r="H189" s="12">
        <v>2325.8994140625</v>
      </c>
      <c r="I189" s="12">
        <v>11904.533203125</v>
      </c>
      <c r="J189" s="12">
        <v>3853.593994140625</v>
      </c>
      <c r="K189" s="12">
        <v>1807.4544677734375</v>
      </c>
      <c r="L189" s="12">
        <v>24036.4375</v>
      </c>
      <c r="M189" s="12">
        <v>26698.62890625</v>
      </c>
      <c r="N189" s="12">
        <v>17047.798828125</v>
      </c>
      <c r="O189" s="12">
        <v>22535.27734375</v>
      </c>
      <c r="P189" s="12">
        <v>19702.880859375</v>
      </c>
      <c r="Q189" s="12">
        <v>23958.1328125</v>
      </c>
      <c r="R189" s="12">
        <v>25525.455078125</v>
      </c>
      <c r="S189" s="12">
        <v>32968.27734375</v>
      </c>
      <c r="T189" s="12">
        <v>24433.119140625</v>
      </c>
      <c r="U189" s="12">
        <v>21694.421875</v>
      </c>
      <c r="V189" s="12">
        <v>10726.64453125</v>
      </c>
      <c r="W189" s="12">
        <v>25776.923828125</v>
      </c>
      <c r="X189" s="12">
        <v>24693.291015625</v>
      </c>
      <c r="Y189" s="12">
        <v>21643.044921875</v>
      </c>
      <c r="Z189" s="12">
        <v>17187.44921875</v>
      </c>
      <c r="AA189" s="12">
        <v>4546.19921875</v>
      </c>
      <c r="AB189" s="12">
        <v>13873.416015625</v>
      </c>
      <c r="AC189" s="12">
        <v>7541.318359375</v>
      </c>
      <c r="AD189" s="12">
        <v>4957.8857421875</v>
      </c>
      <c r="AE189" s="12">
        <v>6045.62939453125</v>
      </c>
      <c r="AF189" s="12">
        <v>11548.259765625</v>
      </c>
      <c r="AG189" s="12">
        <v>6838.14697265625</v>
      </c>
      <c r="AH189" s="12">
        <v>85181</v>
      </c>
      <c r="AI189" s="12">
        <v>8454.2119140625</v>
      </c>
      <c r="AJ189" s="12">
        <v>5810.37646484375</v>
      </c>
      <c r="AK189" s="12">
        <v>6407.17333984375</v>
      </c>
      <c r="AL189" s="12">
        <v>2568.568115234375</v>
      </c>
      <c r="AM189" s="12">
        <v>65954.4375</v>
      </c>
      <c r="AN189" s="12">
        <v>7299.56640625</v>
      </c>
      <c r="AO189" s="12">
        <v>7285.35888671875</v>
      </c>
      <c r="AP189" s="12">
        <v>2026.32080078125</v>
      </c>
      <c r="AQ189" s="12">
        <v>2830.446044921875</v>
      </c>
      <c r="AR189" s="12">
        <v>836.10797119140625</v>
      </c>
      <c r="AS189" s="12">
        <v>2486.9169921875</v>
      </c>
      <c r="AT189" s="12">
        <v>1272.81591796875</v>
      </c>
      <c r="AU189" s="12">
        <v>968.64093017578125</v>
      </c>
      <c r="AV189" s="12">
        <v>2508.62451171875</v>
      </c>
      <c r="AW189" s="12">
        <v>759.75213623046875</v>
      </c>
      <c r="AX189" s="12">
        <v>747.60919189453125</v>
      </c>
      <c r="AY189" s="12">
        <v>7169.3173828125</v>
      </c>
      <c r="AZ189" s="12">
        <v>1541.0728759765625</v>
      </c>
      <c r="BA189" s="12">
        <v>13951.3818359375</v>
      </c>
      <c r="BB189" s="12">
        <v>9814.369140625</v>
      </c>
      <c r="BC189" s="12">
        <v>1491.7042236328125</v>
      </c>
      <c r="BD189" s="12">
        <v>17354.640625</v>
      </c>
      <c r="BE189" s="12">
        <v>5875.86767578125</v>
      </c>
      <c r="BF189" s="12">
        <v>8376.427734375</v>
      </c>
      <c r="BG189" s="12">
        <v>8643.0498046875</v>
      </c>
      <c r="BH189" s="12">
        <v>1166.976318359375</v>
      </c>
      <c r="BI189" s="12">
        <v>1273.5428466796875</v>
      </c>
      <c r="BJ189" s="12">
        <v>2607.222900390625</v>
      </c>
      <c r="BK189" s="12">
        <v>555.199462890625</v>
      </c>
      <c r="BL189" s="12">
        <v>1744.870361328125</v>
      </c>
      <c r="BM189" s="12">
        <v>3097.038818359375</v>
      </c>
      <c r="BN189" s="12">
        <v>4320.92626953125</v>
      </c>
      <c r="BO189" s="12">
        <v>1230.121337890625</v>
      </c>
      <c r="BP189" s="12">
        <v>3803.380859375</v>
      </c>
      <c r="BQ189" s="12"/>
      <c r="BR189" s="12"/>
    </row>
    <row r="190" spans="2:70" x14ac:dyDescent="0.2">
      <c r="B190">
        <v>1985</v>
      </c>
      <c r="C190" s="12">
        <v>8132.3154296875</v>
      </c>
      <c r="D190" s="12">
        <v>19590.525390625</v>
      </c>
      <c r="E190" s="12">
        <v>25673.06640625</v>
      </c>
      <c r="F190" s="12">
        <v>8580.35546875</v>
      </c>
      <c r="G190" s="12">
        <v>8622.51953125</v>
      </c>
      <c r="H190" s="12">
        <v>2294.656982421875</v>
      </c>
      <c r="I190" s="12">
        <v>11915.1474609375</v>
      </c>
      <c r="J190" s="12">
        <v>4046.42919921875</v>
      </c>
      <c r="K190" s="12">
        <v>1808.2001953125</v>
      </c>
      <c r="L190" s="12">
        <v>24666.291015625</v>
      </c>
      <c r="M190" s="12">
        <v>27837.396484375</v>
      </c>
      <c r="N190" s="12">
        <v>17452.029296875</v>
      </c>
      <c r="O190" s="12">
        <v>22948.787109375</v>
      </c>
      <c r="P190" s="12">
        <v>20311.58203125</v>
      </c>
      <c r="Q190" s="12">
        <v>24589.521484375</v>
      </c>
      <c r="R190" s="12">
        <v>25552.166015625</v>
      </c>
      <c r="S190" s="12">
        <v>35121.19140625</v>
      </c>
      <c r="T190" s="12">
        <v>24893.6953125</v>
      </c>
      <c r="U190" s="12">
        <v>22213.56640625</v>
      </c>
      <c r="V190" s="12">
        <v>10763.880859375</v>
      </c>
      <c r="W190" s="12">
        <v>26502.58203125</v>
      </c>
      <c r="X190" s="12">
        <v>25573.078125</v>
      </c>
      <c r="Y190" s="12">
        <v>22401.466796875</v>
      </c>
      <c r="Z190" s="12">
        <v>17179.890625</v>
      </c>
      <c r="AA190" s="12">
        <v>4631.70849609375</v>
      </c>
      <c r="AB190" s="12">
        <v>12655.482421875</v>
      </c>
      <c r="AC190" s="12">
        <v>8067.9296875</v>
      </c>
      <c r="AD190" s="12">
        <v>4952.8837890625</v>
      </c>
      <c r="AE190" s="12">
        <v>6064.06396484375</v>
      </c>
      <c r="AF190" s="12">
        <v>11738.6865234375</v>
      </c>
      <c r="AG190" s="12">
        <v>6790.45166015625</v>
      </c>
      <c r="AH190" s="12">
        <v>80292.25</v>
      </c>
      <c r="AI190" s="12">
        <v>8439.8203125</v>
      </c>
      <c r="AJ190" s="12">
        <v>5908.6513671875</v>
      </c>
      <c r="AK190" s="12">
        <v>6170.7353515625</v>
      </c>
      <c r="AL190" s="12">
        <v>2635.274169921875</v>
      </c>
      <c r="AM190" s="12">
        <v>58991.48046875</v>
      </c>
      <c r="AN190" s="12">
        <v>7454.73486328125</v>
      </c>
      <c r="AO190" s="12">
        <v>7288.54052734375</v>
      </c>
      <c r="AP190" s="12">
        <v>1953.79345703125</v>
      </c>
      <c r="AQ190" s="12">
        <v>2862.886474609375</v>
      </c>
      <c r="AR190" s="12">
        <v>670.9110107421875</v>
      </c>
      <c r="AS190" s="12">
        <v>2488.60009765625</v>
      </c>
      <c r="AT190" s="12">
        <v>1428.1968994140625</v>
      </c>
      <c r="AU190" s="12">
        <v>1052.8968505859375</v>
      </c>
      <c r="AV190" s="12">
        <v>2577.48486328125</v>
      </c>
      <c r="AW190" s="12">
        <v>765.81195068359375</v>
      </c>
      <c r="AX190" s="12">
        <v>777.2464599609375</v>
      </c>
      <c r="AY190" s="12">
        <v>6741.3076171875</v>
      </c>
      <c r="AZ190" s="12">
        <v>1549.0390625</v>
      </c>
      <c r="BA190" s="12">
        <v>14104.5947265625</v>
      </c>
      <c r="BB190" s="12">
        <v>9642.3876953125</v>
      </c>
      <c r="BC190" s="12">
        <v>1603.9971923828125</v>
      </c>
      <c r="BD190" s="12">
        <v>18241.953125</v>
      </c>
      <c r="BE190" s="12">
        <v>6184.21435546875</v>
      </c>
      <c r="BF190" s="12">
        <v>8619.8818359375</v>
      </c>
      <c r="BG190" s="12">
        <v>8522.1201171875</v>
      </c>
      <c r="BH190" s="12">
        <v>1178.0418701171875</v>
      </c>
      <c r="BI190" s="12">
        <v>1300.012451171875</v>
      </c>
      <c r="BJ190" s="12">
        <v>2610.770751953125</v>
      </c>
      <c r="BK190" s="12">
        <v>563.69317626953125</v>
      </c>
      <c r="BL190" s="12">
        <v>1793.8648681640625</v>
      </c>
      <c r="BM190" s="12">
        <v>2798.054443359375</v>
      </c>
      <c r="BN190" s="12">
        <v>4378.814453125</v>
      </c>
      <c r="BO190" s="12">
        <v>1269.0091552734375</v>
      </c>
      <c r="BP190" s="12">
        <v>3738.288330078125</v>
      </c>
      <c r="BQ190" s="12"/>
      <c r="BR190" s="12"/>
    </row>
    <row r="191" spans="2:70" x14ac:dyDescent="0.2">
      <c r="B191">
        <v>1986</v>
      </c>
      <c r="C191" s="12">
        <v>8221.892578125</v>
      </c>
      <c r="D191" s="12">
        <v>20068.517578125</v>
      </c>
      <c r="E191" s="12">
        <v>26124.01171875</v>
      </c>
      <c r="F191" s="12">
        <v>8660.6103515625</v>
      </c>
      <c r="G191" s="12">
        <v>8490.333984375</v>
      </c>
      <c r="H191" s="12">
        <v>2325.336669921875</v>
      </c>
      <c r="I191" s="12">
        <v>12003.9365234375</v>
      </c>
      <c r="J191" s="12">
        <v>4172.45068359375</v>
      </c>
      <c r="K191" s="12">
        <v>1835.1014404296875</v>
      </c>
      <c r="L191" s="12">
        <v>25170.751953125</v>
      </c>
      <c r="M191" s="12">
        <v>29308.158203125</v>
      </c>
      <c r="N191" s="12">
        <v>18131.6015625</v>
      </c>
      <c r="O191" s="12">
        <v>23341.509765625</v>
      </c>
      <c r="P191" s="12">
        <v>21125.021484375</v>
      </c>
      <c r="Q191" s="12">
        <v>25360.73828125</v>
      </c>
      <c r="R191" s="12">
        <v>25924.072265625</v>
      </c>
      <c r="S191" s="12">
        <v>35887.09375</v>
      </c>
      <c r="T191" s="12">
        <v>25626.73046875</v>
      </c>
      <c r="U191" s="12">
        <v>22581.234375</v>
      </c>
      <c r="V191" s="12">
        <v>10935.611328125</v>
      </c>
      <c r="W191" s="12">
        <v>27017.02734375</v>
      </c>
      <c r="X191" s="12">
        <v>25706.140625</v>
      </c>
      <c r="Y191" s="12">
        <v>22600.072265625</v>
      </c>
      <c r="Z191" s="12">
        <v>17381.654296875</v>
      </c>
      <c r="AA191" s="12">
        <v>4737.55322265625</v>
      </c>
      <c r="AB191" s="12">
        <v>13683.7900390625</v>
      </c>
      <c r="AC191" s="12">
        <v>8654.4013671875</v>
      </c>
      <c r="AD191" s="12">
        <v>5257.34326171875</v>
      </c>
      <c r="AE191" s="12">
        <v>6279.966796875</v>
      </c>
      <c r="AF191" s="12">
        <v>10654.6943359375</v>
      </c>
      <c r="AG191" s="12">
        <v>6880.0458984375</v>
      </c>
      <c r="AH191" s="12">
        <v>61214.0625</v>
      </c>
      <c r="AI191" s="12">
        <v>8101.55224609375</v>
      </c>
      <c r="AJ191" s="12">
        <v>5993.21240234375</v>
      </c>
      <c r="AK191" s="12">
        <v>5359.0556640625</v>
      </c>
      <c r="AL191" s="12">
        <v>2832.1171875</v>
      </c>
      <c r="AM191" s="12">
        <v>57907.12890625</v>
      </c>
      <c r="AN191" s="12">
        <v>7803.59765625</v>
      </c>
      <c r="AO191" s="12">
        <v>7456.560546875</v>
      </c>
      <c r="AP191" s="12">
        <v>1985.8798828125</v>
      </c>
      <c r="AQ191" s="12">
        <v>2807.59619140625</v>
      </c>
      <c r="AR191" s="12">
        <v>729.99346923828125</v>
      </c>
      <c r="AS191" s="12">
        <v>2589.141845703125</v>
      </c>
      <c r="AT191" s="12">
        <v>1387.77685546875</v>
      </c>
      <c r="AU191" s="12">
        <v>1003.5154418945312</v>
      </c>
      <c r="AV191" s="12">
        <v>2500.822021484375</v>
      </c>
      <c r="AW191" s="12">
        <v>759.91143798828125</v>
      </c>
      <c r="AX191" s="12">
        <v>935.29461669921875</v>
      </c>
      <c r="AY191" s="12">
        <v>6403.2705078125</v>
      </c>
      <c r="AZ191" s="12">
        <v>1594.9412841796875</v>
      </c>
      <c r="BA191" s="12">
        <v>14295.2490234375</v>
      </c>
      <c r="BB191" s="12">
        <v>9609.9716796875</v>
      </c>
      <c r="BC191" s="12">
        <v>1667.58642578125</v>
      </c>
      <c r="BD191" s="12">
        <v>18671.642578125</v>
      </c>
      <c r="BE191" s="12">
        <v>6775.84619140625</v>
      </c>
      <c r="BF191" s="12">
        <v>9555.955078125</v>
      </c>
      <c r="BG191" s="12">
        <v>9146.677734375</v>
      </c>
      <c r="BH191" s="12">
        <v>1199.52685546875</v>
      </c>
      <c r="BI191" s="12">
        <v>1323.9290771484375</v>
      </c>
      <c r="BJ191" s="12">
        <v>2694.564208984375</v>
      </c>
      <c r="BK191" s="12">
        <v>546.531494140625</v>
      </c>
      <c r="BL191" s="12">
        <v>1835.69921875</v>
      </c>
      <c r="BM191" s="12">
        <v>2819.78759765625</v>
      </c>
      <c r="BN191" s="12">
        <v>4546.58935546875</v>
      </c>
      <c r="BO191" s="12">
        <v>1279.886962890625</v>
      </c>
      <c r="BP191" s="12">
        <v>3660.671875</v>
      </c>
      <c r="BQ191" s="12"/>
      <c r="BR191" s="12"/>
    </row>
    <row r="192" spans="2:70" x14ac:dyDescent="0.2">
      <c r="B192">
        <v>1987</v>
      </c>
      <c r="C192" s="12">
        <v>8344.4462890625</v>
      </c>
      <c r="D192" s="12">
        <v>20473.912109375</v>
      </c>
      <c r="E192" s="12">
        <v>26765.142578125</v>
      </c>
      <c r="F192" s="12">
        <v>8815.3623046875</v>
      </c>
      <c r="G192" s="12">
        <v>8412.3984375</v>
      </c>
      <c r="H192" s="12">
        <v>2402.537841796875</v>
      </c>
      <c r="I192" s="12">
        <v>11934.92578125</v>
      </c>
      <c r="J192" s="12">
        <v>4380.14892578125</v>
      </c>
      <c r="K192" s="12">
        <v>1886.03955078125</v>
      </c>
      <c r="L192" s="12">
        <v>25419.498046875</v>
      </c>
      <c r="M192" s="12">
        <v>29349.283203125</v>
      </c>
      <c r="N192" s="12">
        <v>19109.54296875</v>
      </c>
      <c r="O192" s="12">
        <v>23789.666015625</v>
      </c>
      <c r="P192" s="12">
        <v>21684.38671875</v>
      </c>
      <c r="Q192" s="12">
        <v>26202.744140625</v>
      </c>
      <c r="R192" s="12">
        <v>26502.15234375</v>
      </c>
      <c r="S192" s="12">
        <v>36087.453125</v>
      </c>
      <c r="T192" s="12">
        <v>26567.1484375</v>
      </c>
      <c r="U192" s="12">
        <v>22953.37890625</v>
      </c>
      <c r="V192" s="12">
        <v>10991.2490234375</v>
      </c>
      <c r="W192" s="12">
        <v>27702.203125</v>
      </c>
      <c r="X192" s="12">
        <v>26387.421875</v>
      </c>
      <c r="Y192" s="12">
        <v>22957.8046875</v>
      </c>
      <c r="Z192" s="12">
        <v>17429.53125</v>
      </c>
      <c r="AA192" s="12">
        <v>4810.6123046875</v>
      </c>
      <c r="AB192" s="12">
        <v>13848.349609375</v>
      </c>
      <c r="AC192" s="12">
        <v>8855.1748046875</v>
      </c>
      <c r="AD192" s="12">
        <v>5694.44091796875</v>
      </c>
      <c r="AE192" s="12">
        <v>6458.376953125</v>
      </c>
      <c r="AF192" s="12">
        <v>10825.1298828125</v>
      </c>
      <c r="AG192" s="12">
        <v>6947.74853515625</v>
      </c>
      <c r="AH192" s="12">
        <v>62919.296875</v>
      </c>
      <c r="AI192" s="12">
        <v>7805.64599609375</v>
      </c>
      <c r="AJ192" s="12">
        <v>6124.12939453125</v>
      </c>
      <c r="AK192" s="12">
        <v>5019.4951171875</v>
      </c>
      <c r="AL192" s="12">
        <v>2704.752685546875</v>
      </c>
      <c r="AM192" s="12">
        <v>52560.7421875</v>
      </c>
      <c r="AN192" s="12">
        <v>8238.7431640625</v>
      </c>
      <c r="AO192" s="12">
        <v>7540.61376953125</v>
      </c>
      <c r="AP192" s="12">
        <v>1978.419677734375</v>
      </c>
      <c r="AQ192" s="12">
        <v>2639.908203125</v>
      </c>
      <c r="AR192" s="12">
        <v>768.72100830078125</v>
      </c>
      <c r="AS192" s="12">
        <v>2643.589599609375</v>
      </c>
      <c r="AT192" s="12">
        <v>1350.127685546875</v>
      </c>
      <c r="AU192" s="12">
        <v>948.13958740234375</v>
      </c>
      <c r="AV192" s="12">
        <v>2421.511962890625</v>
      </c>
      <c r="AW192" s="12">
        <v>737.73590087890625</v>
      </c>
      <c r="AX192" s="12">
        <v>1124.8704833984375</v>
      </c>
      <c r="AY192" s="12">
        <v>6455.68359375</v>
      </c>
      <c r="AZ192" s="12">
        <v>1665.3184814453125</v>
      </c>
      <c r="BA192" s="12">
        <v>14174.87890625</v>
      </c>
      <c r="BB192" s="12">
        <v>9620.0791015625</v>
      </c>
      <c r="BC192" s="12">
        <v>1763.792236328125</v>
      </c>
      <c r="BD192" s="12">
        <v>19435.66796875</v>
      </c>
      <c r="BE192" s="12">
        <v>7581.82373046875</v>
      </c>
      <c r="BF192" s="12">
        <v>10839.3544921875</v>
      </c>
      <c r="BG192" s="12">
        <v>10077.2724609375</v>
      </c>
      <c r="BH192" s="12">
        <v>1213.94775390625</v>
      </c>
      <c r="BI192" s="12">
        <v>1347.2286376953125</v>
      </c>
      <c r="BJ192" s="12">
        <v>2735.662109375</v>
      </c>
      <c r="BK192" s="12">
        <v>521.595703125</v>
      </c>
      <c r="BL192" s="12">
        <v>1897.8917236328125</v>
      </c>
      <c r="BM192" s="12">
        <v>2904.718017578125</v>
      </c>
      <c r="BN192" s="12">
        <v>4977.14501953125</v>
      </c>
      <c r="BO192" s="12">
        <v>1285.144775390625</v>
      </c>
      <c r="BP192" s="12">
        <v>3787.511962890625</v>
      </c>
      <c r="BQ192" s="12"/>
      <c r="BR192" s="12"/>
    </row>
    <row r="193" spans="2:70" x14ac:dyDescent="0.2">
      <c r="B193">
        <v>1988</v>
      </c>
      <c r="C193" s="12">
        <v>8530.23046875</v>
      </c>
      <c r="D193" s="12">
        <v>21229.572265625</v>
      </c>
      <c r="E193" s="12">
        <v>27680.953125</v>
      </c>
      <c r="F193" s="12">
        <v>8725.4677734375</v>
      </c>
      <c r="G193" s="12">
        <v>8307.07421875</v>
      </c>
      <c r="H193" s="12">
        <v>2316.11767578125</v>
      </c>
      <c r="I193" s="12">
        <v>12127.9970703125</v>
      </c>
      <c r="J193" s="12">
        <v>4591.84521484375</v>
      </c>
      <c r="K193" s="12">
        <v>1982.7552490234375</v>
      </c>
      <c r="L193" s="12">
        <v>26415.3125</v>
      </c>
      <c r="M193" s="12">
        <v>29229.158203125</v>
      </c>
      <c r="N193" s="12">
        <v>20027.0234375</v>
      </c>
      <c r="O193" s="12">
        <v>24835.6484375</v>
      </c>
      <c r="P193" s="12">
        <v>22705.72265625</v>
      </c>
      <c r="Q193" s="12">
        <v>27314.802734375</v>
      </c>
      <c r="R193" s="12">
        <v>27017.005859375</v>
      </c>
      <c r="S193" s="12">
        <v>35032.38671875</v>
      </c>
      <c r="T193" s="12">
        <v>27002.99609375</v>
      </c>
      <c r="U193" s="12">
        <v>23995.224609375</v>
      </c>
      <c r="V193" s="12">
        <v>11129.04296875</v>
      </c>
      <c r="W193" s="12">
        <v>28666.814453125</v>
      </c>
      <c r="X193" s="12">
        <v>27380.748046875</v>
      </c>
      <c r="Y193" s="12">
        <v>23512.7734375</v>
      </c>
      <c r="Z193" s="12">
        <v>18008.6953125</v>
      </c>
      <c r="AA193" s="12">
        <v>4975.38623046875</v>
      </c>
      <c r="AB193" s="12">
        <v>13347.359375</v>
      </c>
      <c r="AC193" s="12">
        <v>8611.708984375</v>
      </c>
      <c r="AD193" s="12">
        <v>6065.302734375</v>
      </c>
      <c r="AE193" s="12">
        <v>6634.2041015625</v>
      </c>
      <c r="AF193" s="12">
        <v>10933.224609375</v>
      </c>
      <c r="AG193" s="12">
        <v>6884.6904296875</v>
      </c>
      <c r="AH193" s="12">
        <v>57398.8828125</v>
      </c>
      <c r="AI193" s="12">
        <v>7471.43798828125</v>
      </c>
      <c r="AJ193" s="12">
        <v>6292.8115234375</v>
      </c>
      <c r="AK193" s="12">
        <v>4602.638671875</v>
      </c>
      <c r="AL193" s="12">
        <v>2913.101806640625</v>
      </c>
      <c r="AM193" s="12">
        <v>53034.6640625</v>
      </c>
      <c r="AN193" s="12">
        <v>8181.033203125</v>
      </c>
      <c r="AO193" s="12">
        <v>7346.22607421875</v>
      </c>
      <c r="AP193" s="12">
        <v>1920.048095703125</v>
      </c>
      <c r="AQ193" s="12">
        <v>2554.47900390625</v>
      </c>
      <c r="AR193" s="12">
        <v>712.2501220703125</v>
      </c>
      <c r="AS193" s="12">
        <v>2700.428955078125</v>
      </c>
      <c r="AT193" s="12">
        <v>1469.6923828125</v>
      </c>
      <c r="AU193" s="12">
        <v>974.64202880859375</v>
      </c>
      <c r="AV193" s="12">
        <v>2572.373291015625</v>
      </c>
      <c r="AW193" s="12">
        <v>707.63555908203125</v>
      </c>
      <c r="AX193" s="12">
        <v>918.4468994140625</v>
      </c>
      <c r="AY193" s="12">
        <v>6589.3388671875</v>
      </c>
      <c r="AZ193" s="12">
        <v>1561.5555419921875</v>
      </c>
      <c r="BA193" s="12">
        <v>14399.02734375</v>
      </c>
      <c r="BB193" s="12">
        <v>9798.8076171875</v>
      </c>
      <c r="BC193" s="12">
        <v>1812.2178955078125</v>
      </c>
      <c r="BD193" s="12">
        <v>20647.759765625</v>
      </c>
      <c r="BE193" s="12">
        <v>8379.4697265625</v>
      </c>
      <c r="BF193" s="12">
        <v>11621.306640625</v>
      </c>
      <c r="BG193" s="12">
        <v>10840.2099609375</v>
      </c>
      <c r="BH193" s="12">
        <v>1218.94580078125</v>
      </c>
      <c r="BI193" s="12">
        <v>1420.51806640625</v>
      </c>
      <c r="BJ193" s="12">
        <v>2825.555419921875</v>
      </c>
      <c r="BK193" s="12">
        <v>462.65447998046875</v>
      </c>
      <c r="BL193" s="12">
        <v>1956.6260986328125</v>
      </c>
      <c r="BM193" s="12">
        <v>3059.34619140625</v>
      </c>
      <c r="BN193" s="12">
        <v>5544.47021484375</v>
      </c>
      <c r="BO193" s="12">
        <v>1322.8216552734375</v>
      </c>
      <c r="BP193" s="12">
        <v>4003.105712890625</v>
      </c>
      <c r="BQ193" s="12"/>
      <c r="BR193" s="12"/>
    </row>
    <row r="194" spans="2:70" x14ac:dyDescent="0.2">
      <c r="B194">
        <v>1989</v>
      </c>
      <c r="C194" s="12">
        <v>8660.970703125</v>
      </c>
      <c r="D194" s="12">
        <v>21851.72265625</v>
      </c>
      <c r="E194" s="12">
        <v>28363.029296875</v>
      </c>
      <c r="F194" s="12">
        <v>8714.7158203125</v>
      </c>
      <c r="G194" s="12">
        <v>8272.37890625</v>
      </c>
      <c r="H194" s="12">
        <v>2360.365966796875</v>
      </c>
      <c r="I194" s="12">
        <v>12271.21875</v>
      </c>
      <c r="J194" s="12">
        <v>4679.70068359375</v>
      </c>
      <c r="K194" s="12">
        <v>2086.543212890625</v>
      </c>
      <c r="L194" s="12">
        <v>27354.576171875</v>
      </c>
      <c r="M194" s="12">
        <v>29171.568359375</v>
      </c>
      <c r="N194" s="12">
        <v>21041.26953125</v>
      </c>
      <c r="O194" s="12">
        <v>25796.099609375</v>
      </c>
      <c r="P194" s="12">
        <v>23195.57421875</v>
      </c>
      <c r="Q194" s="12">
        <v>28172.80078125</v>
      </c>
      <c r="R194" s="12">
        <v>28105.10546875</v>
      </c>
      <c r="S194" s="12">
        <v>34986.40625</v>
      </c>
      <c r="T194" s="12">
        <v>27411.546875</v>
      </c>
      <c r="U194" s="12">
        <v>24848.84765625</v>
      </c>
      <c r="V194" s="12">
        <v>11034.7412109375</v>
      </c>
      <c r="W194" s="12">
        <v>29447.822265625</v>
      </c>
      <c r="X194" s="12">
        <v>27497.041015625</v>
      </c>
      <c r="Y194" s="12">
        <v>24028.560546875</v>
      </c>
      <c r="Z194" s="12">
        <v>17977.283203125</v>
      </c>
      <c r="AA194" s="12">
        <v>4994.2275390625</v>
      </c>
      <c r="AB194" s="12">
        <v>11611.744140625</v>
      </c>
      <c r="AC194" s="12">
        <v>8845.9296875</v>
      </c>
      <c r="AD194" s="12">
        <v>6612.12451171875</v>
      </c>
      <c r="AE194" s="12">
        <v>6620.6923828125</v>
      </c>
      <c r="AF194" s="12">
        <v>11380.794921875</v>
      </c>
      <c r="AG194" s="12">
        <v>6660.5439453125</v>
      </c>
      <c r="AH194" s="12">
        <v>63428.71875</v>
      </c>
      <c r="AI194" s="12">
        <v>7816.3916015625</v>
      </c>
      <c r="AJ194" s="12">
        <v>6436.869140625</v>
      </c>
      <c r="AK194" s="12">
        <v>4668.4609375</v>
      </c>
      <c r="AL194" s="12">
        <v>2920.130126953125</v>
      </c>
      <c r="AM194" s="12">
        <v>49797.3125</v>
      </c>
      <c r="AN194" s="12">
        <v>8154.28271484375</v>
      </c>
      <c r="AO194" s="12">
        <v>7153.3447265625</v>
      </c>
      <c r="AP194" s="12">
        <v>1853.639404296875</v>
      </c>
      <c r="AQ194" s="12">
        <v>2751.0009765625</v>
      </c>
      <c r="AR194" s="12">
        <v>685.06243896484375</v>
      </c>
      <c r="AS194" s="12">
        <v>2732.813720703125</v>
      </c>
      <c r="AT194" s="12">
        <v>1493.181396484375</v>
      </c>
      <c r="AU194" s="12">
        <v>943.11358642578125</v>
      </c>
      <c r="AV194" s="12">
        <v>2479.183837890625</v>
      </c>
      <c r="AW194" s="12">
        <v>709.72918701171875</v>
      </c>
      <c r="AX194" s="12">
        <v>1018.5980224609375</v>
      </c>
      <c r="AY194" s="12">
        <v>6510.48779296875</v>
      </c>
      <c r="AZ194" s="12">
        <v>1628.110595703125</v>
      </c>
      <c r="BA194" s="12">
        <v>14541.728515625</v>
      </c>
      <c r="BB194" s="12">
        <v>9972.9453125</v>
      </c>
      <c r="BC194" s="12">
        <v>1798.48876953125</v>
      </c>
      <c r="BD194" s="12">
        <v>21463.232421875</v>
      </c>
      <c r="BE194" s="12">
        <v>8885.326171875</v>
      </c>
      <c r="BF194" s="12">
        <v>12395.927734375</v>
      </c>
      <c r="BG194" s="12">
        <v>10763.2373046875</v>
      </c>
      <c r="BH194" s="12">
        <v>1251.6578369140625</v>
      </c>
      <c r="BI194" s="12">
        <v>1483.2547607421875</v>
      </c>
      <c r="BJ194" s="12">
        <v>3013.712158203125</v>
      </c>
      <c r="BK194" s="12">
        <v>474.48300170898438</v>
      </c>
      <c r="BL194" s="12">
        <v>1978.9501953125</v>
      </c>
      <c r="BM194" s="12">
        <v>3183.41064453125</v>
      </c>
      <c r="BN194" s="12">
        <v>6143.07861328125</v>
      </c>
      <c r="BO194" s="12">
        <v>1356.3836669921875</v>
      </c>
      <c r="BP194" s="12">
        <v>4205.2900390625</v>
      </c>
      <c r="BQ194" s="12"/>
      <c r="BR194" s="12"/>
    </row>
    <row r="195" spans="2:70" x14ac:dyDescent="0.2">
      <c r="B195">
        <v>1990</v>
      </c>
      <c r="C195" s="12">
        <v>8732.853515625</v>
      </c>
      <c r="D195" s="12">
        <v>22324.90625</v>
      </c>
      <c r="E195" s="12">
        <v>28522.822265625</v>
      </c>
      <c r="F195" s="12">
        <v>8698.978515625</v>
      </c>
      <c r="G195" s="12">
        <v>8596.865234375</v>
      </c>
      <c r="H195" s="12">
        <v>2388.21923828125</v>
      </c>
      <c r="I195" s="12">
        <v>12351.234375</v>
      </c>
      <c r="J195" s="12">
        <v>4779.62158203125</v>
      </c>
      <c r="K195" s="12">
        <v>2171.578369140625</v>
      </c>
      <c r="L195" s="12">
        <v>28583.75390625</v>
      </c>
      <c r="M195" s="12">
        <v>29341.37109375</v>
      </c>
      <c r="N195" s="12">
        <v>21763.234375</v>
      </c>
      <c r="O195" s="12">
        <v>26230.630859375</v>
      </c>
      <c r="P195" s="12">
        <v>23208.6015625</v>
      </c>
      <c r="Q195" s="12">
        <v>28556.947265625</v>
      </c>
      <c r="R195" s="12">
        <v>28326.806640625</v>
      </c>
      <c r="S195" s="12">
        <v>35806.09375</v>
      </c>
      <c r="T195" s="12">
        <v>27221.849609375</v>
      </c>
      <c r="U195" s="12">
        <v>25535.66015625</v>
      </c>
      <c r="V195" s="12">
        <v>11132.91796875</v>
      </c>
      <c r="W195" s="12">
        <v>29693.708984375</v>
      </c>
      <c r="X195" s="12">
        <v>27192.212890625</v>
      </c>
      <c r="Y195" s="12">
        <v>23855.408203125</v>
      </c>
      <c r="Z195" s="12">
        <v>17791.009765625</v>
      </c>
      <c r="AA195" s="12">
        <v>4877.46630859375</v>
      </c>
      <c r="AB195" s="12">
        <v>11894.4267578125</v>
      </c>
      <c r="AC195" s="12">
        <v>8389.962890625</v>
      </c>
      <c r="AD195" s="12">
        <v>6823.8203125</v>
      </c>
      <c r="AE195" s="12">
        <v>6763.48583984375</v>
      </c>
      <c r="AF195" s="12">
        <v>11895.6640625</v>
      </c>
      <c r="AG195" s="12">
        <v>6621.46337890625</v>
      </c>
      <c r="AH195" s="12">
        <v>70426.7265625</v>
      </c>
      <c r="AI195" s="12">
        <v>7732.67626953125</v>
      </c>
      <c r="AJ195" s="12">
        <v>6419.9609375</v>
      </c>
      <c r="AK195" s="12">
        <v>5064.603515625</v>
      </c>
      <c r="AL195" s="12">
        <v>3012.569091796875</v>
      </c>
      <c r="AM195" s="12">
        <v>50331.140625</v>
      </c>
      <c r="AN195" s="12">
        <v>8842.2705078125</v>
      </c>
      <c r="AO195" s="12">
        <v>7145.767578125</v>
      </c>
      <c r="AP195" s="12">
        <v>1673.1192626953125</v>
      </c>
      <c r="AQ195" s="12">
        <v>2577.73828125</v>
      </c>
      <c r="AR195" s="12">
        <v>716.7685546875</v>
      </c>
      <c r="AS195" s="12">
        <v>2727.901123046875</v>
      </c>
      <c r="AT195" s="12">
        <v>1380.7838134765625</v>
      </c>
      <c r="AU195" s="12">
        <v>903.2857666015625</v>
      </c>
      <c r="AV195" s="12">
        <v>2770.646484375</v>
      </c>
      <c r="AW195" s="12">
        <v>678.00079345703125</v>
      </c>
      <c r="AX195" s="12">
        <v>1115.5487060546875</v>
      </c>
      <c r="AY195" s="12">
        <v>6328.06201171875</v>
      </c>
      <c r="AZ195" s="12">
        <v>1674.865234375</v>
      </c>
      <c r="BA195" s="12">
        <v>14941.8544921875</v>
      </c>
      <c r="BB195" s="12">
        <v>9642.1259765625</v>
      </c>
      <c r="BC195" s="12">
        <v>1777.1934814453125</v>
      </c>
      <c r="BD195" s="12">
        <v>22377.705078125</v>
      </c>
      <c r="BE195" s="12">
        <v>9606.181640625</v>
      </c>
      <c r="BF195" s="12">
        <v>13057.322265625</v>
      </c>
      <c r="BG195" s="12">
        <v>10956.4951171875</v>
      </c>
      <c r="BH195" s="12">
        <v>1286.775146484375</v>
      </c>
      <c r="BI195" s="12">
        <v>1525.52978515625</v>
      </c>
      <c r="BJ195" s="12">
        <v>3207.84130859375</v>
      </c>
      <c r="BK195" s="12">
        <v>466.08343505859375</v>
      </c>
      <c r="BL195" s="12">
        <v>2000.3438720703125</v>
      </c>
      <c r="BM195" s="12">
        <v>3240.31396484375</v>
      </c>
      <c r="BN195" s="12">
        <v>6528.78076171875</v>
      </c>
      <c r="BO195" s="12">
        <v>1393.4061279296875</v>
      </c>
      <c r="BP195" s="12">
        <v>4447.298828125</v>
      </c>
      <c r="BQ195" s="12"/>
      <c r="BR195" s="12"/>
    </row>
    <row r="196" spans="2:70" x14ac:dyDescent="0.2">
      <c r="B196">
        <v>1991</v>
      </c>
      <c r="C196" s="12">
        <v>8660.041015625</v>
      </c>
      <c r="D196" s="12">
        <v>22362.44921875</v>
      </c>
      <c r="E196" s="12">
        <v>27976.44140625</v>
      </c>
      <c r="F196" s="12">
        <v>8811.4501953125</v>
      </c>
      <c r="G196" s="12">
        <v>8389.626953125</v>
      </c>
      <c r="H196" s="12">
        <v>2427.46435546875</v>
      </c>
      <c r="I196" s="12">
        <v>11919.96484375</v>
      </c>
      <c r="J196" s="12">
        <v>4933.94970703125</v>
      </c>
      <c r="K196" s="12">
        <v>2222.091552734375</v>
      </c>
      <c r="L196" s="12">
        <v>29550.013671875</v>
      </c>
      <c r="M196" s="12">
        <v>29757.333984375</v>
      </c>
      <c r="N196" s="12">
        <v>22305.380859375</v>
      </c>
      <c r="O196" s="12">
        <v>26294.08203125</v>
      </c>
      <c r="P196" s="12">
        <v>22901.896484375</v>
      </c>
      <c r="Q196" s="12">
        <v>28939.1171875</v>
      </c>
      <c r="R196" s="12">
        <v>29191.7109375</v>
      </c>
      <c r="S196" s="12">
        <v>36749.87109375</v>
      </c>
      <c r="T196" s="12">
        <v>26612.5390625</v>
      </c>
      <c r="U196" s="12">
        <v>25701.1171875</v>
      </c>
      <c r="V196" s="12">
        <v>9783.9248046875</v>
      </c>
      <c r="W196" s="12">
        <v>29165.73046875</v>
      </c>
      <c r="X196" s="12">
        <v>26435.162109375</v>
      </c>
      <c r="Y196" s="12">
        <v>23483.9296875</v>
      </c>
      <c r="Z196" s="12">
        <v>16035.6171875</v>
      </c>
      <c r="AA196" s="12">
        <v>5004.35986328125</v>
      </c>
      <c r="AB196" s="12">
        <v>13120.9384765625</v>
      </c>
      <c r="AC196" s="12">
        <v>8322.421875</v>
      </c>
      <c r="AD196" s="12">
        <v>7274.93115234375</v>
      </c>
      <c r="AE196" s="12">
        <v>6799.00732421875</v>
      </c>
      <c r="AF196" s="12">
        <v>12270.1083984375</v>
      </c>
      <c r="AG196" s="12">
        <v>6482.3115234375</v>
      </c>
      <c r="AH196" s="12">
        <v>69172.078125</v>
      </c>
      <c r="AI196" s="12">
        <v>7370.58984375</v>
      </c>
      <c r="AJ196" s="12">
        <v>6329.22265625</v>
      </c>
      <c r="AK196" s="12">
        <v>5526.283203125</v>
      </c>
      <c r="AL196" s="12">
        <v>3168.758544921875</v>
      </c>
      <c r="AM196" s="12">
        <v>51091.23046875</v>
      </c>
      <c r="AN196" s="12">
        <v>8738.033203125</v>
      </c>
      <c r="AO196" s="12">
        <v>6153.68505859375</v>
      </c>
      <c r="AP196" s="12">
        <v>1483.5401611328125</v>
      </c>
      <c r="AQ196" s="12">
        <v>2451.61865234375</v>
      </c>
      <c r="AR196" s="12">
        <v>631.1175537109375</v>
      </c>
      <c r="AS196" s="12">
        <v>2673.888427734375</v>
      </c>
      <c r="AT196" s="12">
        <v>1542.48291015625</v>
      </c>
      <c r="AU196" s="12">
        <v>902.20361328125</v>
      </c>
      <c r="AV196" s="12">
        <v>2639.333251953125</v>
      </c>
      <c r="AW196" s="12">
        <v>641.31280517578125</v>
      </c>
      <c r="AX196" s="12">
        <v>1264.164794921875</v>
      </c>
      <c r="AY196" s="12">
        <v>6427.87353515625</v>
      </c>
      <c r="AZ196" s="12">
        <v>1738.76123046875</v>
      </c>
      <c r="BA196" s="12">
        <v>14864.9462890625</v>
      </c>
      <c r="BB196" s="12">
        <v>8727.2978515625</v>
      </c>
      <c r="BC196" s="12">
        <v>1861.9930419921875</v>
      </c>
      <c r="BD196" s="12">
        <v>22865.978515625</v>
      </c>
      <c r="BE196" s="12">
        <v>10617.2080078125</v>
      </c>
      <c r="BF196" s="12">
        <v>13826.10546875</v>
      </c>
      <c r="BG196" s="12">
        <v>11388.4853515625</v>
      </c>
      <c r="BH196" s="12">
        <v>1311.9161376953125</v>
      </c>
      <c r="BI196" s="12">
        <v>1518.252685546875</v>
      </c>
      <c r="BJ196" s="12">
        <v>3455.124267578125</v>
      </c>
      <c r="BK196" s="12">
        <v>448.73880004882812</v>
      </c>
      <c r="BL196" s="12">
        <v>2057.97412109375</v>
      </c>
      <c r="BM196" s="12">
        <v>3163.119384765625</v>
      </c>
      <c r="BN196" s="12">
        <v>6781.48583984375</v>
      </c>
      <c r="BO196" s="12">
        <v>1472.4339599609375</v>
      </c>
      <c r="BP196" s="12">
        <v>4572.666015625</v>
      </c>
      <c r="BQ196" s="12"/>
      <c r="BR196" s="12"/>
    </row>
    <row r="197" spans="2:70" x14ac:dyDescent="0.2">
      <c r="B197">
        <v>1992</v>
      </c>
      <c r="C197" s="12">
        <v>8677.0458984375</v>
      </c>
      <c r="D197" s="12">
        <v>22353.681640625</v>
      </c>
      <c r="E197" s="12">
        <v>28657.392578125</v>
      </c>
      <c r="F197" s="12">
        <v>8880.1015625</v>
      </c>
      <c r="G197" s="12">
        <v>8676.2685546875</v>
      </c>
      <c r="H197" s="12">
        <v>2376.134765625</v>
      </c>
      <c r="I197" s="12">
        <v>10452.21875</v>
      </c>
      <c r="J197" s="12">
        <v>5047.50927734375</v>
      </c>
      <c r="K197" s="12">
        <v>2290.501953125</v>
      </c>
      <c r="L197" s="12">
        <v>29946.123046875</v>
      </c>
      <c r="M197" s="12">
        <v>30578.8359375</v>
      </c>
      <c r="N197" s="12">
        <v>22388.125</v>
      </c>
      <c r="O197" s="12">
        <v>26513.330078125</v>
      </c>
      <c r="P197" s="12">
        <v>23220.59765625</v>
      </c>
      <c r="Q197" s="12">
        <v>29001.501953125</v>
      </c>
      <c r="R197" s="12">
        <v>29019.64453125</v>
      </c>
      <c r="S197" s="12">
        <v>37905.484375</v>
      </c>
      <c r="T197" s="12">
        <v>25668.71484375</v>
      </c>
      <c r="U197" s="12">
        <v>25515.857421875</v>
      </c>
      <c r="V197" s="12">
        <v>8841.7822265625</v>
      </c>
      <c r="W197" s="12">
        <v>29986.951171875</v>
      </c>
      <c r="X197" s="12">
        <v>26248.365234375</v>
      </c>
      <c r="Y197" s="12">
        <v>23789.74609375</v>
      </c>
      <c r="Z197" s="12">
        <v>15955.84375</v>
      </c>
      <c r="AA197" s="12">
        <v>4993.1259765625</v>
      </c>
      <c r="AB197" s="12">
        <v>14378.7490234375</v>
      </c>
      <c r="AC197" s="12">
        <v>8094.85888671875</v>
      </c>
      <c r="AD197" s="12">
        <v>8165.3134765625</v>
      </c>
      <c r="AE197" s="12">
        <v>6959.48779296875</v>
      </c>
      <c r="AF197" s="12">
        <v>12500.7578125</v>
      </c>
      <c r="AG197" s="12">
        <v>6388.71728515625</v>
      </c>
      <c r="AH197" s="12">
        <v>66586.3984375</v>
      </c>
      <c r="AI197" s="12">
        <v>7578.44873046875</v>
      </c>
      <c r="AJ197" s="12">
        <v>6282.90185546875</v>
      </c>
      <c r="AK197" s="12">
        <v>5618.13232421875</v>
      </c>
      <c r="AL197" s="12">
        <v>2994.328125</v>
      </c>
      <c r="AM197" s="12">
        <v>50335.890625</v>
      </c>
      <c r="AN197" s="12">
        <v>9119.5283203125</v>
      </c>
      <c r="AO197" s="12">
        <v>6764.13427734375</v>
      </c>
      <c r="AP197" s="12">
        <v>1276.257080078125</v>
      </c>
      <c r="AQ197" s="12">
        <v>2387.4775390625</v>
      </c>
      <c r="AR197" s="12">
        <v>603.853759765625</v>
      </c>
      <c r="AS197" s="12">
        <v>2576.02587890625</v>
      </c>
      <c r="AT197" s="12">
        <v>1429.6634521484375</v>
      </c>
      <c r="AU197" s="12">
        <v>879.0819091796875</v>
      </c>
      <c r="AV197" s="12">
        <v>2731.32470703125</v>
      </c>
      <c r="AW197" s="12">
        <v>678.6531982421875</v>
      </c>
      <c r="AX197" s="12">
        <v>1267.4476318359375</v>
      </c>
      <c r="AY197" s="12">
        <v>6428.71630859375</v>
      </c>
      <c r="AZ197" s="12">
        <v>1696.40234375</v>
      </c>
      <c r="BA197" s="12">
        <v>13133.9423828125</v>
      </c>
      <c r="BB197" s="12">
        <v>7565.3671875</v>
      </c>
      <c r="BC197" s="12">
        <v>2004.5750732421875</v>
      </c>
      <c r="BD197" s="12">
        <v>22763.08203125</v>
      </c>
      <c r="BE197" s="12">
        <v>11113.0283203125</v>
      </c>
      <c r="BF197" s="12">
        <v>14586.5263671875</v>
      </c>
      <c r="BG197" s="12">
        <v>11445.0322265625</v>
      </c>
      <c r="BH197" s="12">
        <v>1343.4620361328125</v>
      </c>
      <c r="BI197" s="12">
        <v>1541.8951416015625</v>
      </c>
      <c r="BJ197" s="12">
        <v>3631.9541015625</v>
      </c>
      <c r="BK197" s="12">
        <v>501.2513427734375</v>
      </c>
      <c r="BL197" s="12">
        <v>2068.564208984375</v>
      </c>
      <c r="BM197" s="12">
        <v>3189.333740234375</v>
      </c>
      <c r="BN197" s="12">
        <v>7153.2890625</v>
      </c>
      <c r="BO197" s="12">
        <v>1565.7000732421875</v>
      </c>
      <c r="BP197" s="12">
        <v>4697.52099609375</v>
      </c>
      <c r="BQ197" s="12"/>
      <c r="BR197" s="12"/>
    </row>
    <row r="198" spans="2:70" x14ac:dyDescent="0.2">
      <c r="B198">
        <v>1993</v>
      </c>
      <c r="C198" s="12">
        <v>8676.8603515625</v>
      </c>
      <c r="D198" s="12">
        <v>22226.015625</v>
      </c>
      <c r="E198" s="12">
        <v>29130.916015625</v>
      </c>
      <c r="F198" s="12">
        <v>8850.3935546875</v>
      </c>
      <c r="G198" s="12">
        <v>8800.478515625</v>
      </c>
      <c r="H198" s="12">
        <v>2457.942626953125</v>
      </c>
      <c r="I198" s="12">
        <v>9644.5341796875</v>
      </c>
      <c r="J198" s="12">
        <v>5168.76513671875</v>
      </c>
      <c r="K198" s="12">
        <v>2375.25341796875</v>
      </c>
      <c r="L198" s="12">
        <v>29157.58984375</v>
      </c>
      <c r="M198" s="12">
        <v>30598.412109375</v>
      </c>
      <c r="N198" s="12">
        <v>21943.93359375</v>
      </c>
      <c r="O198" s="12">
        <v>26228.982421875</v>
      </c>
      <c r="P198" s="12">
        <v>24052.802734375</v>
      </c>
      <c r="Q198" s="12">
        <v>28650.9765625</v>
      </c>
      <c r="R198" s="12">
        <v>29665.373046875</v>
      </c>
      <c r="S198" s="12">
        <v>38717.0078125</v>
      </c>
      <c r="T198" s="12">
        <v>24559.650390625</v>
      </c>
      <c r="U198" s="12">
        <v>25322.7734375</v>
      </c>
      <c r="V198" s="12">
        <v>8647.2490234375</v>
      </c>
      <c r="W198" s="12">
        <v>30485.693359375</v>
      </c>
      <c r="X198" s="12">
        <v>26410.974609375</v>
      </c>
      <c r="Y198" s="12">
        <v>24622.408203125</v>
      </c>
      <c r="Z198" s="12">
        <v>16422.8984375</v>
      </c>
      <c r="AA198" s="12">
        <v>5178.94970703125</v>
      </c>
      <c r="AB198" s="12">
        <v>14735.857421875</v>
      </c>
      <c r="AC198" s="12">
        <v>8299.7685546875</v>
      </c>
      <c r="AD198" s="12">
        <v>8685.1162109375</v>
      </c>
      <c r="AE198" s="12">
        <v>7303.07275390625</v>
      </c>
      <c r="AF198" s="12">
        <v>12053.4404296875</v>
      </c>
      <c r="AG198" s="12">
        <v>6207.41748046875</v>
      </c>
      <c r="AH198" s="12">
        <v>63211.7890625</v>
      </c>
      <c r="AI198" s="12">
        <v>7083.69091796875</v>
      </c>
      <c r="AJ198" s="12">
        <v>6520.56103515625</v>
      </c>
      <c r="AK198" s="12">
        <v>5564.38330078125</v>
      </c>
      <c r="AL198" s="12">
        <v>2898.906494140625</v>
      </c>
      <c r="AM198" s="12">
        <v>47856.390625</v>
      </c>
      <c r="AN198" s="12">
        <v>9725.6171875</v>
      </c>
      <c r="AO198" s="12">
        <v>7100.40966796875</v>
      </c>
      <c r="AP198" s="12">
        <v>1067.5400390625</v>
      </c>
      <c r="AQ198" s="12">
        <v>2333.35595703125</v>
      </c>
      <c r="AR198" s="12">
        <v>615.57586669921875</v>
      </c>
      <c r="AS198" s="12">
        <v>2539.9609375</v>
      </c>
      <c r="AT198" s="12">
        <v>1469.47900390625</v>
      </c>
      <c r="AU198" s="12">
        <v>856.2452392578125</v>
      </c>
      <c r="AV198" s="12">
        <v>2564.306640625</v>
      </c>
      <c r="AW198" s="12">
        <v>599.22833251953125</v>
      </c>
      <c r="AX198" s="12">
        <v>1524.476806640625</v>
      </c>
      <c r="AY198" s="12">
        <v>6646.00732421875</v>
      </c>
      <c r="AZ198" s="12">
        <v>1780.347900390625</v>
      </c>
      <c r="BA198" s="12">
        <v>12522.537109375</v>
      </c>
      <c r="BB198" s="12">
        <v>6483.0712890625</v>
      </c>
      <c r="BC198" s="12">
        <v>2174.021728515625</v>
      </c>
      <c r="BD198" s="12">
        <v>22382.982421875</v>
      </c>
      <c r="BE198" s="12">
        <v>11775.8837890625</v>
      </c>
      <c r="BF198" s="12">
        <v>15331.19140625</v>
      </c>
      <c r="BG198" s="12">
        <v>12172.5234375</v>
      </c>
      <c r="BH198" s="12">
        <v>1375.5972900390625</v>
      </c>
      <c r="BI198" s="12">
        <v>1584.0634765625</v>
      </c>
      <c r="BJ198" s="12">
        <v>3848.8037109375</v>
      </c>
      <c r="BK198" s="12">
        <v>538.544677734375</v>
      </c>
      <c r="BL198" s="12">
        <v>2066.312255859375</v>
      </c>
      <c r="BM198" s="12">
        <v>3149.937255859375</v>
      </c>
      <c r="BN198" s="12">
        <v>7629.54296875</v>
      </c>
      <c r="BO198" s="12">
        <v>1666.145263671875</v>
      </c>
      <c r="BP198" s="12">
        <v>4833.92431640625</v>
      </c>
      <c r="BQ198" s="12"/>
      <c r="BR198" s="12"/>
    </row>
    <row r="199" spans="2:70" x14ac:dyDescent="0.2">
      <c r="B199">
        <v>1994</v>
      </c>
      <c r="C199" s="12">
        <v>8822.4189453125</v>
      </c>
      <c r="D199" s="12">
        <v>22890.12890625</v>
      </c>
      <c r="E199" s="12">
        <v>30024.01171875</v>
      </c>
      <c r="F199" s="12">
        <v>9158.5341796875</v>
      </c>
      <c r="G199" s="12">
        <v>8636.9375</v>
      </c>
      <c r="H199" s="12">
        <v>2255.555419921875</v>
      </c>
      <c r="I199" s="12">
        <v>8510.3564453125</v>
      </c>
      <c r="J199" s="12">
        <v>5351.9638671875</v>
      </c>
      <c r="K199" s="12">
        <v>2492.36474609375</v>
      </c>
      <c r="L199" s="12">
        <v>29714.173828125</v>
      </c>
      <c r="M199" s="12">
        <v>32303.279296875</v>
      </c>
      <c r="N199" s="12">
        <v>22146.1484375</v>
      </c>
      <c r="O199" s="12">
        <v>26765.0078125</v>
      </c>
      <c r="P199" s="12">
        <v>25418.951171875</v>
      </c>
      <c r="Q199" s="12">
        <v>29177.154296875</v>
      </c>
      <c r="R199" s="12">
        <v>30714.861328125</v>
      </c>
      <c r="S199" s="12">
        <v>41006.7578125</v>
      </c>
      <c r="T199" s="12">
        <v>25958.51171875</v>
      </c>
      <c r="U199" s="12">
        <v>25936.5390625</v>
      </c>
      <c r="V199" s="12">
        <v>8948.46875</v>
      </c>
      <c r="W199" s="12">
        <v>31415.943359375</v>
      </c>
      <c r="X199" s="12">
        <v>27453.990234375</v>
      </c>
      <c r="Y199" s="12">
        <v>25180.435546875</v>
      </c>
      <c r="Z199" s="12">
        <v>17651.66796875</v>
      </c>
      <c r="AA199" s="12">
        <v>5223.2080078125</v>
      </c>
      <c r="AB199" s="12">
        <v>15418.044921875</v>
      </c>
      <c r="AC199" s="12">
        <v>8773.4443359375</v>
      </c>
      <c r="AD199" s="12">
        <v>8935.3359375</v>
      </c>
      <c r="AE199" s="12">
        <v>7633.2333984375</v>
      </c>
      <c r="AF199" s="12">
        <v>12283.310546875</v>
      </c>
      <c r="AG199" s="12">
        <v>6327.88623046875</v>
      </c>
      <c r="AH199" s="12">
        <v>64118.14453125</v>
      </c>
      <c r="AI199" s="12">
        <v>6835.4580078125</v>
      </c>
      <c r="AJ199" s="12">
        <v>6673.83935546875</v>
      </c>
      <c r="AK199" s="12">
        <v>5475.47900390625</v>
      </c>
      <c r="AL199" s="12">
        <v>3166.1640625</v>
      </c>
      <c r="AM199" s="12">
        <v>45375.2578125</v>
      </c>
      <c r="AN199" s="12">
        <v>8850.927734375</v>
      </c>
      <c r="AO199" s="12">
        <v>7152.18017578125</v>
      </c>
      <c r="AP199" s="12">
        <v>972.5439453125</v>
      </c>
      <c r="AQ199" s="12">
        <v>2329.96142578125</v>
      </c>
      <c r="AR199" s="12">
        <v>625.8416748046875</v>
      </c>
      <c r="AS199" s="12">
        <v>2548.201904296875</v>
      </c>
      <c r="AT199" s="12">
        <v>1498.067138671875</v>
      </c>
      <c r="AU199" s="12">
        <v>842.36285400390625</v>
      </c>
      <c r="AV199" s="12">
        <v>2458.015380859375</v>
      </c>
      <c r="AW199" s="12">
        <v>344.42605590820312</v>
      </c>
      <c r="AX199" s="12">
        <v>1133.2044677734375</v>
      </c>
      <c r="AY199" s="12">
        <v>6798.27978515625</v>
      </c>
      <c r="AZ199" s="12">
        <v>1572.5721435546875</v>
      </c>
      <c r="BA199" s="12">
        <v>11455.919921875</v>
      </c>
      <c r="BB199" s="12">
        <v>5182.83056640625</v>
      </c>
      <c r="BC199" s="12">
        <v>2330.73876953125</v>
      </c>
      <c r="BD199" s="12">
        <v>22476.494140625</v>
      </c>
      <c r="BE199" s="12">
        <v>12829.1572265625</v>
      </c>
      <c r="BF199" s="12">
        <v>16355.353515625</v>
      </c>
      <c r="BG199" s="12">
        <v>12653.3994140625</v>
      </c>
      <c r="BH199" s="12">
        <v>1413.52197265625</v>
      </c>
      <c r="BI199" s="12">
        <v>1658.5992431640625</v>
      </c>
      <c r="BJ199" s="12">
        <v>4079.35546875</v>
      </c>
      <c r="BK199" s="12">
        <v>569.75079345703125</v>
      </c>
      <c r="BL199" s="12">
        <v>2097.2568359375</v>
      </c>
      <c r="BM199" s="12">
        <v>3230.262939453125</v>
      </c>
      <c r="BN199" s="12">
        <v>8021.7265625</v>
      </c>
      <c r="BO199" s="12">
        <v>1775.1187744140625</v>
      </c>
      <c r="BP199" s="12">
        <v>5106.25048828125</v>
      </c>
      <c r="BQ199" s="12"/>
      <c r="BR199" s="12"/>
    </row>
    <row r="200" spans="2:70" x14ac:dyDescent="0.2">
      <c r="B200">
        <v>1995</v>
      </c>
      <c r="C200" s="12">
        <v>8997.0634765625</v>
      </c>
      <c r="D200" s="12">
        <v>23546.6484375</v>
      </c>
      <c r="E200" s="12">
        <v>30507.197265625</v>
      </c>
      <c r="F200" s="12">
        <v>9012.3076171875</v>
      </c>
      <c r="G200" s="12">
        <v>8818.3134765625</v>
      </c>
      <c r="H200" s="12">
        <v>2250.671630859375</v>
      </c>
      <c r="I200" s="12">
        <v>9017.5341796875</v>
      </c>
      <c r="J200" s="12">
        <v>5651.994140625</v>
      </c>
      <c r="K200" s="12">
        <v>2622.91455078125</v>
      </c>
      <c r="L200" s="12">
        <v>30178.130859375</v>
      </c>
      <c r="M200" s="12">
        <v>33240.95703125</v>
      </c>
      <c r="N200" s="12">
        <v>22773.580078125</v>
      </c>
      <c r="O200" s="12">
        <v>27310.07421875</v>
      </c>
      <c r="P200" s="12">
        <v>26437.4609375</v>
      </c>
      <c r="Q200" s="12">
        <v>30169.888671875</v>
      </c>
      <c r="R200" s="12">
        <v>31537.7421875</v>
      </c>
      <c r="S200" s="12">
        <v>42822.2578125</v>
      </c>
      <c r="T200" s="12">
        <v>26893.15234375</v>
      </c>
      <c r="U200" s="12">
        <v>26587.76171875</v>
      </c>
      <c r="V200" s="12">
        <v>9304.62890625</v>
      </c>
      <c r="W200" s="12">
        <v>31929.9140625</v>
      </c>
      <c r="X200" s="12">
        <v>27756.818359375</v>
      </c>
      <c r="Y200" s="12">
        <v>25886.9765625</v>
      </c>
      <c r="Z200" s="12">
        <v>18216.94140625</v>
      </c>
      <c r="AA200" s="12">
        <v>5091.65283203125</v>
      </c>
      <c r="AB200" s="12">
        <v>14522.8564453125</v>
      </c>
      <c r="AC200" s="12">
        <v>9206.0078125</v>
      </c>
      <c r="AD200" s="12">
        <v>9887.1904296875</v>
      </c>
      <c r="AE200" s="12">
        <v>7885.3564453125</v>
      </c>
      <c r="AF200" s="12">
        <v>10838.5419921875</v>
      </c>
      <c r="AG200" s="12">
        <v>6456.66748046875</v>
      </c>
      <c r="AH200" s="12">
        <v>66159.34375</v>
      </c>
      <c r="AI200" s="12">
        <v>6997.306640625</v>
      </c>
      <c r="AJ200" s="12">
        <v>6895.818359375</v>
      </c>
      <c r="AK200" s="12">
        <v>5481.8505859375</v>
      </c>
      <c r="AL200" s="12">
        <v>2903.837646484375</v>
      </c>
      <c r="AM200" s="12">
        <v>44048.27734375</v>
      </c>
      <c r="AN200" s="12">
        <v>9417.8115234375</v>
      </c>
      <c r="AO200" s="12">
        <v>7307.91357421875</v>
      </c>
      <c r="AP200" s="12">
        <v>947.89959716796875</v>
      </c>
      <c r="AQ200" s="12">
        <v>2395.97900390625</v>
      </c>
      <c r="AR200" s="12">
        <v>666.46795654296875</v>
      </c>
      <c r="AS200" s="12">
        <v>2590.368896484375</v>
      </c>
      <c r="AT200" s="12">
        <v>1476.604736328125</v>
      </c>
      <c r="AU200" s="12">
        <v>846.08758544921875</v>
      </c>
      <c r="AV200" s="12">
        <v>2511.451904296875</v>
      </c>
      <c r="AW200" s="12">
        <v>562.07073974609375</v>
      </c>
      <c r="AX200" s="12">
        <v>1101.637451171875</v>
      </c>
      <c r="AY200" s="12">
        <v>6908.49609375</v>
      </c>
      <c r="AZ200" s="12">
        <v>1550.919189453125</v>
      </c>
      <c r="BA200" s="12">
        <v>12768.0869140625</v>
      </c>
      <c r="BB200" s="12">
        <v>4650.40380859375</v>
      </c>
      <c r="BC200" s="12">
        <v>2563.14453125</v>
      </c>
      <c r="BD200" s="12">
        <v>23198.068359375</v>
      </c>
      <c r="BE200" s="12">
        <v>13742.005859375</v>
      </c>
      <c r="BF200" s="12">
        <v>17064.978515625</v>
      </c>
      <c r="BG200" s="12">
        <v>12709.947265625</v>
      </c>
      <c r="BH200" s="12">
        <v>1458.6201171875</v>
      </c>
      <c r="BI200" s="12">
        <v>1748.3519287109375</v>
      </c>
      <c r="BJ200" s="12">
        <v>4331.95947265625</v>
      </c>
      <c r="BK200" s="12">
        <v>599.3577880859375</v>
      </c>
      <c r="BL200" s="12">
        <v>2188.6083984375</v>
      </c>
      <c r="BM200" s="12">
        <v>3360.151123046875</v>
      </c>
      <c r="BN200" s="12">
        <v>8399.5400390625</v>
      </c>
      <c r="BO200" s="12">
        <v>1899.549072265625</v>
      </c>
      <c r="BP200" s="12">
        <v>5342.99072265625</v>
      </c>
      <c r="BQ200" s="12"/>
      <c r="BR200" s="12"/>
    </row>
    <row r="201" spans="2:70" x14ac:dyDescent="0.2">
      <c r="B201">
        <v>1996</v>
      </c>
      <c r="C201" s="12">
        <v>9181.607421875</v>
      </c>
      <c r="D201" s="12">
        <v>24034.146484375</v>
      </c>
      <c r="E201" s="12">
        <v>31394.744140625</v>
      </c>
      <c r="F201" s="12">
        <v>9328.9326171875</v>
      </c>
      <c r="G201" s="12">
        <v>9231.52734375</v>
      </c>
      <c r="H201" s="12">
        <v>2373.9384765625</v>
      </c>
      <c r="I201" s="12">
        <v>8566.71875</v>
      </c>
      <c r="J201" s="12">
        <v>5822.43603515625</v>
      </c>
      <c r="K201" s="12">
        <v>2752.1865234375</v>
      </c>
      <c r="L201" s="12">
        <v>30220.751953125</v>
      </c>
      <c r="M201" s="12">
        <v>34203.33984375</v>
      </c>
      <c r="N201" s="12">
        <v>23238.318359375</v>
      </c>
      <c r="O201" s="12">
        <v>27742.9921875</v>
      </c>
      <c r="P201" s="12">
        <v>27083.6484375</v>
      </c>
      <c r="Q201" s="12">
        <v>30829.658203125</v>
      </c>
      <c r="R201" s="12">
        <v>32532.90234375</v>
      </c>
      <c r="S201" s="12">
        <v>45129.4765625</v>
      </c>
      <c r="T201" s="12">
        <v>27325.37890625</v>
      </c>
      <c r="U201" s="12">
        <v>27184.177734375</v>
      </c>
      <c r="V201" s="12">
        <v>9778.2021484375</v>
      </c>
      <c r="W201" s="12">
        <v>32917.2109375</v>
      </c>
      <c r="X201" s="12">
        <v>28045.115234375</v>
      </c>
      <c r="Y201" s="12">
        <v>26868.626953125</v>
      </c>
      <c r="Z201" s="12">
        <v>18061.154296875</v>
      </c>
      <c r="AA201" s="12">
        <v>5203.26416015625</v>
      </c>
      <c r="AB201" s="12">
        <v>15101.1181640625</v>
      </c>
      <c r="AC201" s="12">
        <v>9456.1298828125</v>
      </c>
      <c r="AD201" s="12">
        <v>10421.9814453125</v>
      </c>
      <c r="AE201" s="12">
        <v>7847.62451171875</v>
      </c>
      <c r="AF201" s="12">
        <v>11433.4716796875</v>
      </c>
      <c r="AG201" s="12">
        <v>6644.01123046875</v>
      </c>
      <c r="AH201" s="12">
        <v>66204.2734375</v>
      </c>
      <c r="AI201" s="12">
        <v>7085.56640625</v>
      </c>
      <c r="AJ201" s="12">
        <v>7327.068359375</v>
      </c>
      <c r="AK201" s="12">
        <v>5760.01904296875</v>
      </c>
      <c r="AL201" s="12">
        <v>3219.454833984375</v>
      </c>
      <c r="AM201" s="12">
        <v>43781.7734375</v>
      </c>
      <c r="AN201" s="12">
        <v>9967.2041015625</v>
      </c>
      <c r="AO201" s="12">
        <v>7746.61376953125</v>
      </c>
      <c r="AP201" s="12">
        <v>892.74066162109375</v>
      </c>
      <c r="AQ201" s="12">
        <v>2453.381591796875</v>
      </c>
      <c r="AR201" s="12">
        <v>696.80743408203125</v>
      </c>
      <c r="AS201" s="12">
        <v>2650.139404296875</v>
      </c>
      <c r="AT201" s="12">
        <v>1540.2349853515625</v>
      </c>
      <c r="AU201" s="12">
        <v>863.54052734375</v>
      </c>
      <c r="AV201" s="12">
        <v>2553.62890625</v>
      </c>
      <c r="AW201" s="12">
        <v>580.54052734375</v>
      </c>
      <c r="AX201" s="12">
        <v>1291.1068115234375</v>
      </c>
      <c r="AY201" s="12">
        <v>7134.93212890625</v>
      </c>
      <c r="AZ201" s="12">
        <v>1670.9197998046875</v>
      </c>
      <c r="BA201" s="12">
        <v>11976.2783203125</v>
      </c>
      <c r="BB201" s="12">
        <v>4623.77978515625</v>
      </c>
      <c r="BC201" s="12">
        <v>2627.35986328125</v>
      </c>
      <c r="BD201" s="12">
        <v>23912.64453125</v>
      </c>
      <c r="BE201" s="12">
        <v>14680.546875</v>
      </c>
      <c r="BF201" s="12">
        <v>18120.40625</v>
      </c>
      <c r="BG201" s="12">
        <v>12899.494140625</v>
      </c>
      <c r="BH201" s="12">
        <v>1497.66943359375</v>
      </c>
      <c r="BI201" s="12">
        <v>1842.097412109375</v>
      </c>
      <c r="BJ201" s="12">
        <v>4606.296875</v>
      </c>
      <c r="BK201" s="12">
        <v>636.7301025390625</v>
      </c>
      <c r="BL201" s="12">
        <v>2281.863525390625</v>
      </c>
      <c r="BM201" s="12">
        <v>3458.298583984375</v>
      </c>
      <c r="BN201" s="12">
        <v>8665.03125</v>
      </c>
      <c r="BO201" s="12">
        <v>1987.7606201171875</v>
      </c>
      <c r="BP201" s="12">
        <v>5603.26220703125</v>
      </c>
      <c r="BQ201" s="12"/>
      <c r="BR201" s="12"/>
    </row>
    <row r="202" spans="2:70" x14ac:dyDescent="0.2">
      <c r="B202">
        <v>1997</v>
      </c>
      <c r="C202" s="12">
        <v>9416.169921875</v>
      </c>
      <c r="D202" s="12">
        <v>24804.7265625</v>
      </c>
      <c r="E202" s="12">
        <v>32465.201171875</v>
      </c>
      <c r="F202" s="12">
        <v>9679.99609375</v>
      </c>
      <c r="G202" s="12">
        <v>9451.71875</v>
      </c>
      <c r="H202" s="12">
        <v>2430.395751953125</v>
      </c>
      <c r="I202" s="12">
        <v>8746.28125</v>
      </c>
      <c r="J202" s="12">
        <v>5983.87939453125</v>
      </c>
      <c r="K202" s="12">
        <v>2823.893310546875</v>
      </c>
      <c r="L202" s="12">
        <v>30850.599609375</v>
      </c>
      <c r="M202" s="12">
        <v>34728.65234375</v>
      </c>
      <c r="N202" s="12">
        <v>23908.52734375</v>
      </c>
      <c r="O202" s="12">
        <v>28695.509765625</v>
      </c>
      <c r="P202" s="12">
        <v>28245.94921875</v>
      </c>
      <c r="Q202" s="12">
        <v>31592.828125</v>
      </c>
      <c r="R202" s="12">
        <v>33573.33984375</v>
      </c>
      <c r="S202" s="12">
        <v>47659.42578125</v>
      </c>
      <c r="T202" s="12">
        <v>28089.658203125</v>
      </c>
      <c r="U202" s="12">
        <v>28263.03125</v>
      </c>
      <c r="V202" s="12">
        <v>10044.8935546875</v>
      </c>
      <c r="W202" s="12">
        <v>34043.8203125</v>
      </c>
      <c r="X202" s="12">
        <v>29011.9375</v>
      </c>
      <c r="Y202" s="12">
        <v>27917.26953125</v>
      </c>
      <c r="Z202" s="12">
        <v>19392.552734375</v>
      </c>
      <c r="AA202" s="12">
        <v>5042.67529296875</v>
      </c>
      <c r="AB202" s="12">
        <v>16109.9267578125</v>
      </c>
      <c r="AC202" s="12">
        <v>9606.0478515625</v>
      </c>
      <c r="AD202" s="12">
        <v>11103.6513671875</v>
      </c>
      <c r="AE202" s="12">
        <v>7924.39697265625</v>
      </c>
      <c r="AF202" s="12">
        <v>12208.81640625</v>
      </c>
      <c r="AG202" s="12">
        <v>6794.185546875</v>
      </c>
      <c r="AH202" s="12">
        <v>67041.9609375</v>
      </c>
      <c r="AI202" s="12">
        <v>7176.83642578125</v>
      </c>
      <c r="AJ202" s="12">
        <v>7568.47021484375</v>
      </c>
      <c r="AK202" s="12">
        <v>5929.91650390625</v>
      </c>
      <c r="AL202" s="12">
        <v>3095.847412109375</v>
      </c>
      <c r="AM202" s="12">
        <v>43319.578125</v>
      </c>
      <c r="AN202" s="12">
        <v>10140.7255859375</v>
      </c>
      <c r="AO202" s="12">
        <v>7981.248046875</v>
      </c>
      <c r="AP202" s="12">
        <v>836.552490234375</v>
      </c>
      <c r="AQ202" s="12">
        <v>2573.409423828125</v>
      </c>
      <c r="AR202" s="12">
        <v>670.96051025390625</v>
      </c>
      <c r="AS202" s="12">
        <v>2576.667724609375</v>
      </c>
      <c r="AT202" s="12">
        <v>1558.087890625</v>
      </c>
      <c r="AU202" s="12">
        <v>837.49859619140625</v>
      </c>
      <c r="AV202" s="12">
        <v>2563.912841796875</v>
      </c>
      <c r="AW202" s="12">
        <v>602.69097900390625</v>
      </c>
      <c r="AX202" s="12">
        <v>1379.863037109375</v>
      </c>
      <c r="AY202" s="12">
        <v>7230.95556640625</v>
      </c>
      <c r="AZ202" s="12">
        <v>1748.5181884765625</v>
      </c>
      <c r="BA202" s="12">
        <v>12304.1962890625</v>
      </c>
      <c r="BB202" s="12">
        <v>4615.84619140625</v>
      </c>
      <c r="BC202" s="12">
        <v>2784.2509765625</v>
      </c>
      <c r="BD202" s="12">
        <v>23986.4765625</v>
      </c>
      <c r="BE202" s="12">
        <v>15350.6123046875</v>
      </c>
      <c r="BF202" s="12">
        <v>18877.25390625</v>
      </c>
      <c r="BG202" s="12">
        <v>13240.37109375</v>
      </c>
      <c r="BH202" s="12">
        <v>1546.551025390625</v>
      </c>
      <c r="BI202" s="12">
        <v>1898.4866943359375</v>
      </c>
      <c r="BJ202" s="12">
        <v>4742.6015625</v>
      </c>
      <c r="BK202" s="12">
        <v>668.3656005859375</v>
      </c>
      <c r="BL202" s="12">
        <v>2349.03173828125</v>
      </c>
      <c r="BM202" s="12">
        <v>3600.556884765625</v>
      </c>
      <c r="BN202" s="12">
        <v>8078.19140625</v>
      </c>
      <c r="BO202" s="12">
        <v>2106.90673828125</v>
      </c>
      <c r="BP202" s="12">
        <v>5953.3515625</v>
      </c>
      <c r="BQ202" s="12"/>
      <c r="BR202" s="12"/>
    </row>
    <row r="203" spans="2:70" x14ac:dyDescent="0.2">
      <c r="B203">
        <v>1998</v>
      </c>
      <c r="C203" s="12">
        <v>9513.794921875</v>
      </c>
      <c r="D203" s="12">
        <v>25583.6953125</v>
      </c>
      <c r="E203" s="12">
        <v>33579.03125</v>
      </c>
      <c r="F203" s="12">
        <v>9786.0732421875</v>
      </c>
      <c r="G203" s="12">
        <v>9550.9912109375</v>
      </c>
      <c r="H203" s="12">
        <v>2557.939453125</v>
      </c>
      <c r="I203" s="12">
        <v>8309.796875</v>
      </c>
      <c r="J203" s="12">
        <v>5816.13720703125</v>
      </c>
      <c r="K203" s="12">
        <v>2694.044189453125</v>
      </c>
      <c r="L203" s="12">
        <v>31534.283203125</v>
      </c>
      <c r="M203" s="12">
        <v>35626.02734375</v>
      </c>
      <c r="N203" s="12">
        <v>24828.6015625</v>
      </c>
      <c r="O203" s="12">
        <v>29702.404296875</v>
      </c>
      <c r="P203" s="12">
        <v>29482.34765625</v>
      </c>
      <c r="Q203" s="12">
        <v>32061.498046875</v>
      </c>
      <c r="R203" s="12">
        <v>34482.8203125</v>
      </c>
      <c r="S203" s="12">
        <v>48640.953125</v>
      </c>
      <c r="T203" s="12">
        <v>29280.76171875</v>
      </c>
      <c r="U203" s="12">
        <v>29185.765625</v>
      </c>
      <c r="V203" s="12">
        <v>10410.8662109375</v>
      </c>
      <c r="W203" s="12">
        <v>35238.7421875</v>
      </c>
      <c r="X203" s="12">
        <v>29848.462890625</v>
      </c>
      <c r="Y203" s="12">
        <v>28993.150390625</v>
      </c>
      <c r="Z203" s="12">
        <v>19991.5625</v>
      </c>
      <c r="AA203" s="12">
        <v>5029.18212890625</v>
      </c>
      <c r="AB203" s="12">
        <v>16557.90625</v>
      </c>
      <c r="AC203" s="12">
        <v>9446.7353515625</v>
      </c>
      <c r="AD203" s="12">
        <v>11548.3720703125</v>
      </c>
      <c r="AE203" s="12">
        <v>7829.919921875</v>
      </c>
      <c r="AF203" s="12">
        <v>12697.6376953125</v>
      </c>
      <c r="AG203" s="12">
        <v>6845.2412109375</v>
      </c>
      <c r="AH203" s="12">
        <v>63905.203125</v>
      </c>
      <c r="AI203" s="12">
        <v>7439.318359375</v>
      </c>
      <c r="AJ203" s="12">
        <v>7792.80810546875</v>
      </c>
      <c r="AK203" s="12">
        <v>5958.2802734375</v>
      </c>
      <c r="AL203" s="12">
        <v>3303.171142578125</v>
      </c>
      <c r="AM203" s="12">
        <v>42033.62109375</v>
      </c>
      <c r="AN203" s="12">
        <v>9721.6513671875</v>
      </c>
      <c r="AO203" s="12">
        <v>8380.58984375</v>
      </c>
      <c r="AP203" s="12">
        <v>807.6143798828125</v>
      </c>
      <c r="AQ203" s="12">
        <v>2610.63525390625</v>
      </c>
      <c r="AR203" s="12">
        <v>649.2261962890625</v>
      </c>
      <c r="AS203" s="12">
        <v>2568.84912109375</v>
      </c>
      <c r="AT203" s="12">
        <v>1624.0262451171875</v>
      </c>
      <c r="AU203" s="12">
        <v>927.1746826171875</v>
      </c>
      <c r="AV203" s="12">
        <v>2746.59033203125</v>
      </c>
      <c r="AW203" s="12">
        <v>659.73419189453125</v>
      </c>
      <c r="AX203" s="12">
        <v>1629.5296630859375</v>
      </c>
      <c r="AY203" s="12">
        <v>7157.71142578125</v>
      </c>
      <c r="AZ203" s="12">
        <v>1887.64599609375</v>
      </c>
      <c r="BA203" s="12">
        <v>11494.58203125</v>
      </c>
      <c r="BB203" s="12">
        <v>4638.6982421875</v>
      </c>
      <c r="BC203" s="12">
        <v>2738.0458984375</v>
      </c>
      <c r="BD203" s="12">
        <v>23442.689453125</v>
      </c>
      <c r="BE203" s="12">
        <v>13970.556640625</v>
      </c>
      <c r="BF203" s="12">
        <v>19448.73828125</v>
      </c>
      <c r="BG203" s="12">
        <v>12319.607421875</v>
      </c>
      <c r="BH203" s="12">
        <v>1594.1143798828125</v>
      </c>
      <c r="BI203" s="12">
        <v>1963.409912109375</v>
      </c>
      <c r="BJ203" s="12">
        <v>3785.310302734375</v>
      </c>
      <c r="BK203" s="12">
        <v>696.21868896484375</v>
      </c>
      <c r="BL203" s="12">
        <v>2460.35986328125</v>
      </c>
      <c r="BM203" s="12">
        <v>3498.90478515625</v>
      </c>
      <c r="BN203" s="12">
        <v>7152.77197265625</v>
      </c>
      <c r="BO203" s="12">
        <v>2182.268310546875</v>
      </c>
      <c r="BP203" s="12">
        <v>5710.33056640625</v>
      </c>
      <c r="BQ203" s="12"/>
      <c r="BR203" s="12"/>
    </row>
    <row r="204" spans="2:70" x14ac:dyDescent="0.2">
      <c r="B204">
        <v>1999</v>
      </c>
      <c r="C204" s="12">
        <v>9726.7705078125</v>
      </c>
      <c r="D204" s="12">
        <v>26305.96484375</v>
      </c>
      <c r="E204" s="12">
        <v>34827.5</v>
      </c>
      <c r="F204" s="12">
        <v>9639.7734375</v>
      </c>
      <c r="G204" s="12">
        <v>9520.6162109375</v>
      </c>
      <c r="H204" s="12">
        <v>2584.99609375</v>
      </c>
      <c r="I204" s="12">
        <v>9218.68359375</v>
      </c>
      <c r="J204" s="12">
        <v>5954.466796875</v>
      </c>
      <c r="K204" s="12">
        <v>2811.523681640625</v>
      </c>
      <c r="L204" s="12">
        <v>32350.6015625</v>
      </c>
      <c r="M204" s="12">
        <v>36685.19921875</v>
      </c>
      <c r="N204" s="12">
        <v>25599.685546875</v>
      </c>
      <c r="O204" s="12">
        <v>30739.0078125</v>
      </c>
      <c r="P204" s="12">
        <v>29948.13671875</v>
      </c>
      <c r="Q204" s="12">
        <v>32764.869140625</v>
      </c>
      <c r="R204" s="12">
        <v>36536.73046875</v>
      </c>
      <c r="S204" s="12">
        <v>49726.06640625</v>
      </c>
      <c r="T204" s="12">
        <v>30519.63671875</v>
      </c>
      <c r="U204" s="12">
        <v>30084.927734375</v>
      </c>
      <c r="V204" s="12">
        <v>10523.0419921875</v>
      </c>
      <c r="W204" s="12">
        <v>36556.13671875</v>
      </c>
      <c r="X204" s="12">
        <v>31213.93359375</v>
      </c>
      <c r="Y204" s="12">
        <v>30009.66796875</v>
      </c>
      <c r="Z204" s="12">
        <v>20009.4453125</v>
      </c>
      <c r="AA204" s="12">
        <v>5083.25048828125</v>
      </c>
      <c r="AB204" s="12">
        <v>15802.4169921875</v>
      </c>
      <c r="AC204" s="12">
        <v>9220.2841796875</v>
      </c>
      <c r="AD204" s="12">
        <v>11196.01953125</v>
      </c>
      <c r="AE204" s="12">
        <v>7335.9208984375</v>
      </c>
      <c r="AF204" s="12">
        <v>12843.9951171875</v>
      </c>
      <c r="AG204" s="12">
        <v>6800.6123046875</v>
      </c>
      <c r="AH204" s="12">
        <v>62597.453125</v>
      </c>
      <c r="AI204" s="12">
        <v>7621.84375</v>
      </c>
      <c r="AJ204" s="12">
        <v>7968.93017578125</v>
      </c>
      <c r="AK204" s="12">
        <v>6136.00732421875</v>
      </c>
      <c r="AL204" s="12">
        <v>3277.41650390625</v>
      </c>
      <c r="AM204" s="12">
        <v>40554.52734375</v>
      </c>
      <c r="AN204" s="12">
        <v>9142.625</v>
      </c>
      <c r="AO204" s="12">
        <v>8474.3388671875</v>
      </c>
      <c r="AP204" s="12">
        <v>728.783203125</v>
      </c>
      <c r="AQ204" s="12">
        <v>2542.742431640625</v>
      </c>
      <c r="AR204" s="12">
        <v>665.6666259765625</v>
      </c>
      <c r="AS204" s="12">
        <v>2538.91357421875</v>
      </c>
      <c r="AT204" s="12">
        <v>1642.0128173828125</v>
      </c>
      <c r="AU204" s="12">
        <v>906.800048828125</v>
      </c>
      <c r="AV204" s="12">
        <v>2606.21728515625</v>
      </c>
      <c r="AW204" s="12">
        <v>726.7158203125</v>
      </c>
      <c r="AX204" s="12">
        <v>1760.6685791015625</v>
      </c>
      <c r="AY204" s="12">
        <v>7198.021484375</v>
      </c>
      <c r="AZ204" s="12">
        <v>1929.741943359375</v>
      </c>
      <c r="BA204" s="12">
        <v>13060.21484375</v>
      </c>
      <c r="BB204" s="12">
        <v>4742.6806640625</v>
      </c>
      <c r="BC204" s="12">
        <v>2868.120361328125</v>
      </c>
      <c r="BD204" s="12">
        <v>23171.609375</v>
      </c>
      <c r="BE204" s="12">
        <v>15596.8349609375</v>
      </c>
      <c r="BF204" s="12">
        <v>20638.17578125</v>
      </c>
      <c r="BG204" s="12">
        <v>12302.57421875</v>
      </c>
      <c r="BH204" s="12">
        <v>1646.55810546875</v>
      </c>
      <c r="BI204" s="12">
        <v>2091.190185546875</v>
      </c>
      <c r="BJ204" s="12">
        <v>3820.1005859375</v>
      </c>
      <c r="BK204" s="12">
        <v>756.635009765625</v>
      </c>
      <c r="BL204" s="12">
        <v>2623.149169921875</v>
      </c>
      <c r="BM204" s="12">
        <v>3323.755859375</v>
      </c>
      <c r="BN204" s="12">
        <v>7751.5888671875</v>
      </c>
      <c r="BO204" s="12">
        <v>2263.3955078125</v>
      </c>
      <c r="BP204" s="12">
        <v>5946.052734375</v>
      </c>
      <c r="BQ204" s="12"/>
      <c r="BR204" s="12"/>
    </row>
    <row r="205" spans="2:70" x14ac:dyDescent="0.2">
      <c r="B205">
        <v>2000</v>
      </c>
      <c r="C205" s="12">
        <v>10036.2080078125</v>
      </c>
      <c r="D205" s="12">
        <v>27285.05859375</v>
      </c>
      <c r="E205" s="12">
        <v>35891.23046875</v>
      </c>
      <c r="F205" s="12">
        <v>9950.0830078125</v>
      </c>
      <c r="G205" s="12">
        <v>9863.4267578125</v>
      </c>
      <c r="H205" s="12">
        <v>2665.74658203125</v>
      </c>
      <c r="I205" s="12">
        <v>10318.2646484375</v>
      </c>
      <c r="J205" s="12">
        <v>6209.9638671875</v>
      </c>
      <c r="K205" s="12">
        <v>2914.414306640625</v>
      </c>
      <c r="L205" s="12">
        <v>33185.5</v>
      </c>
      <c r="M205" s="12">
        <v>37408.625</v>
      </c>
      <c r="N205" s="12">
        <v>26827.7578125</v>
      </c>
      <c r="O205" s="12">
        <v>31651.005859375</v>
      </c>
      <c r="P205" s="12">
        <v>31424.76171875</v>
      </c>
      <c r="Q205" s="12">
        <v>33868.82421875</v>
      </c>
      <c r="R205" s="12">
        <v>36834.43359375</v>
      </c>
      <c r="S205" s="12">
        <v>51834.05859375</v>
      </c>
      <c r="T205" s="12">
        <v>31703.74609375</v>
      </c>
      <c r="U205" s="12">
        <v>31288.1015625</v>
      </c>
      <c r="V205" s="12">
        <v>11076.9052734375</v>
      </c>
      <c r="W205" s="12">
        <v>37661.98828125</v>
      </c>
      <c r="X205" s="12">
        <v>32637.423828125</v>
      </c>
      <c r="Y205" s="12">
        <v>30623.171875</v>
      </c>
      <c r="Z205" s="12">
        <v>20553.40625</v>
      </c>
      <c r="AA205" s="12">
        <v>5402.97119140625</v>
      </c>
      <c r="AB205" s="12">
        <v>15526.5966796875</v>
      </c>
      <c r="AC205" s="12">
        <v>9569.779296875</v>
      </c>
      <c r="AD205" s="12">
        <v>11588.759765625</v>
      </c>
      <c r="AE205" s="12">
        <v>7518.2021484375</v>
      </c>
      <c r="AF205" s="12">
        <v>13548.57421875</v>
      </c>
      <c r="AG205" s="12">
        <v>6952.57666015625</v>
      </c>
      <c r="AH205" s="12">
        <v>65164.046875</v>
      </c>
      <c r="AI205" s="12">
        <v>8054.2548828125</v>
      </c>
      <c r="AJ205" s="12">
        <v>8226.29296875</v>
      </c>
      <c r="AK205" s="12">
        <v>6334.33154296875</v>
      </c>
      <c r="AL205" s="12">
        <v>3288.470703125</v>
      </c>
      <c r="AM205" s="12">
        <v>40415.0078125</v>
      </c>
      <c r="AN205" s="12">
        <v>9733.10546875</v>
      </c>
      <c r="AO205" s="12">
        <v>8632.3515625</v>
      </c>
      <c r="AP205" s="12">
        <v>653.019287109375</v>
      </c>
      <c r="AQ205" s="12">
        <v>2455.57373046875</v>
      </c>
      <c r="AR205" s="12">
        <v>691.02227783203125</v>
      </c>
      <c r="AS205" s="12">
        <v>2477.746337890625</v>
      </c>
      <c r="AT205" s="12">
        <v>1552.115234375</v>
      </c>
      <c r="AU205" s="12">
        <v>847.75665283203125</v>
      </c>
      <c r="AV205" s="12">
        <v>2675.793701171875</v>
      </c>
      <c r="AW205" s="12">
        <v>779.58038330078125</v>
      </c>
      <c r="AX205" s="12">
        <v>1827.5264892578125</v>
      </c>
      <c r="AY205" s="12">
        <v>7458.42529296875</v>
      </c>
      <c r="AZ205" s="12">
        <v>2034.8101806640625</v>
      </c>
      <c r="BA205" s="12">
        <v>14894.99609375</v>
      </c>
      <c r="BB205" s="12">
        <v>4965.7236328125</v>
      </c>
      <c r="BC205" s="12">
        <v>3007.44921875</v>
      </c>
      <c r="BD205" s="12">
        <v>23818.28515625</v>
      </c>
      <c r="BE205" s="12">
        <v>17094.974609375</v>
      </c>
      <c r="BF205" s="12">
        <v>22022.650390625</v>
      </c>
      <c r="BG205" s="12">
        <v>12931.474609375</v>
      </c>
      <c r="BH205" s="12">
        <v>1703.977783203125</v>
      </c>
      <c r="BI205" s="12">
        <v>2146.0341796875</v>
      </c>
      <c r="BJ205" s="12">
        <v>3999.53515625</v>
      </c>
      <c r="BK205" s="12">
        <v>829.04754638671875</v>
      </c>
      <c r="BL205" s="12">
        <v>2696.251708984375</v>
      </c>
      <c r="BM205" s="12">
        <v>3469.63916015625</v>
      </c>
      <c r="BN205" s="12">
        <v>8030.6611328125</v>
      </c>
      <c r="BO205" s="12">
        <v>2379.1845703125</v>
      </c>
      <c r="BP205" s="12">
        <v>6242.54541015625</v>
      </c>
      <c r="BQ205" s="12"/>
      <c r="BR205" s="12"/>
    </row>
    <row r="206" spans="2:70" x14ac:dyDescent="0.2">
      <c r="B206">
        <v>2001</v>
      </c>
      <c r="C206" s="12">
        <v>10070.6005859375</v>
      </c>
      <c r="D206" s="12">
        <v>27768.4765625</v>
      </c>
      <c r="E206" s="12">
        <v>35769.5625</v>
      </c>
      <c r="F206" s="12">
        <v>9813.48046875</v>
      </c>
      <c r="G206" s="12">
        <v>9615.822265625</v>
      </c>
      <c r="H206" s="12">
        <v>2679.715576171875</v>
      </c>
      <c r="I206" s="12">
        <v>11081.6748046875</v>
      </c>
      <c r="J206" s="12">
        <v>6373.35595703125</v>
      </c>
      <c r="K206" s="12">
        <v>2950.824951171875</v>
      </c>
      <c r="L206" s="12">
        <v>33610.71484375</v>
      </c>
      <c r="M206" s="12">
        <v>37767.6328125</v>
      </c>
      <c r="N206" s="12">
        <v>27555.396484375</v>
      </c>
      <c r="O206" s="12">
        <v>32083.474609375</v>
      </c>
      <c r="P206" s="12">
        <v>32020.458984375</v>
      </c>
      <c r="Q206" s="12">
        <v>34552.9375</v>
      </c>
      <c r="R206" s="12">
        <v>37907.921875</v>
      </c>
      <c r="S206" s="12">
        <v>53424.85546875</v>
      </c>
      <c r="T206" s="12">
        <v>32159.068359375</v>
      </c>
      <c r="U206" s="12">
        <v>31306.1875</v>
      </c>
      <c r="V206" s="12">
        <v>11432.001953125</v>
      </c>
      <c r="W206" s="12">
        <v>37504.953125</v>
      </c>
      <c r="X206" s="12">
        <v>32564.94921875</v>
      </c>
      <c r="Y206" s="12">
        <v>31041.818359375</v>
      </c>
      <c r="Z206" s="12">
        <v>21524.96484375</v>
      </c>
      <c r="AA206" s="12">
        <v>5258.33837890625</v>
      </c>
      <c r="AB206" s="12">
        <v>14617.6826171875</v>
      </c>
      <c r="AC206" s="12">
        <v>9492.5673828125</v>
      </c>
      <c r="AD206" s="12">
        <v>11805.787109375</v>
      </c>
      <c r="AE206" s="12">
        <v>7462.76416015625</v>
      </c>
      <c r="AF206" s="12">
        <v>13285.16015625</v>
      </c>
      <c r="AG206" s="12">
        <v>6958.0224609375</v>
      </c>
      <c r="AH206" s="12">
        <v>61774.61328125</v>
      </c>
      <c r="AI206" s="12">
        <v>8216.9619140625</v>
      </c>
      <c r="AJ206" s="12">
        <v>8354.591796875</v>
      </c>
      <c r="AK206" s="12">
        <v>6459.78173828125</v>
      </c>
      <c r="AL206" s="12">
        <v>3493.581787109375</v>
      </c>
      <c r="AM206" s="12">
        <v>37813.76953125</v>
      </c>
      <c r="AN206" s="12">
        <v>8689.537109375</v>
      </c>
      <c r="AO206" s="12">
        <v>8503.7451171875</v>
      </c>
      <c r="AP206" s="12">
        <v>623.64410400390625</v>
      </c>
      <c r="AQ206" s="12">
        <v>2440.50390625</v>
      </c>
      <c r="AR206" s="12">
        <v>703.890380859375</v>
      </c>
      <c r="AS206" s="12">
        <v>2489.534423828125</v>
      </c>
      <c r="AT206" s="12">
        <v>1718.46533203125</v>
      </c>
      <c r="AU206" s="12">
        <v>881.97747802734375</v>
      </c>
      <c r="AV206" s="12">
        <v>2761.899169921875</v>
      </c>
      <c r="AW206" s="12">
        <v>837.71795654296875</v>
      </c>
      <c r="AX206" s="12">
        <v>1849.7318115234375</v>
      </c>
      <c r="AY206" s="12">
        <v>7557.154296875</v>
      </c>
      <c r="AZ206" s="12">
        <v>2040.338623046875</v>
      </c>
      <c r="BA206" s="12">
        <v>15895.2333984375</v>
      </c>
      <c r="BB206" s="12">
        <v>5499.30810546875</v>
      </c>
      <c r="BC206" s="12">
        <v>3190.115234375</v>
      </c>
      <c r="BD206" s="12">
        <v>23946.580078125</v>
      </c>
      <c r="BE206" s="12">
        <v>17714.75</v>
      </c>
      <c r="BF206" s="12">
        <v>21312.802734375</v>
      </c>
      <c r="BG206" s="12">
        <v>13024.9716796875</v>
      </c>
      <c r="BH206" s="12">
        <v>1754.6944580078125</v>
      </c>
      <c r="BI206" s="12">
        <v>2197.958251953125</v>
      </c>
      <c r="BJ206" s="12">
        <v>4124.33984375</v>
      </c>
      <c r="BK206" s="12">
        <v>867.92108154296875</v>
      </c>
      <c r="BL206" s="12">
        <v>2708.41650390625</v>
      </c>
      <c r="BM206" s="12">
        <v>3470.310791015625</v>
      </c>
      <c r="BN206" s="12">
        <v>8049.630859375</v>
      </c>
      <c r="BO206" s="12">
        <v>2512.64990234375</v>
      </c>
      <c r="BP206" s="12">
        <v>6102.6982421875</v>
      </c>
      <c r="BQ206" s="12"/>
      <c r="BR206" s="12"/>
    </row>
    <row r="207" spans="2:70" x14ac:dyDescent="0.2">
      <c r="B207">
        <v>2002</v>
      </c>
      <c r="C207" s="12">
        <v>10166.2666015625</v>
      </c>
      <c r="D207" s="12">
        <v>27966.544921875</v>
      </c>
      <c r="E207" s="12">
        <v>36043.07421875</v>
      </c>
      <c r="F207" s="12">
        <v>9608.94921875</v>
      </c>
      <c r="G207" s="12">
        <v>9826.74609375</v>
      </c>
      <c r="H207" s="12">
        <v>2752.763427734375</v>
      </c>
      <c r="I207" s="12">
        <v>11629.099609375</v>
      </c>
      <c r="J207" s="12">
        <v>6696.1123046875</v>
      </c>
      <c r="K207" s="12">
        <v>3038.066162109375</v>
      </c>
      <c r="L207" s="12">
        <v>33189.10546875</v>
      </c>
      <c r="M207" s="12">
        <v>38019.50390625</v>
      </c>
      <c r="N207" s="12">
        <v>27976.73046875</v>
      </c>
      <c r="O207" s="12">
        <v>31940.794921875</v>
      </c>
      <c r="P207" s="12">
        <v>32521.26953125</v>
      </c>
      <c r="Q207" s="12">
        <v>34410.0546875</v>
      </c>
      <c r="R207" s="12">
        <v>38238.31640625</v>
      </c>
      <c r="S207" s="12">
        <v>54571.3671875</v>
      </c>
      <c r="T207" s="12">
        <v>33040.21875</v>
      </c>
      <c r="U207" s="12">
        <v>31638.953125</v>
      </c>
      <c r="V207" s="12">
        <v>11948.416015625</v>
      </c>
      <c r="W207" s="12">
        <v>37682.96484375</v>
      </c>
      <c r="X207" s="12">
        <v>33661.5546875</v>
      </c>
      <c r="Y207" s="12">
        <v>31967.580078125</v>
      </c>
      <c r="Z207" s="12">
        <v>22467.275390625</v>
      </c>
      <c r="AA207" s="12">
        <v>5106.36474609375</v>
      </c>
      <c r="AB207" s="12">
        <v>11878.03515625</v>
      </c>
      <c r="AC207" s="12">
        <v>9647.4140625</v>
      </c>
      <c r="AD207" s="12">
        <v>12114.0390625</v>
      </c>
      <c r="AE207" s="12">
        <v>7494.86279296875</v>
      </c>
      <c r="AF207" s="12">
        <v>12875.7470703125</v>
      </c>
      <c r="AG207" s="12">
        <v>6976.59765625</v>
      </c>
      <c r="AH207" s="12">
        <v>59573.4140625</v>
      </c>
      <c r="AI207" s="12">
        <v>8495.3154296875</v>
      </c>
      <c r="AJ207" s="12">
        <v>8276.974609375</v>
      </c>
      <c r="AK207" s="12">
        <v>6975.439453125</v>
      </c>
      <c r="AL207" s="12">
        <v>3577.29638671875</v>
      </c>
      <c r="AM207" s="12">
        <v>38015.58203125</v>
      </c>
      <c r="AN207" s="12">
        <v>9414.9541015625</v>
      </c>
      <c r="AO207" s="12">
        <v>8285.791015625</v>
      </c>
      <c r="AP207" s="12">
        <v>624.135986328125</v>
      </c>
      <c r="AQ207" s="12">
        <v>2352.586181640625</v>
      </c>
      <c r="AR207" s="12">
        <v>678.4027099609375</v>
      </c>
      <c r="AS207" s="12">
        <v>2417.759521484375</v>
      </c>
      <c r="AT207" s="12">
        <v>1687.1678466796875</v>
      </c>
      <c r="AU207" s="12">
        <v>893.7821044921875</v>
      </c>
      <c r="AV207" s="12">
        <v>3164.673095703125</v>
      </c>
      <c r="AW207" s="12">
        <v>936.322021484375</v>
      </c>
      <c r="AX207" s="12">
        <v>1935.6214599609375</v>
      </c>
      <c r="AY207" s="12">
        <v>7865.49951171875</v>
      </c>
      <c r="AZ207" s="12">
        <v>2076.980712890625</v>
      </c>
      <c r="BA207" s="12">
        <v>16604.94921875</v>
      </c>
      <c r="BB207" s="12">
        <v>5885.88818359375</v>
      </c>
      <c r="BC207" s="12">
        <v>3537.867431640625</v>
      </c>
      <c r="BD207" s="12">
        <v>23845.826171875</v>
      </c>
      <c r="BE207" s="12">
        <v>19042.5859375</v>
      </c>
      <c r="BF207" s="12">
        <v>22280.642578125</v>
      </c>
      <c r="BG207" s="12">
        <v>13128.734375</v>
      </c>
      <c r="BH207" s="12">
        <v>1813.7984619140625</v>
      </c>
      <c r="BI207" s="12">
        <v>2242.525146484375</v>
      </c>
      <c r="BJ207" s="12">
        <v>4261.64111328125</v>
      </c>
      <c r="BK207" s="12">
        <v>977.30841064453125</v>
      </c>
      <c r="BL207" s="12">
        <v>2746.91015625</v>
      </c>
      <c r="BM207" s="12">
        <v>3514.857421875</v>
      </c>
      <c r="BN207" s="12">
        <v>8569.44921875</v>
      </c>
      <c r="BO207" s="12">
        <v>2662.832275390625</v>
      </c>
      <c r="BP207" s="12">
        <v>6267.22998046875</v>
      </c>
      <c r="BQ207" s="12"/>
      <c r="BR207" s="12"/>
    </row>
    <row r="208" spans="2:70" x14ac:dyDescent="0.2">
      <c r="B208">
        <v>2003</v>
      </c>
      <c r="C208" s="12">
        <v>10344.3125</v>
      </c>
      <c r="D208" s="12">
        <v>28216.62109375</v>
      </c>
      <c r="E208" s="12">
        <v>36690.57421875</v>
      </c>
      <c r="F208" s="12">
        <v>9690.1220703125</v>
      </c>
      <c r="G208" s="12">
        <v>10115.3408203125</v>
      </c>
      <c r="H208" s="12">
        <v>2825.50537109375</v>
      </c>
      <c r="I208" s="12">
        <v>12445.0205078125</v>
      </c>
      <c r="J208" s="12">
        <v>7014.07763671875</v>
      </c>
      <c r="K208" s="12">
        <v>3182.940185546875</v>
      </c>
      <c r="L208" s="12">
        <v>32982.0859375</v>
      </c>
      <c r="M208" s="12">
        <v>38016.76171875</v>
      </c>
      <c r="N208" s="12">
        <v>28359.982421875</v>
      </c>
      <c r="O208" s="12">
        <v>32068.794921875</v>
      </c>
      <c r="P208" s="12">
        <v>33087.03515625</v>
      </c>
      <c r="Q208" s="12">
        <v>34156.578125</v>
      </c>
      <c r="R208" s="12">
        <v>38541.24609375</v>
      </c>
      <c r="S208" s="12">
        <v>54988.515625</v>
      </c>
      <c r="T208" s="12">
        <v>34447.6953125</v>
      </c>
      <c r="U208" s="12">
        <v>31982.451171875</v>
      </c>
      <c r="V208" s="12">
        <v>12398.8505859375</v>
      </c>
      <c r="W208" s="12">
        <v>38390.296875</v>
      </c>
      <c r="X208" s="12">
        <v>33879.328125</v>
      </c>
      <c r="Y208" s="12">
        <v>32797.22265625</v>
      </c>
      <c r="Z208" s="12">
        <v>23409.875</v>
      </c>
      <c r="AA208" s="12">
        <v>5256.421875</v>
      </c>
      <c r="AB208" s="12">
        <v>13010.34765625</v>
      </c>
      <c r="AC208" s="12">
        <v>9601.3447265625</v>
      </c>
      <c r="AD208" s="12">
        <v>12413.833984375</v>
      </c>
      <c r="AE208" s="12">
        <v>7555.97021484375</v>
      </c>
      <c r="AF208" s="12">
        <v>12946.359375</v>
      </c>
      <c r="AG208" s="12">
        <v>6956.166015625</v>
      </c>
      <c r="AH208" s="12">
        <v>61334.671875</v>
      </c>
      <c r="AI208" s="12">
        <v>8942.5029296875</v>
      </c>
      <c r="AJ208" s="12">
        <v>8426.794921875</v>
      </c>
      <c r="AK208" s="12">
        <v>7467.876953125</v>
      </c>
      <c r="AL208" s="12">
        <v>3757.94775390625</v>
      </c>
      <c r="AM208" s="12">
        <v>38993.45703125</v>
      </c>
      <c r="AN208" s="12">
        <v>9995.11328125</v>
      </c>
      <c r="AO208" s="12">
        <v>8018.50830078125</v>
      </c>
      <c r="AP208" s="12">
        <v>647.899658203125</v>
      </c>
      <c r="AQ208" s="12">
        <v>2267.577880859375</v>
      </c>
      <c r="AR208" s="12">
        <v>694.08209228515625</v>
      </c>
      <c r="AS208" s="12">
        <v>2423.415283203125</v>
      </c>
      <c r="AT208" s="12">
        <v>1858.1004638671875</v>
      </c>
      <c r="AU208" s="12">
        <v>891.86676025390625</v>
      </c>
      <c r="AV208" s="12">
        <v>3282.638427734375</v>
      </c>
      <c r="AW208" s="12">
        <v>933.14105224609375</v>
      </c>
      <c r="AX208" s="12">
        <v>2019.75341796875</v>
      </c>
      <c r="AY208" s="12">
        <v>8036.6328125</v>
      </c>
      <c r="AZ208" s="12">
        <v>2147.61669921875</v>
      </c>
      <c r="BA208" s="12">
        <v>17673.248046875</v>
      </c>
      <c r="BB208" s="12">
        <v>6447.83203125</v>
      </c>
      <c r="BC208" s="12">
        <v>3844.399169921875</v>
      </c>
      <c r="BD208" s="12">
        <v>24262.111328125</v>
      </c>
      <c r="BE208" s="12">
        <v>19408.00390625</v>
      </c>
      <c r="BF208" s="12">
        <v>23137.90234375</v>
      </c>
      <c r="BG208" s="12">
        <v>13763.8984375</v>
      </c>
      <c r="BH208" s="12">
        <v>1889.2958984375</v>
      </c>
      <c r="BI208" s="12">
        <v>2357.865234375</v>
      </c>
      <c r="BJ208" s="12">
        <v>4410.783203125</v>
      </c>
      <c r="BK208" s="12">
        <v>1066.515869140625</v>
      </c>
      <c r="BL208" s="12">
        <v>2881.707763671875</v>
      </c>
      <c r="BM208" s="12">
        <v>3600.189697265625</v>
      </c>
      <c r="BN208" s="12">
        <v>9132.5048828125</v>
      </c>
      <c r="BO208" s="12">
        <v>2825.197265625</v>
      </c>
      <c r="BP208" s="12">
        <v>6551.919921875</v>
      </c>
      <c r="BQ208" s="12"/>
      <c r="BR208" s="12"/>
    </row>
    <row r="209" spans="2:70" x14ac:dyDescent="0.2">
      <c r="B209">
        <v>2004</v>
      </c>
      <c r="C209" s="12">
        <v>10694.8447265625</v>
      </c>
      <c r="D209" s="12">
        <v>28843.078125</v>
      </c>
      <c r="E209" s="12">
        <v>37752</v>
      </c>
      <c r="F209" s="12">
        <v>10143.2607421875</v>
      </c>
      <c r="G209" s="12">
        <v>10948.451171875</v>
      </c>
      <c r="H209" s="12">
        <v>2880.8896484375</v>
      </c>
      <c r="I209" s="12">
        <v>13638.0791015625</v>
      </c>
      <c r="J209" s="12">
        <v>7464.046875</v>
      </c>
      <c r="K209" s="12">
        <v>3342.4599609375</v>
      </c>
      <c r="L209" s="12">
        <v>33865.6875</v>
      </c>
      <c r="M209" s="12">
        <v>39244.04296875</v>
      </c>
      <c r="N209" s="12">
        <v>28546.3984375</v>
      </c>
      <c r="O209" s="12">
        <v>32766.06640625</v>
      </c>
      <c r="P209" s="12">
        <v>33534.1640625</v>
      </c>
      <c r="Q209" s="12">
        <v>34423.3125</v>
      </c>
      <c r="R209" s="12">
        <v>38110.01953125</v>
      </c>
      <c r="S209" s="12">
        <v>56850.62890625</v>
      </c>
      <c r="T209" s="12">
        <v>35270.7421875</v>
      </c>
      <c r="U209" s="12">
        <v>32915.51171875</v>
      </c>
      <c r="V209" s="12">
        <v>13081.974609375</v>
      </c>
      <c r="W209" s="12">
        <v>39537.6484375</v>
      </c>
      <c r="X209" s="12">
        <v>34900.44921875</v>
      </c>
      <c r="Y209" s="12">
        <v>33575.96875</v>
      </c>
      <c r="Z209" s="12">
        <v>23406.634765625</v>
      </c>
      <c r="AA209" s="12">
        <v>5271.720703125</v>
      </c>
      <c r="AB209" s="12">
        <v>14886.701171875</v>
      </c>
      <c r="AC209" s="12">
        <v>10083.7353515625</v>
      </c>
      <c r="AD209" s="12">
        <v>12725.2607421875</v>
      </c>
      <c r="AE209" s="12">
        <v>7838.83154296875</v>
      </c>
      <c r="AF209" s="12">
        <v>13207.7744140625</v>
      </c>
      <c r="AG209" s="12">
        <v>7255.05322265625</v>
      </c>
      <c r="AH209" s="12">
        <v>64383.5859375</v>
      </c>
      <c r="AI209" s="12">
        <v>9137.736328125</v>
      </c>
      <c r="AJ209" s="12">
        <v>8593.46875</v>
      </c>
      <c r="AK209" s="12">
        <v>7574.0576171875</v>
      </c>
      <c r="AL209" s="12">
        <v>3894.7080078125</v>
      </c>
      <c r="AM209" s="12">
        <v>43231.37890625</v>
      </c>
      <c r="AN209" s="12">
        <v>10920.7822265625</v>
      </c>
      <c r="AO209" s="12">
        <v>8811.109375</v>
      </c>
      <c r="AP209" s="12">
        <v>664.9736328125</v>
      </c>
      <c r="AQ209" s="12">
        <v>2236.698974609375</v>
      </c>
      <c r="AR209" s="12">
        <v>761.51019287109375</v>
      </c>
      <c r="AS209" s="12">
        <v>2453.40869140625</v>
      </c>
      <c r="AT209" s="12">
        <v>1815.7408447265625</v>
      </c>
      <c r="AU209" s="12">
        <v>853.48992919921875</v>
      </c>
      <c r="AV209" s="12">
        <v>3449.581787109375</v>
      </c>
      <c r="AW209" s="12">
        <v>975.6116943359375</v>
      </c>
      <c r="AX209" s="12">
        <v>1991.1756591796875</v>
      </c>
      <c r="AY209" s="12">
        <v>8398.7255859375</v>
      </c>
      <c r="AZ209" s="12">
        <v>2192.24951171875</v>
      </c>
      <c r="BA209" s="12">
        <v>19367.369140625</v>
      </c>
      <c r="BB209" s="12">
        <v>7121.95556640625</v>
      </c>
      <c r="BC209" s="12">
        <v>4243.12744140625</v>
      </c>
      <c r="BD209" s="12">
        <v>24895.9609375</v>
      </c>
      <c r="BE209" s="12">
        <v>20255.576171875</v>
      </c>
      <c r="BF209" s="12">
        <v>24707.935546875</v>
      </c>
      <c r="BG209" s="12">
        <v>14876.59375</v>
      </c>
      <c r="BH209" s="12">
        <v>1978.49072265625</v>
      </c>
      <c r="BI209" s="12">
        <v>2506.0927734375</v>
      </c>
      <c r="BJ209" s="12">
        <v>4459.8271484375</v>
      </c>
      <c r="BK209" s="12">
        <v>1191.73486328125</v>
      </c>
      <c r="BL209" s="12">
        <v>3039.1240234375</v>
      </c>
      <c r="BM209" s="12">
        <v>3657.929931640625</v>
      </c>
      <c r="BN209" s="12">
        <v>9637.0205078125</v>
      </c>
      <c r="BO209" s="12">
        <v>3003.38720703125</v>
      </c>
      <c r="BP209" s="12">
        <v>6983.591796875</v>
      </c>
      <c r="BQ209" s="12"/>
      <c r="BR209" s="12"/>
    </row>
    <row r="210" spans="2:70" x14ac:dyDescent="0.2">
      <c r="B210">
        <v>2005</v>
      </c>
      <c r="C210" s="12">
        <v>10976.068359375</v>
      </c>
      <c r="D210" s="12">
        <v>29466.7890625</v>
      </c>
      <c r="E210" s="12">
        <v>38603.39453125</v>
      </c>
      <c r="F210" s="12">
        <v>10481.322265625</v>
      </c>
      <c r="G210" s="12">
        <v>11315.5</v>
      </c>
      <c r="H210" s="12">
        <v>2970.460205078125</v>
      </c>
      <c r="I210" s="12">
        <v>14565.9853515625</v>
      </c>
      <c r="J210" s="12">
        <v>7866.29541015625</v>
      </c>
      <c r="K210" s="12">
        <v>3485.025390625</v>
      </c>
      <c r="L210" s="12">
        <v>34231.63671875</v>
      </c>
      <c r="M210" s="12">
        <v>41191.77734375</v>
      </c>
      <c r="N210" s="12">
        <v>28951.001953125</v>
      </c>
      <c r="O210" s="12">
        <v>33239.6953125</v>
      </c>
      <c r="P210" s="12">
        <v>34396.06640625</v>
      </c>
      <c r="Q210" s="12">
        <v>34499.765625</v>
      </c>
      <c r="R210" s="12">
        <v>38085.5625</v>
      </c>
      <c r="S210" s="12">
        <v>59018.296875</v>
      </c>
      <c r="T210" s="12">
        <v>36797.859375</v>
      </c>
      <c r="U210" s="12">
        <v>33636.984375</v>
      </c>
      <c r="V210" s="12">
        <v>14018.4794921875</v>
      </c>
      <c r="W210" s="12">
        <v>40462.70703125</v>
      </c>
      <c r="X210" s="12">
        <v>35824.9609375</v>
      </c>
      <c r="Y210" s="12">
        <v>33987.98046875</v>
      </c>
      <c r="Z210" s="12">
        <v>23314.388671875</v>
      </c>
      <c r="AA210" s="12">
        <v>5474.634765625</v>
      </c>
      <c r="AB210" s="12">
        <v>16387.234375</v>
      </c>
      <c r="AC210" s="12">
        <v>10283.3603515625</v>
      </c>
      <c r="AD210" s="12">
        <v>13302.4228515625</v>
      </c>
      <c r="AE210" s="12">
        <v>8060.89208984375</v>
      </c>
      <c r="AF210" s="12">
        <v>13236.2392578125</v>
      </c>
      <c r="AG210" s="12">
        <v>7684.97998046875</v>
      </c>
      <c r="AH210" s="12">
        <v>61573.68359375</v>
      </c>
      <c r="AI210" s="12">
        <v>9662.359375</v>
      </c>
      <c r="AJ210" s="12">
        <v>8854.287109375</v>
      </c>
      <c r="AK210" s="12">
        <v>7800.11865234375</v>
      </c>
      <c r="AL210" s="12">
        <v>3986.7744140625</v>
      </c>
      <c r="AM210" s="12">
        <v>43516.63671875</v>
      </c>
      <c r="AN210" s="12">
        <v>11859.5712890625</v>
      </c>
      <c r="AO210" s="12">
        <v>9010.001953125</v>
      </c>
      <c r="AP210" s="12">
        <v>698.38751220703125</v>
      </c>
      <c r="AQ210" s="12">
        <v>2192.068115234375</v>
      </c>
      <c r="AR210" s="12">
        <v>825.682373046875</v>
      </c>
      <c r="AS210" s="12">
        <v>2562.346435546875</v>
      </c>
      <c r="AT210" s="12">
        <v>1805.564208984375</v>
      </c>
      <c r="AU210" s="12">
        <v>887.653564453125</v>
      </c>
      <c r="AV210" s="12">
        <v>3516.439697265625</v>
      </c>
      <c r="AW210" s="12">
        <v>1040.5625</v>
      </c>
      <c r="AX210" s="12">
        <v>2031.190185546875</v>
      </c>
      <c r="AY210" s="12">
        <v>8810.9150390625</v>
      </c>
      <c r="AZ210" s="12">
        <v>2268.541259765625</v>
      </c>
      <c r="BA210" s="12">
        <v>20704.931640625</v>
      </c>
      <c r="BB210" s="12">
        <v>7637.36376953125</v>
      </c>
      <c r="BC210" s="12">
        <v>4626.1923828125</v>
      </c>
      <c r="BD210" s="12">
        <v>25363.984375</v>
      </c>
      <c r="BE210" s="12">
        <v>20921.578125</v>
      </c>
      <c r="BF210" s="12">
        <v>25816.08203125</v>
      </c>
      <c r="BG210" s="12">
        <v>15877.1376953125</v>
      </c>
      <c r="BH210" s="12">
        <v>2065.959716796875</v>
      </c>
      <c r="BI210" s="12">
        <v>2644.5419921875</v>
      </c>
      <c r="BJ210" s="12">
        <v>4625.63525390625</v>
      </c>
      <c r="BK210" s="12">
        <v>1281.2276611328125</v>
      </c>
      <c r="BL210" s="12">
        <v>3175.060302734375</v>
      </c>
      <c r="BM210" s="12">
        <v>3789.64404296875</v>
      </c>
      <c r="BN210" s="12">
        <v>9482.2783203125</v>
      </c>
      <c r="BO210" s="12">
        <v>3181.40673828125</v>
      </c>
      <c r="BP210" s="12">
        <v>7363.6142578125</v>
      </c>
      <c r="BQ210" s="12"/>
      <c r="BR210" s="12"/>
    </row>
    <row r="211" spans="2:70" x14ac:dyDescent="0.2">
      <c r="B211">
        <v>2006</v>
      </c>
      <c r="C211" s="12">
        <v>11332.6220703125</v>
      </c>
      <c r="D211" s="12">
        <v>30436.642578125</v>
      </c>
      <c r="E211" s="12">
        <v>39139.453125</v>
      </c>
      <c r="F211" s="12">
        <v>10949.2685546875</v>
      </c>
      <c r="G211" s="12">
        <v>11908.30078125</v>
      </c>
      <c r="H211" s="12">
        <v>3083.362548828125</v>
      </c>
      <c r="I211" s="12">
        <v>15822.6337890625</v>
      </c>
      <c r="J211" s="12">
        <v>8440.5185546875</v>
      </c>
      <c r="K211" s="12">
        <v>3655.32958984375</v>
      </c>
      <c r="L211" s="12">
        <v>36027.08203125</v>
      </c>
      <c r="M211" s="12">
        <v>43138.609375</v>
      </c>
      <c r="N211" s="12">
        <v>29439.7421875</v>
      </c>
      <c r="O211" s="12">
        <v>33938.23828125</v>
      </c>
      <c r="P211" s="12">
        <v>34277.22265625</v>
      </c>
      <c r="Q211" s="12">
        <v>34993.5625</v>
      </c>
      <c r="R211" s="12">
        <v>40208.8203125</v>
      </c>
      <c r="S211" s="12">
        <v>59223.7578125</v>
      </c>
      <c r="T211" s="12">
        <v>38859.25</v>
      </c>
      <c r="U211" s="12">
        <v>35214.17578125</v>
      </c>
      <c r="V211" s="12">
        <v>14953.3125</v>
      </c>
      <c r="W211" s="12">
        <v>41019.62109375</v>
      </c>
      <c r="X211" s="12">
        <v>36642.859375</v>
      </c>
      <c r="Y211" s="12">
        <v>34501.84765625</v>
      </c>
      <c r="Z211" s="12">
        <v>23245.111328125</v>
      </c>
      <c r="AA211" s="12">
        <v>5405.50927734375</v>
      </c>
      <c r="AB211" s="12">
        <v>17646.634765625</v>
      </c>
      <c r="AC211" s="12">
        <v>10577.455078125</v>
      </c>
      <c r="AD211" s="12">
        <v>13602.55078125</v>
      </c>
      <c r="AE211" s="12">
        <v>8532.2314453125</v>
      </c>
      <c r="AF211" s="12">
        <v>13761.677734375</v>
      </c>
      <c r="AG211" s="12">
        <v>8126.87158203125</v>
      </c>
      <c r="AH211" s="12">
        <v>64781.9921875</v>
      </c>
      <c r="AI211" s="12">
        <v>9946.44140625</v>
      </c>
      <c r="AJ211" s="12">
        <v>9397.958984375</v>
      </c>
      <c r="AK211" s="12">
        <v>8106.78173828125</v>
      </c>
      <c r="AL211" s="12">
        <v>4226.744140625</v>
      </c>
      <c r="AM211" s="12">
        <v>44008.93359375</v>
      </c>
      <c r="AN211" s="12">
        <v>12497.1826171875</v>
      </c>
      <c r="AO211" s="12">
        <v>9541.49609375</v>
      </c>
      <c r="AP211" s="12">
        <v>744.26318359375</v>
      </c>
      <c r="AQ211" s="12">
        <v>2167.513916015625</v>
      </c>
      <c r="AR211" s="12">
        <v>892.7960205078125</v>
      </c>
      <c r="AS211" s="12">
        <v>2685.151123046875</v>
      </c>
      <c r="AT211" s="12">
        <v>1806.6138916015625</v>
      </c>
      <c r="AU211" s="12">
        <v>901.16583251953125</v>
      </c>
      <c r="AV211" s="12">
        <v>3673.7685546875</v>
      </c>
      <c r="AW211" s="12">
        <v>1107.3270263671875</v>
      </c>
      <c r="AX211" s="12">
        <v>2104.26806640625</v>
      </c>
      <c r="AY211" s="12">
        <v>9128.267578125</v>
      </c>
      <c r="AZ211" s="12">
        <v>2372.6572265625</v>
      </c>
      <c r="BA211" s="12">
        <v>22495.15625</v>
      </c>
      <c r="BB211" s="12">
        <v>8355.7001953125</v>
      </c>
      <c r="BC211" s="12">
        <v>5188.1044921875</v>
      </c>
      <c r="BD211" s="12">
        <v>25781.857421875</v>
      </c>
      <c r="BE211" s="12">
        <v>22130.486328125</v>
      </c>
      <c r="BF211" s="12">
        <v>27502.34765625</v>
      </c>
      <c r="BG211" s="12">
        <v>17244.048828125</v>
      </c>
      <c r="BH211" s="12">
        <v>2181.4130859375</v>
      </c>
      <c r="BI211" s="12">
        <v>2803.870361328125</v>
      </c>
      <c r="BJ211" s="12">
        <v>4803.2236328125</v>
      </c>
      <c r="BK211" s="12">
        <v>1484.9598388671875</v>
      </c>
      <c r="BL211" s="12">
        <v>3238.518310546875</v>
      </c>
      <c r="BM211" s="12">
        <v>3894.346435546875</v>
      </c>
      <c r="BN211" s="12">
        <v>9952.865234375</v>
      </c>
      <c r="BO211" s="12">
        <v>3499.91455078125</v>
      </c>
      <c r="BP211" s="12">
        <v>7632.74462890625</v>
      </c>
      <c r="BQ211" s="12"/>
      <c r="BR211" s="12"/>
    </row>
    <row r="212" spans="2:70" x14ac:dyDescent="0.2">
      <c r="B212">
        <v>2007</v>
      </c>
      <c r="C212" s="12">
        <v>11665.6865234375</v>
      </c>
      <c r="D212" s="12">
        <v>31162.689453125</v>
      </c>
      <c r="E212" s="12">
        <v>39571.23828125</v>
      </c>
      <c r="F212" s="12">
        <v>11420.837890625</v>
      </c>
      <c r="G212" s="12">
        <v>12334.5673828125</v>
      </c>
      <c r="H212" s="12">
        <v>3154.85546875</v>
      </c>
      <c r="I212" s="12">
        <v>17251.978515625</v>
      </c>
      <c r="J212" s="12">
        <v>9089.171875</v>
      </c>
      <c r="K212" s="12">
        <v>3862.7373046875</v>
      </c>
      <c r="L212" s="12">
        <v>36986.1328125</v>
      </c>
      <c r="M212" s="12">
        <v>42687.87109375</v>
      </c>
      <c r="N212" s="12">
        <v>29682.7578125</v>
      </c>
      <c r="O212" s="12">
        <v>34507.09375</v>
      </c>
      <c r="P212" s="12">
        <v>35065.828125</v>
      </c>
      <c r="Q212" s="12">
        <v>35148.09375</v>
      </c>
      <c r="R212" s="12">
        <v>41507.3828125</v>
      </c>
      <c r="S212" s="12">
        <v>60121.11328125</v>
      </c>
      <c r="T212" s="12">
        <v>40042.3203125</v>
      </c>
      <c r="U212" s="12">
        <v>36024.80859375</v>
      </c>
      <c r="V212" s="12">
        <v>15907.173828125</v>
      </c>
      <c r="W212" s="12">
        <v>41463.12890625</v>
      </c>
      <c r="X212" s="12">
        <v>37082.03515625</v>
      </c>
      <c r="Y212" s="12">
        <v>35194.01953125</v>
      </c>
      <c r="Z212" s="12">
        <v>23759.103515625</v>
      </c>
      <c r="AA212" s="12">
        <v>5567.22998046875</v>
      </c>
      <c r="AB212" s="12">
        <v>19185.111328125</v>
      </c>
      <c r="AC212" s="12">
        <v>11138.609375</v>
      </c>
      <c r="AD212" s="12">
        <v>14365.10546875</v>
      </c>
      <c r="AE212" s="12">
        <v>8999.2529296875</v>
      </c>
      <c r="AF212" s="12">
        <v>13813.375</v>
      </c>
      <c r="AG212" s="12">
        <v>8536.4033203125</v>
      </c>
      <c r="AH212" s="12">
        <v>60430.4609375</v>
      </c>
      <c r="AI212" s="12">
        <v>10338.494140625</v>
      </c>
      <c r="AJ212" s="12">
        <v>9915.84375</v>
      </c>
      <c r="AK212" s="12">
        <v>8743.0087890625</v>
      </c>
      <c r="AL212" s="12">
        <v>4288.28076171875</v>
      </c>
      <c r="AM212" s="12">
        <v>43676.95703125</v>
      </c>
      <c r="AN212" s="12">
        <v>12963.830078125</v>
      </c>
      <c r="AO212" s="12">
        <v>9918.03125</v>
      </c>
      <c r="AP212" s="12">
        <v>768.16729736328125</v>
      </c>
      <c r="AQ212" s="12">
        <v>2156.372314453125</v>
      </c>
      <c r="AR212" s="12">
        <v>965.322509765625</v>
      </c>
      <c r="AS212" s="12">
        <v>2786.936767578125</v>
      </c>
      <c r="AT212" s="12">
        <v>1782.4730224609375</v>
      </c>
      <c r="AU212" s="12">
        <v>849.1551513671875</v>
      </c>
      <c r="AV212" s="12">
        <v>3684.105712890625</v>
      </c>
      <c r="AW212" s="12">
        <v>1166.793212890625</v>
      </c>
      <c r="AX212" s="12">
        <v>2210.670654296875</v>
      </c>
      <c r="AY212" s="12">
        <v>9349.515625</v>
      </c>
      <c r="AZ212" s="12">
        <v>2432.559814453125</v>
      </c>
      <c r="BA212" s="12">
        <v>24510.95703125</v>
      </c>
      <c r="BB212" s="12">
        <v>9195.7998046875</v>
      </c>
      <c r="BC212" s="12">
        <v>5829.46533203125</v>
      </c>
      <c r="BD212" s="12">
        <v>26072.896484375</v>
      </c>
      <c r="BE212" s="12">
        <v>23680.806640625</v>
      </c>
      <c r="BF212" s="12">
        <v>29691.130859375</v>
      </c>
      <c r="BG212" s="12">
        <v>18845.859375</v>
      </c>
      <c r="BH212" s="12">
        <v>2340.950927734375</v>
      </c>
      <c r="BI212" s="12">
        <v>2974.064208984375</v>
      </c>
      <c r="BJ212" s="12">
        <v>5010.8388671875</v>
      </c>
      <c r="BK212" s="12">
        <v>1696.9310302734375</v>
      </c>
      <c r="BL212" s="12">
        <v>3263.012939453125</v>
      </c>
      <c r="BM212" s="12">
        <v>4125.65478515625</v>
      </c>
      <c r="BN212" s="12">
        <v>10525.4990234375</v>
      </c>
      <c r="BO212" s="12">
        <v>3807.860107421875</v>
      </c>
      <c r="BP212" s="12">
        <v>8144.3740234375</v>
      </c>
      <c r="BQ212" s="12"/>
      <c r="BR212" s="12"/>
    </row>
    <row r="213" spans="2:70" x14ac:dyDescent="0.2">
      <c r="B213">
        <v>2008</v>
      </c>
      <c r="C213" s="12">
        <v>11707.1572265625</v>
      </c>
      <c r="D213" s="12">
        <v>30922.482421875</v>
      </c>
      <c r="E213" s="12">
        <v>39083.06640625</v>
      </c>
      <c r="F213" s="12">
        <v>11801.6669921875</v>
      </c>
      <c r="G213" s="12">
        <v>12638.8212890625</v>
      </c>
      <c r="H213" s="12">
        <v>3471.183837890625</v>
      </c>
      <c r="I213" s="12">
        <v>18307.310546875</v>
      </c>
      <c r="J213" s="12">
        <v>9327.4921875</v>
      </c>
      <c r="K213" s="12">
        <v>3981.2373046875</v>
      </c>
      <c r="L213" s="12">
        <v>37192.51171875</v>
      </c>
      <c r="M213" s="12">
        <v>41518.66796875</v>
      </c>
      <c r="N213" s="12">
        <v>29077.578125</v>
      </c>
      <c r="O213" s="12">
        <v>34100.11328125</v>
      </c>
      <c r="P213" s="12">
        <v>34544.0703125</v>
      </c>
      <c r="Q213" s="12">
        <v>33909.93359375</v>
      </c>
      <c r="R213" s="12">
        <v>41609.80859375</v>
      </c>
      <c r="S213" s="12">
        <v>59646.8671875</v>
      </c>
      <c r="T213" s="12">
        <v>39180.98828125</v>
      </c>
      <c r="U213" s="12">
        <v>34829.9921875</v>
      </c>
      <c r="V213" s="12">
        <v>16922.65625</v>
      </c>
      <c r="W213" s="12">
        <v>40940.6796875</v>
      </c>
      <c r="X213" s="12">
        <v>36536.77734375</v>
      </c>
      <c r="Y213" s="12">
        <v>35571.34375</v>
      </c>
      <c r="Z213" s="12">
        <v>22979.462890625</v>
      </c>
      <c r="AA213" s="12">
        <v>5218.375</v>
      </c>
      <c r="AB213" s="12">
        <v>19873.962890625</v>
      </c>
      <c r="AC213" s="12">
        <v>11611.787109375</v>
      </c>
      <c r="AD213" s="12">
        <v>15271.3974609375</v>
      </c>
      <c r="AE213" s="12">
        <v>9164.818359375</v>
      </c>
      <c r="AF213" s="12">
        <v>13719.2568359375</v>
      </c>
      <c r="AG213" s="12">
        <v>9057.2099609375</v>
      </c>
      <c r="AH213" s="12">
        <v>57639.75</v>
      </c>
      <c r="AI213" s="12">
        <v>10535.916015625</v>
      </c>
      <c r="AJ213" s="12">
        <v>10231.2373046875</v>
      </c>
      <c r="AK213" s="12">
        <v>8815.052734375</v>
      </c>
      <c r="AL213" s="12">
        <v>4532.4794921875</v>
      </c>
      <c r="AM213" s="12">
        <v>45175.64453125</v>
      </c>
      <c r="AN213" s="12">
        <v>12855.939453125</v>
      </c>
      <c r="AO213" s="12">
        <v>10142.7470703125</v>
      </c>
      <c r="AP213" s="12">
        <v>790.745849609375</v>
      </c>
      <c r="AQ213" s="12">
        <v>2167.655517578125</v>
      </c>
      <c r="AR213" s="12">
        <v>1022.9825439453125</v>
      </c>
      <c r="AS213" s="12">
        <v>2744.543701171875</v>
      </c>
      <c r="AT213" s="12">
        <v>1796.118408203125</v>
      </c>
      <c r="AU213" s="12">
        <v>908.32647705078125</v>
      </c>
      <c r="AV213" s="12">
        <v>3771.158935546875</v>
      </c>
      <c r="AW213" s="12">
        <v>1262.501220703125</v>
      </c>
      <c r="AX213" s="12">
        <v>1896.18017578125</v>
      </c>
      <c r="AY213" s="12">
        <v>9461.9130859375</v>
      </c>
      <c r="AZ213" s="12">
        <v>3029.819091796875</v>
      </c>
      <c r="BA213" s="12">
        <v>26141.3125</v>
      </c>
      <c r="BB213" s="12">
        <v>9649.25390625</v>
      </c>
      <c r="BC213" s="12">
        <v>6201.60888671875</v>
      </c>
      <c r="BD213" s="12">
        <v>25430.7421875</v>
      </c>
      <c r="BE213" s="12">
        <v>24018.376953125</v>
      </c>
      <c r="BF213" s="12">
        <v>29373.0703125</v>
      </c>
      <c r="BG213" s="12">
        <v>19611.923828125</v>
      </c>
      <c r="BH213" s="12">
        <v>2492.96923828125</v>
      </c>
      <c r="BI213" s="12">
        <v>3067.934814453125</v>
      </c>
      <c r="BJ213" s="12">
        <v>5246.37548828125</v>
      </c>
      <c r="BK213" s="12">
        <v>1862.2353515625</v>
      </c>
      <c r="BL213" s="12">
        <v>3271.06103515625</v>
      </c>
      <c r="BM213" s="12">
        <v>4205.3603515625</v>
      </c>
      <c r="BN213" s="12">
        <v>10571.451171875</v>
      </c>
      <c r="BO213" s="12">
        <v>4111.31787109375</v>
      </c>
      <c r="BP213" s="12">
        <v>8339.859375</v>
      </c>
      <c r="BQ213" s="12"/>
      <c r="BR213" s="12"/>
    </row>
    <row r="214" spans="2:70" x14ac:dyDescent="0.2">
      <c r="B214">
        <v>2009</v>
      </c>
      <c r="C214" s="12">
        <v>11280.5224609375</v>
      </c>
      <c r="D214" s="12">
        <v>29424.33984375</v>
      </c>
      <c r="E214" s="12">
        <v>37436.96875</v>
      </c>
      <c r="F214" s="12">
        <v>11342.9755859375</v>
      </c>
      <c r="G214" s="12">
        <v>12195.31640625</v>
      </c>
      <c r="H214" s="12">
        <v>3507.18896484375</v>
      </c>
      <c r="I214" s="12">
        <v>16792.650390625</v>
      </c>
      <c r="J214" s="12">
        <v>9419.080078125</v>
      </c>
      <c r="K214" s="12">
        <v>4047.17431640625</v>
      </c>
      <c r="L214" s="12">
        <v>35182.94921875</v>
      </c>
      <c r="M214" s="12">
        <v>39203.21875</v>
      </c>
      <c r="N214" s="12">
        <v>27578.720703125</v>
      </c>
      <c r="O214" s="12">
        <v>32748.259765625</v>
      </c>
      <c r="P214" s="12">
        <v>32527.458984375</v>
      </c>
      <c r="Q214" s="12">
        <v>31959.572265625</v>
      </c>
      <c r="R214" s="12">
        <v>39607.26171875</v>
      </c>
      <c r="S214" s="12">
        <v>58291.546875</v>
      </c>
      <c r="T214" s="12">
        <v>36327.2421875</v>
      </c>
      <c r="U214" s="12">
        <v>33514.37109375</v>
      </c>
      <c r="V214" s="12">
        <v>16162.927734375</v>
      </c>
      <c r="W214" s="12">
        <v>39110.09375</v>
      </c>
      <c r="X214" s="12">
        <v>35024.96484375</v>
      </c>
      <c r="Y214" s="12">
        <v>35394.60546875</v>
      </c>
      <c r="Z214" s="12">
        <v>24793.591796875</v>
      </c>
      <c r="AA214" s="12">
        <v>5109.0380859375</v>
      </c>
      <c r="AB214" s="12">
        <v>18052.384765625</v>
      </c>
      <c r="AC214" s="12">
        <v>11448.587890625</v>
      </c>
      <c r="AD214" s="12">
        <v>14945.25</v>
      </c>
      <c r="AE214" s="12">
        <v>9176.9052734375</v>
      </c>
      <c r="AF214" s="12">
        <v>12588.4404296875</v>
      </c>
      <c r="AG214" s="12">
        <v>8940.11328125</v>
      </c>
      <c r="AH214" s="12">
        <v>51837.0390625</v>
      </c>
      <c r="AI214" s="12">
        <v>10258.3232421875</v>
      </c>
      <c r="AJ214" s="12">
        <v>10229.7041015625</v>
      </c>
      <c r="AK214" s="12">
        <v>8763.9775390625</v>
      </c>
      <c r="AL214" s="12">
        <v>4870.8583984375</v>
      </c>
      <c r="AM214" s="12">
        <v>42095.234375</v>
      </c>
      <c r="AN214" s="12">
        <v>11839.63671875</v>
      </c>
      <c r="AO214" s="12">
        <v>9941.4150390625</v>
      </c>
      <c r="AP214" s="12">
        <v>753.7230224609375</v>
      </c>
      <c r="AQ214" s="12">
        <v>2182.0068359375</v>
      </c>
      <c r="AR214" s="12">
        <v>1092.060546875</v>
      </c>
      <c r="AS214" s="12">
        <v>2771.328125</v>
      </c>
      <c r="AT214" s="12">
        <v>1806.3184814453125</v>
      </c>
      <c r="AU214" s="12">
        <v>870.06005859375</v>
      </c>
      <c r="AV214" s="12">
        <v>3884.899658203125</v>
      </c>
      <c r="AW214" s="12">
        <v>1301.79541015625</v>
      </c>
      <c r="AX214" s="12">
        <v>1813.0023193359375</v>
      </c>
      <c r="AY214" s="12">
        <v>9179.1943359375</v>
      </c>
      <c r="AZ214" s="12">
        <v>3143.427978515625</v>
      </c>
      <c r="BA214" s="12">
        <v>23968.099609375</v>
      </c>
      <c r="BB214" s="12">
        <v>8920.017578125</v>
      </c>
      <c r="BC214" s="12">
        <v>6604.6025390625</v>
      </c>
      <c r="BD214" s="12">
        <v>23677.541015625</v>
      </c>
      <c r="BE214" s="12">
        <v>23823.25390625</v>
      </c>
      <c r="BF214" s="12">
        <v>28960.658203125</v>
      </c>
      <c r="BG214" s="12">
        <v>18306.41796875</v>
      </c>
      <c r="BH214" s="12">
        <v>2639.106201171875</v>
      </c>
      <c r="BI214" s="12">
        <v>3202.490966796875</v>
      </c>
      <c r="BJ214" s="12">
        <v>5318.08544921875</v>
      </c>
      <c r="BK214" s="12">
        <v>2068.0556640625</v>
      </c>
      <c r="BL214" s="12">
        <v>3326.9638671875</v>
      </c>
      <c r="BM214" s="12">
        <v>4160.9921875</v>
      </c>
      <c r="BN214" s="12">
        <v>10076.7646484375</v>
      </c>
      <c r="BO214" s="12">
        <v>4525.49072265625</v>
      </c>
      <c r="BP214" s="12">
        <v>8104.08544921875</v>
      </c>
      <c r="BQ214" s="12"/>
      <c r="BR214" s="12"/>
    </row>
    <row r="215" spans="2:70" x14ac:dyDescent="0.2">
      <c r="B215">
        <v>2010</v>
      </c>
      <c r="C215" s="12">
        <v>11662.9130859375</v>
      </c>
      <c r="D215" s="12">
        <v>30260.2578125</v>
      </c>
      <c r="E215" s="12">
        <v>38460.52734375</v>
      </c>
      <c r="F215" s="12">
        <v>11787.412109375</v>
      </c>
      <c r="G215" s="12">
        <v>12562.513671875</v>
      </c>
      <c r="H215" s="12">
        <v>3523.7001953125</v>
      </c>
      <c r="I215" s="12">
        <v>17545.53125</v>
      </c>
      <c r="J215" s="12">
        <v>10107.4326171875</v>
      </c>
      <c r="K215" s="12">
        <v>4304.0478515625</v>
      </c>
      <c r="L215" s="12">
        <v>36685.11328125</v>
      </c>
      <c r="M215" s="12">
        <v>40414.63671875</v>
      </c>
      <c r="N215" s="12">
        <v>27669.712890625</v>
      </c>
      <c r="O215" s="12">
        <v>33483.671875</v>
      </c>
      <c r="P215" s="12">
        <v>33654.37890625</v>
      </c>
      <c r="Q215" s="12">
        <v>32045.640625</v>
      </c>
      <c r="R215" s="12">
        <v>40752.453125</v>
      </c>
      <c r="S215" s="12">
        <v>59462.88671875</v>
      </c>
      <c r="T215" s="12">
        <v>38903.64453125</v>
      </c>
      <c r="U215" s="12">
        <v>34793.95703125</v>
      </c>
      <c r="V215" s="12">
        <v>16288.2998046875</v>
      </c>
      <c r="W215" s="12">
        <v>40261.30078125</v>
      </c>
      <c r="X215" s="12">
        <v>35887.35546875</v>
      </c>
      <c r="Y215" s="12">
        <v>35702.75</v>
      </c>
      <c r="Z215" s="12">
        <v>24831.216796875</v>
      </c>
      <c r="AA215" s="12">
        <v>5185.23291015625</v>
      </c>
      <c r="AB215" s="12">
        <v>19890.841796875</v>
      </c>
      <c r="AC215" s="12">
        <v>12099.6181640625</v>
      </c>
      <c r="AD215" s="12">
        <v>15755.06640625</v>
      </c>
      <c r="AE215" s="12">
        <v>9419.7001953125</v>
      </c>
      <c r="AF215" s="12">
        <v>13170.0859375</v>
      </c>
      <c r="AG215" s="12">
        <v>8811.94921875</v>
      </c>
      <c r="AH215" s="12">
        <v>53893.7734375</v>
      </c>
      <c r="AI215" s="12">
        <v>10754.234375</v>
      </c>
      <c r="AJ215" s="12">
        <v>10343.3583984375</v>
      </c>
      <c r="AK215" s="12">
        <v>9407.962890625</v>
      </c>
      <c r="AL215" s="12">
        <v>5063.90625</v>
      </c>
      <c r="AM215" s="12">
        <v>39380.4375</v>
      </c>
      <c r="AN215" s="12">
        <v>12967.6943359375</v>
      </c>
      <c r="AO215" s="12">
        <v>10209.837890625</v>
      </c>
      <c r="AP215" s="12">
        <v>771.74420166015625</v>
      </c>
      <c r="AQ215" s="12">
        <v>2299.24609375</v>
      </c>
      <c r="AR215" s="12">
        <v>1202.97021484375</v>
      </c>
      <c r="AS215" s="12">
        <v>2871.75439453125</v>
      </c>
      <c r="AT215" s="12">
        <v>1861.438720703125</v>
      </c>
      <c r="AU215" s="12">
        <v>911.3763427734375</v>
      </c>
      <c r="AV215" s="12">
        <v>4066.26171875</v>
      </c>
      <c r="AW215" s="12">
        <v>1363.397705078125</v>
      </c>
      <c r="AX215" s="12">
        <v>1603.3250732421875</v>
      </c>
      <c r="AY215" s="12">
        <v>9489.083984375</v>
      </c>
      <c r="AZ215" s="12">
        <v>3160.487060546875</v>
      </c>
      <c r="BA215" s="12">
        <v>25094.666015625</v>
      </c>
      <c r="BB215" s="12">
        <v>9320.26953125</v>
      </c>
      <c r="BC215" s="12">
        <v>7164.52490234375</v>
      </c>
      <c r="BD215" s="12">
        <v>24976.2734375</v>
      </c>
      <c r="BE215" s="12">
        <v>25416.388671875</v>
      </c>
      <c r="BF215" s="12">
        <v>31547.697265625</v>
      </c>
      <c r="BG215" s="12">
        <v>19478.646484375</v>
      </c>
      <c r="BH215" s="12">
        <v>2828.4990234375</v>
      </c>
      <c r="BI215" s="12">
        <v>3407.0546875</v>
      </c>
      <c r="BJ215" s="12">
        <v>5488.5439453125</v>
      </c>
      <c r="BK215" s="12">
        <v>2298.938232421875</v>
      </c>
      <c r="BL215" s="12">
        <v>3335.75439453125</v>
      </c>
      <c r="BM215" s="12">
        <v>4374.119140625</v>
      </c>
      <c r="BN215" s="12">
        <v>10804.18359375</v>
      </c>
      <c r="BO215" s="12">
        <v>4957.7470703125</v>
      </c>
      <c r="BP215" s="12">
        <v>8939.166015625</v>
      </c>
      <c r="BQ215" s="12"/>
      <c r="BR215" s="12"/>
    </row>
    <row r="216" spans="2:70" x14ac:dyDescent="0.2">
      <c r="B216">
        <v>2011</v>
      </c>
      <c r="C216" s="12">
        <v>11890.50390625</v>
      </c>
      <c r="D216" s="12">
        <v>30705.45703125</v>
      </c>
      <c r="E216" s="12">
        <v>38875.95703125</v>
      </c>
      <c r="F216" s="12">
        <v>12194.419921875</v>
      </c>
      <c r="G216" s="12">
        <v>13075.861328125</v>
      </c>
      <c r="H216" s="12">
        <v>3592.1376953125</v>
      </c>
      <c r="I216" s="12">
        <v>17673.890625</v>
      </c>
      <c r="J216" s="12">
        <v>10595.6083984375</v>
      </c>
      <c r="K216" s="12">
        <v>4513.40869140625</v>
      </c>
      <c r="L216" s="12">
        <v>38436.65234375</v>
      </c>
      <c r="M216" s="12">
        <v>41106.27734375</v>
      </c>
      <c r="N216" s="12">
        <v>27425.681640625</v>
      </c>
      <c r="O216" s="12">
        <v>34137.6875</v>
      </c>
      <c r="P216" s="12">
        <v>33602.47265625</v>
      </c>
      <c r="Q216" s="12">
        <v>32053.646484375</v>
      </c>
      <c r="R216" s="12">
        <v>41755.6484375</v>
      </c>
      <c r="S216" s="12">
        <v>59298.2109375</v>
      </c>
      <c r="T216" s="12">
        <v>39459.50390625</v>
      </c>
      <c r="U216" s="12">
        <v>34126.4140625</v>
      </c>
      <c r="V216" s="12">
        <v>16942.41796875</v>
      </c>
      <c r="W216" s="12">
        <v>40663.15234375</v>
      </c>
      <c r="X216" s="12">
        <v>36577.203125</v>
      </c>
      <c r="Y216" s="12">
        <v>36601.30078125</v>
      </c>
      <c r="Z216" s="12">
        <v>25421.16796875</v>
      </c>
      <c r="AA216" s="12">
        <v>4706.36376953125</v>
      </c>
      <c r="AB216" s="12">
        <v>21052.640625</v>
      </c>
      <c r="AC216" s="12">
        <v>12566.6337890625</v>
      </c>
      <c r="AD216" s="12">
        <v>16081.82421875</v>
      </c>
      <c r="AE216" s="12">
        <v>9872.6953125</v>
      </c>
      <c r="AF216" s="12">
        <v>13401.662109375</v>
      </c>
      <c r="AG216" s="12">
        <v>9113.72265625</v>
      </c>
      <c r="AH216" s="12">
        <v>55839.3203125</v>
      </c>
      <c r="AI216" s="12">
        <v>10825.380859375</v>
      </c>
      <c r="AJ216" s="12">
        <v>10359.056640625</v>
      </c>
      <c r="AK216" s="12">
        <v>9739.197265625</v>
      </c>
      <c r="AL216" s="12">
        <v>5332.2568359375</v>
      </c>
      <c r="AM216" s="12">
        <v>42671.62109375</v>
      </c>
      <c r="AN216" s="12">
        <v>14366.021484375</v>
      </c>
      <c r="AO216" s="12">
        <v>10016.1640625</v>
      </c>
      <c r="AP216" s="12">
        <v>805.15557861328125</v>
      </c>
      <c r="AQ216" s="12">
        <v>2259.283447265625</v>
      </c>
      <c r="AR216" s="12">
        <v>1293.4903564453125</v>
      </c>
      <c r="AS216" s="12">
        <v>2918.39306640625</v>
      </c>
      <c r="AT216" s="12">
        <v>1864.0833740234375</v>
      </c>
      <c r="AU216" s="12">
        <v>907.815185546875</v>
      </c>
      <c r="AV216" s="12">
        <v>4305.9716796875</v>
      </c>
      <c r="AW216" s="12">
        <v>1433.0582275390625</v>
      </c>
      <c r="AX216" s="12">
        <v>1648.9808349609375</v>
      </c>
      <c r="AY216" s="12">
        <v>9705.4775390625</v>
      </c>
      <c r="AZ216" s="12">
        <v>3207.99755859375</v>
      </c>
      <c r="BA216" s="12">
        <v>24973.474609375</v>
      </c>
      <c r="BB216" s="12">
        <v>9834.93359375</v>
      </c>
      <c r="BC216" s="12">
        <v>7677.9013671875</v>
      </c>
      <c r="BD216" s="12">
        <v>25174.03515625</v>
      </c>
      <c r="BE216" s="12">
        <v>26298.158203125</v>
      </c>
      <c r="BF216" s="12">
        <v>32589.578125</v>
      </c>
      <c r="BG216" s="12">
        <v>20695.208984375</v>
      </c>
      <c r="BH216" s="12">
        <v>3045.165283203125</v>
      </c>
      <c r="BI216" s="12">
        <v>3581.336669921875</v>
      </c>
      <c r="BJ216" s="12">
        <v>5761.216796875</v>
      </c>
      <c r="BK216" s="12">
        <v>2449.733154296875</v>
      </c>
      <c r="BL216" s="12">
        <v>3397.224365234375</v>
      </c>
      <c r="BM216" s="12">
        <v>4499.19970703125</v>
      </c>
      <c r="BN216" s="12">
        <v>11120.681640625</v>
      </c>
      <c r="BO216" s="12">
        <v>5219.400390625</v>
      </c>
      <c r="BP216" s="12">
        <v>9483.9501953125</v>
      </c>
      <c r="BQ216" s="12"/>
      <c r="BR216" s="12"/>
    </row>
    <row r="217" spans="2:70" x14ac:dyDescent="0.2">
      <c r="B217">
        <v>2012</v>
      </c>
      <c r="C217" s="12">
        <v>11995.271484375</v>
      </c>
      <c r="D217" s="12">
        <v>30482.421875</v>
      </c>
      <c r="E217" s="12">
        <v>39448.48046875</v>
      </c>
      <c r="F217" s="12">
        <v>12380.6689453125</v>
      </c>
      <c r="G217" s="12">
        <v>13343.8525390625</v>
      </c>
      <c r="H217" s="12">
        <v>3131.14453125</v>
      </c>
      <c r="I217" s="12">
        <v>18218.158203125</v>
      </c>
      <c r="J217" s="12">
        <v>11106.4111328125</v>
      </c>
      <c r="K217" s="12">
        <v>4666.7294921875</v>
      </c>
      <c r="L217" s="12">
        <v>38449.015625</v>
      </c>
      <c r="M217" s="12">
        <v>40926.83984375</v>
      </c>
      <c r="N217" s="12">
        <v>26722.251953125</v>
      </c>
      <c r="O217" s="12">
        <v>33812</v>
      </c>
      <c r="P217" s="12">
        <v>33273.37890625</v>
      </c>
      <c r="Q217" s="12">
        <v>30757.013671875</v>
      </c>
      <c r="R217" s="12">
        <v>41126.19140625</v>
      </c>
      <c r="S217" s="12">
        <v>60247.56640625</v>
      </c>
      <c r="T217" s="12">
        <v>38994.7265625</v>
      </c>
      <c r="U217" s="12">
        <v>34186.5546875</v>
      </c>
      <c r="V217" s="12">
        <v>17113.458984375</v>
      </c>
      <c r="W217" s="12">
        <v>41249.69921875</v>
      </c>
      <c r="X217" s="12">
        <v>37053.01171875</v>
      </c>
      <c r="Y217" s="12">
        <v>37608.01953125</v>
      </c>
      <c r="Z217" s="12">
        <v>26252.66796875</v>
      </c>
      <c r="AA217" s="12">
        <v>4813.79931640625</v>
      </c>
      <c r="AB217" s="12">
        <v>20516.361328125</v>
      </c>
      <c r="AC217" s="12">
        <v>12710.064453125</v>
      </c>
      <c r="AD217" s="12">
        <v>17480.28515625</v>
      </c>
      <c r="AE217" s="12">
        <v>10228.359375</v>
      </c>
      <c r="AF217" s="12">
        <v>13573.8095703125</v>
      </c>
      <c r="AG217" s="12">
        <v>9347.765625</v>
      </c>
      <c r="AH217" s="12">
        <v>56194.72265625</v>
      </c>
      <c r="AI217" s="12">
        <v>10791.5361328125</v>
      </c>
      <c r="AJ217" s="12">
        <v>10540.533203125</v>
      </c>
      <c r="AK217" s="12">
        <v>8969.607421875</v>
      </c>
      <c r="AL217" s="12">
        <v>5428.21533203125</v>
      </c>
      <c r="AM217" s="12">
        <v>43593.296875</v>
      </c>
      <c r="AN217" s="12">
        <v>14830.16796875</v>
      </c>
      <c r="AO217" s="12">
        <v>10480.8759765625</v>
      </c>
      <c r="AP217" s="12">
        <v>839.933837890625</v>
      </c>
      <c r="AQ217" s="12">
        <v>2591.212646484375</v>
      </c>
      <c r="AR217" s="12">
        <v>1370.065673828125</v>
      </c>
      <c r="AS217" s="12">
        <v>2934.070556640625</v>
      </c>
      <c r="AT217" s="12">
        <v>1782.6827392578125</v>
      </c>
      <c r="AU217" s="12">
        <v>977.7276611328125</v>
      </c>
      <c r="AV217" s="12">
        <v>4572.259765625</v>
      </c>
      <c r="AW217" s="12">
        <v>1505.6097412109375</v>
      </c>
      <c r="AX217" s="12">
        <v>1677.767578125</v>
      </c>
      <c r="AY217" s="12">
        <v>9749.43359375</v>
      </c>
      <c r="AZ217" s="12">
        <v>2390.9453125</v>
      </c>
      <c r="BA217" s="12">
        <v>25891.09375</v>
      </c>
      <c r="BB217" s="12">
        <v>10017.5625</v>
      </c>
      <c r="BC217" s="12">
        <v>8232.8408203125</v>
      </c>
      <c r="BD217" s="12">
        <v>25630.93359375</v>
      </c>
      <c r="BE217" s="12">
        <v>26670.91015625</v>
      </c>
      <c r="BF217" s="12">
        <v>33458.19921875</v>
      </c>
      <c r="BG217" s="12">
        <v>20779.080078125</v>
      </c>
      <c r="BH217" s="12">
        <v>3257.45947265625</v>
      </c>
      <c r="BI217" s="12">
        <v>3703.763671875</v>
      </c>
      <c r="BJ217" s="12">
        <v>6002.39111328125</v>
      </c>
      <c r="BK217" s="12">
        <v>2581.49365234375</v>
      </c>
      <c r="BL217" s="12">
        <v>3454.696533203125</v>
      </c>
      <c r="BM217" s="12">
        <v>4701.54345703125</v>
      </c>
      <c r="BN217" s="12">
        <v>11455.7578125</v>
      </c>
      <c r="BO217" s="12">
        <v>5350.36865234375</v>
      </c>
      <c r="BP217" s="12">
        <v>9708.111328125</v>
      </c>
      <c r="BQ217" s="12"/>
      <c r="BR217" s="12"/>
    </row>
    <row r="218" spans="2:70" x14ac:dyDescent="0.2">
      <c r="B218">
        <v>2013</v>
      </c>
      <c r="C218" s="12">
        <v>12165.3818359375</v>
      </c>
      <c r="D218" s="12">
        <v>30570.2578125</v>
      </c>
      <c r="E218" s="12">
        <v>39860.703125</v>
      </c>
      <c r="F218" s="12">
        <v>12578.9189453125</v>
      </c>
      <c r="G218" s="12">
        <v>13551.0751953125</v>
      </c>
      <c r="H218" s="12">
        <v>3313.603515625</v>
      </c>
      <c r="I218" s="12">
        <v>18423.32421875</v>
      </c>
      <c r="J218" s="12">
        <v>11629.326171875</v>
      </c>
      <c r="K218" s="12">
        <v>4850.8994140625</v>
      </c>
      <c r="L218" s="12">
        <v>38534.48828125</v>
      </c>
      <c r="M218" s="12">
        <v>41965.70703125</v>
      </c>
      <c r="N218" s="12">
        <v>26568.15234375</v>
      </c>
      <c r="O218" s="12">
        <v>33991.10546875</v>
      </c>
      <c r="P218" s="12">
        <v>33611.97265625</v>
      </c>
      <c r="Q218" s="12">
        <v>30120.935546875</v>
      </c>
      <c r="R218" s="12">
        <v>41387.7734375</v>
      </c>
      <c r="S218" s="12">
        <v>60611.6953125</v>
      </c>
      <c r="T218" s="12">
        <v>39243.41015625</v>
      </c>
      <c r="U218" s="12">
        <v>34031.73828125</v>
      </c>
      <c r="V218" s="12">
        <v>17314.30859375</v>
      </c>
      <c r="W218" s="12">
        <v>41684.55859375</v>
      </c>
      <c r="X218" s="12">
        <v>37621.70703125</v>
      </c>
      <c r="Y218" s="12">
        <v>37941.4296875</v>
      </c>
      <c r="Z218" s="12">
        <v>26835.65625</v>
      </c>
      <c r="AA218" s="12">
        <v>4849.82763671875</v>
      </c>
      <c r="AB218" s="12">
        <v>20250.49609375</v>
      </c>
      <c r="AC218" s="12">
        <v>13171.7451171875</v>
      </c>
      <c r="AD218" s="12">
        <v>18103.34765625</v>
      </c>
      <c r="AE218" s="12">
        <v>10703.380859375</v>
      </c>
      <c r="AF218" s="12">
        <v>13411.298828125</v>
      </c>
      <c r="AG218" s="12">
        <v>9539.033203125</v>
      </c>
      <c r="AH218" s="12">
        <v>56900.5</v>
      </c>
      <c r="AI218" s="12">
        <v>10727.60546875</v>
      </c>
      <c r="AJ218" s="12">
        <v>10619.8408203125</v>
      </c>
      <c r="AK218" s="12">
        <v>8554.6591796875</v>
      </c>
      <c r="AL218" s="12">
        <v>5721.662109375</v>
      </c>
      <c r="AM218" s="12">
        <v>42809.8515625</v>
      </c>
      <c r="AN218" s="12">
        <v>15911.677734375</v>
      </c>
      <c r="AO218" s="12">
        <v>10628.6591796875</v>
      </c>
      <c r="AP218" s="12">
        <v>834.099853515625</v>
      </c>
      <c r="AQ218" s="12">
        <v>2954.951904296875</v>
      </c>
      <c r="AR218" s="12">
        <v>1471.9669189453125</v>
      </c>
      <c r="AS218" s="12">
        <v>2956.152587890625</v>
      </c>
      <c r="AT218" s="12">
        <v>1797.0570068359375</v>
      </c>
      <c r="AU218" s="12">
        <v>986.35174560546875</v>
      </c>
      <c r="AV218" s="12">
        <v>4868.09423828125</v>
      </c>
      <c r="AW218" s="12">
        <v>1525.33056640625</v>
      </c>
      <c r="AX218" s="12">
        <v>1686.694091796875</v>
      </c>
      <c r="AY218" s="12">
        <v>9773.59765625</v>
      </c>
      <c r="AZ218" s="12">
        <v>2636.505859375</v>
      </c>
      <c r="BA218" s="12">
        <v>26118.3828125</v>
      </c>
      <c r="BB218" s="12">
        <v>10275.681640625</v>
      </c>
      <c r="BC218" s="12">
        <v>8756.6826171875</v>
      </c>
      <c r="BD218" s="12">
        <v>26362.55078125</v>
      </c>
      <c r="BE218" s="12">
        <v>27231.599609375</v>
      </c>
      <c r="BF218" s="12">
        <v>33826.6875</v>
      </c>
      <c r="BG218" s="12">
        <v>21494.48046875</v>
      </c>
      <c r="BH218" s="12">
        <v>3471.563232421875</v>
      </c>
      <c r="BI218" s="12">
        <v>3848.77099609375</v>
      </c>
      <c r="BJ218" s="12">
        <v>6283.4833984375</v>
      </c>
      <c r="BK218" s="12">
        <v>2784.6953125</v>
      </c>
      <c r="BL218" s="12">
        <v>3543.958984375</v>
      </c>
      <c r="BM218" s="12">
        <v>4942.83740234375</v>
      </c>
      <c r="BN218" s="12">
        <v>11385.4423828125</v>
      </c>
      <c r="BO218" s="12">
        <v>5561.5078125</v>
      </c>
      <c r="BP218" s="12">
        <v>10169.087890625</v>
      </c>
      <c r="BQ218" s="12"/>
      <c r="BR218" s="12"/>
    </row>
    <row r="219" spans="2:70" x14ac:dyDescent="0.2">
      <c r="B219">
        <v>2014</v>
      </c>
      <c r="C219" s="12">
        <v>12372.91796875</v>
      </c>
      <c r="D219" s="12">
        <v>30962.162109375</v>
      </c>
      <c r="E219" s="12">
        <v>40443.5546875</v>
      </c>
      <c r="F219" s="12">
        <v>12644.2744140625</v>
      </c>
      <c r="G219" s="12">
        <v>13647.712890625</v>
      </c>
      <c r="H219" s="12">
        <v>3578.9248046875</v>
      </c>
      <c r="I219" s="12">
        <v>17989.55078125</v>
      </c>
      <c r="J219" s="12">
        <v>12217.5380859375</v>
      </c>
      <c r="K219" s="12">
        <v>5035.7900390625</v>
      </c>
      <c r="L219" s="12">
        <v>39034.2421875</v>
      </c>
      <c r="M219" s="12">
        <v>42737.39453125</v>
      </c>
      <c r="N219" s="12">
        <v>27121.771484375</v>
      </c>
      <c r="O219" s="12">
        <v>34031.62890625</v>
      </c>
      <c r="P219" s="12">
        <v>34089.1953125</v>
      </c>
      <c r="Q219" s="12">
        <v>30157.810546875</v>
      </c>
      <c r="R219" s="12">
        <v>41671.09375</v>
      </c>
      <c r="S219" s="12">
        <v>62722.2890625</v>
      </c>
      <c r="T219" s="12">
        <v>39713.9296875</v>
      </c>
      <c r="U219" s="12">
        <v>34136.22265625</v>
      </c>
      <c r="V219" s="12">
        <v>17859.115234375</v>
      </c>
      <c r="W219" s="12">
        <v>42297.2109375</v>
      </c>
      <c r="X219" s="12">
        <v>38457.2265625</v>
      </c>
      <c r="Y219" s="12">
        <v>38346.27734375</v>
      </c>
      <c r="Z219" s="12">
        <v>26954.56640625</v>
      </c>
      <c r="AA219" s="12">
        <v>5079.388671875</v>
      </c>
      <c r="AB219" s="12">
        <v>20284.064453125</v>
      </c>
      <c r="AC219" s="12">
        <v>13068.875</v>
      </c>
      <c r="AD219" s="12">
        <v>18280.955078125</v>
      </c>
      <c r="AE219" s="12">
        <v>11240.103515625</v>
      </c>
      <c r="AF219" s="12">
        <v>13690.7109375</v>
      </c>
      <c r="AG219" s="12">
        <v>9528.0419921875</v>
      </c>
      <c r="AH219" s="12">
        <v>56767.02734375</v>
      </c>
      <c r="AI219" s="12">
        <v>10787.0322265625</v>
      </c>
      <c r="AJ219" s="12">
        <v>10774.830078125</v>
      </c>
      <c r="AK219" s="12">
        <v>8762.501953125</v>
      </c>
      <c r="AL219" s="12">
        <v>5902.25390625</v>
      </c>
      <c r="AM219" s="12">
        <v>42924.625</v>
      </c>
      <c r="AN219" s="12">
        <v>16267.7021484375</v>
      </c>
      <c r="AO219" s="12">
        <v>10399.4990234375</v>
      </c>
      <c r="AP219" s="12">
        <v>957.1466064453125</v>
      </c>
      <c r="AQ219" s="12">
        <v>3312.667724609375</v>
      </c>
      <c r="AR219" s="12">
        <v>1578.7591552734375</v>
      </c>
      <c r="AS219" s="12">
        <v>3040.140869140625</v>
      </c>
      <c r="AT219" s="12">
        <v>1865.6666259765625</v>
      </c>
      <c r="AU219" s="12">
        <v>1024.400390625</v>
      </c>
      <c r="AV219" s="12">
        <v>5321.14208984375</v>
      </c>
      <c r="AW219" s="12">
        <v>1569.5479736328125</v>
      </c>
      <c r="AX219" s="12">
        <v>1820.714111328125</v>
      </c>
      <c r="AY219" s="12">
        <v>9741.3193359375</v>
      </c>
      <c r="AZ219" s="12">
        <v>2944.176513671875</v>
      </c>
      <c r="BA219" s="12">
        <v>25411.908203125</v>
      </c>
      <c r="BB219" s="12">
        <v>10208.59375</v>
      </c>
      <c r="BC219" s="12">
        <v>9403.8525390625</v>
      </c>
      <c r="BD219" s="12">
        <v>26663.025390625</v>
      </c>
      <c r="BE219" s="12">
        <v>27773.345703125</v>
      </c>
      <c r="BF219" s="12">
        <v>35613.33203125</v>
      </c>
      <c r="BG219" s="12">
        <v>21623.27734375</v>
      </c>
      <c r="BH219" s="12">
        <v>3723.243896484375</v>
      </c>
      <c r="BI219" s="12">
        <v>4035.824951171875</v>
      </c>
      <c r="BJ219" s="12">
        <v>6464.83837890625</v>
      </c>
      <c r="BK219" s="12">
        <v>2941.43115234375</v>
      </c>
      <c r="BL219" s="12">
        <v>3645.734130859375</v>
      </c>
      <c r="BM219" s="12">
        <v>5157.1025390625</v>
      </c>
      <c r="BN219" s="12">
        <v>11451.265625</v>
      </c>
      <c r="BO219" s="12">
        <v>5796.77490234375</v>
      </c>
      <c r="BP219" s="12">
        <v>10452.1884765625</v>
      </c>
      <c r="BQ219" s="12"/>
      <c r="BR219" s="12"/>
    </row>
    <row r="220" spans="2:70" x14ac:dyDescent="0.2">
      <c r="B220">
        <v>2015</v>
      </c>
      <c r="C220" s="12">
        <v>12582.2705078125</v>
      </c>
      <c r="D220" s="12">
        <v>31524.98828125</v>
      </c>
      <c r="E220" s="12">
        <v>41094.9921875</v>
      </c>
      <c r="F220" s="12">
        <v>12621.8779296875</v>
      </c>
      <c r="G220" s="12">
        <v>13704.4404296875</v>
      </c>
      <c r="H220" s="12">
        <v>3616.34130859375</v>
      </c>
      <c r="I220" s="12">
        <v>17669.771484375</v>
      </c>
      <c r="J220" s="12">
        <v>12742.193359375</v>
      </c>
      <c r="K220" s="12">
        <v>5305.28857421875</v>
      </c>
      <c r="L220" s="12">
        <v>39526.14453125</v>
      </c>
      <c r="M220" s="12">
        <v>42769.81640625</v>
      </c>
      <c r="N220" s="12">
        <v>28507.09375</v>
      </c>
      <c r="O220" s="12">
        <v>34261.3515625</v>
      </c>
      <c r="P220" s="12">
        <v>34926.7734375</v>
      </c>
      <c r="Q220" s="12">
        <v>30367.33984375</v>
      </c>
      <c r="R220" s="12">
        <v>41387.01171875</v>
      </c>
      <c r="S220" s="12">
        <v>63668.41796875</v>
      </c>
      <c r="T220" s="12">
        <v>40264.00390625</v>
      </c>
      <c r="U220" s="12">
        <v>34472.12890625</v>
      </c>
      <c r="V220" s="12">
        <v>18521.85546875</v>
      </c>
      <c r="W220" s="12">
        <v>43109.28125</v>
      </c>
      <c r="X220" s="12">
        <v>38254.9375</v>
      </c>
      <c r="Y220" s="12">
        <v>38429.94140625</v>
      </c>
      <c r="Z220" s="12">
        <v>27757.5546875</v>
      </c>
      <c r="AA220" s="12">
        <v>5065.4599609375</v>
      </c>
      <c r="AB220" s="12">
        <v>21141.419921875</v>
      </c>
      <c r="AC220" s="12">
        <v>12459.7509765625</v>
      </c>
      <c r="AD220" s="12">
        <v>18723.65234375</v>
      </c>
      <c r="AE220" s="12">
        <v>11687.859375</v>
      </c>
      <c r="AF220" s="12">
        <v>13766.1396484375</v>
      </c>
      <c r="AG220" s="12">
        <v>9681.4541015625</v>
      </c>
      <c r="AH220" s="12">
        <v>57213.56640625</v>
      </c>
      <c r="AI220" s="12">
        <v>10710.2880859375</v>
      </c>
      <c r="AJ220" s="12">
        <v>11096.3603515625</v>
      </c>
      <c r="AK220" s="12">
        <v>8438.2158203125</v>
      </c>
      <c r="AL220" s="12">
        <v>6112.5732421875</v>
      </c>
      <c r="AM220" s="12">
        <v>41712.89453125</v>
      </c>
      <c r="AN220" s="12">
        <v>16769.751953125</v>
      </c>
      <c r="AO220" s="12">
        <v>10370.1767578125</v>
      </c>
      <c r="AP220" s="12">
        <v>968.9443359375</v>
      </c>
      <c r="AQ220" s="12">
        <v>3677.724609375</v>
      </c>
      <c r="AR220" s="12">
        <v>1668.6446533203125</v>
      </c>
      <c r="AS220" s="12">
        <v>3150.04736328125</v>
      </c>
      <c r="AT220" s="12">
        <v>1931.071044921875</v>
      </c>
      <c r="AU220" s="12">
        <v>1033.0380859375</v>
      </c>
      <c r="AV220" s="12">
        <v>5570.6630859375</v>
      </c>
      <c r="AW220" s="12">
        <v>1683.0347900390625</v>
      </c>
      <c r="AX220" s="12">
        <v>1843.4632568359375</v>
      </c>
      <c r="AY220" s="12">
        <v>9699.6533203125</v>
      </c>
      <c r="AZ220" s="12">
        <v>2943.30322265625</v>
      </c>
      <c r="BA220" s="12">
        <v>24917.880859375</v>
      </c>
      <c r="BB220" s="12">
        <v>10136.951171875</v>
      </c>
      <c r="BC220" s="12">
        <v>9968.2509765625</v>
      </c>
      <c r="BD220" s="12">
        <v>27236.794921875</v>
      </c>
      <c r="BE220" s="12">
        <v>28444.904296875</v>
      </c>
      <c r="BF220" s="12">
        <v>35792.65625</v>
      </c>
      <c r="BG220" s="12">
        <v>21152.275390625</v>
      </c>
      <c r="BH220" s="12">
        <v>4027.91943359375</v>
      </c>
      <c r="BI220" s="12">
        <v>4330.35595703125</v>
      </c>
      <c r="BJ220" s="12">
        <v>6722.43408203125</v>
      </c>
      <c r="BK220" s="12">
        <v>3138.80517578125</v>
      </c>
      <c r="BL220" s="12">
        <v>3786.405517578125</v>
      </c>
      <c r="BM220" s="12">
        <v>5471.10986328125</v>
      </c>
      <c r="BN220" s="12">
        <v>11708.7822265625</v>
      </c>
      <c r="BO220" s="12">
        <v>6110.36474609375</v>
      </c>
      <c r="BP220" s="12">
        <v>10764.3017578125</v>
      </c>
      <c r="BQ220" s="12"/>
      <c r="BR220" s="12"/>
    </row>
    <row r="221" spans="2:70" x14ac:dyDescent="0.2">
      <c r="B221">
        <v>2016</v>
      </c>
      <c r="C221" s="12">
        <v>12722.0625</v>
      </c>
      <c r="D221" s="12">
        <v>32087.6640625</v>
      </c>
      <c r="E221" s="12">
        <v>41324.44921875</v>
      </c>
      <c r="F221" s="12">
        <v>12345.5556640625</v>
      </c>
      <c r="G221" s="12">
        <v>13978.470703125</v>
      </c>
      <c r="H221" s="12">
        <v>3526.802978515625</v>
      </c>
      <c r="I221" s="12">
        <v>16887.287109375</v>
      </c>
      <c r="J221" s="12">
        <v>13249.7841796875</v>
      </c>
      <c r="K221" s="12">
        <v>5583.6875</v>
      </c>
      <c r="L221" s="12">
        <v>40222.72265625</v>
      </c>
      <c r="M221" s="12">
        <v>43514.5390625</v>
      </c>
      <c r="N221" s="12">
        <v>29409.00390625</v>
      </c>
      <c r="O221" s="12">
        <v>34403.4765625</v>
      </c>
      <c r="P221" s="12">
        <v>35285.21484375</v>
      </c>
      <c r="Q221" s="12">
        <v>31120.751953125</v>
      </c>
      <c r="R221" s="12">
        <v>42600.1015625</v>
      </c>
      <c r="S221" s="12">
        <v>63601.875</v>
      </c>
      <c r="T221" s="12">
        <v>40566.7890625</v>
      </c>
      <c r="U221" s="12">
        <v>34748.984375</v>
      </c>
      <c r="V221" s="12">
        <v>19103.865234375</v>
      </c>
      <c r="W221" s="12">
        <v>43388.91015625</v>
      </c>
      <c r="X221" s="12">
        <v>38221.16015625</v>
      </c>
      <c r="Y221" s="12">
        <v>38419.7421875</v>
      </c>
      <c r="Z221" s="12">
        <v>29739.779296875</v>
      </c>
      <c r="AA221" s="12">
        <v>5011.27099609375</v>
      </c>
      <c r="AB221" s="12">
        <v>20539.12890625</v>
      </c>
      <c r="AC221" s="12">
        <v>11893.603515625</v>
      </c>
      <c r="AD221" s="12">
        <v>18780.67578125</v>
      </c>
      <c r="AE221" s="12">
        <v>11806.8037109375</v>
      </c>
      <c r="AF221" s="12">
        <v>13754.2939453125</v>
      </c>
      <c r="AG221" s="12">
        <v>9467.0517578125</v>
      </c>
      <c r="AH221" s="12">
        <v>56141.3828125</v>
      </c>
      <c r="AI221" s="12">
        <v>11139.3583984375</v>
      </c>
      <c r="AJ221" s="12">
        <v>11385.61328125</v>
      </c>
      <c r="AK221" s="12">
        <v>9047.919921875</v>
      </c>
      <c r="AL221" s="12">
        <v>6087.96044921875</v>
      </c>
      <c r="AM221" s="12">
        <v>41526.7734375</v>
      </c>
      <c r="AN221" s="12">
        <v>16969.71875</v>
      </c>
      <c r="AO221" s="12">
        <v>10647.66796875</v>
      </c>
      <c r="AP221" s="12">
        <v>980.4774169921875</v>
      </c>
      <c r="AQ221" s="12">
        <v>3817.41845703125</v>
      </c>
      <c r="AR221" s="12">
        <v>1757.68798828125</v>
      </c>
      <c r="AS221" s="12">
        <v>3218.6171875</v>
      </c>
      <c r="AT221" s="12">
        <v>1973.211181640625</v>
      </c>
      <c r="AU221" s="12">
        <v>1036.5487060546875</v>
      </c>
      <c r="AV221" s="12">
        <v>5624.0712890625</v>
      </c>
      <c r="AW221" s="12">
        <v>1693.5875244140625</v>
      </c>
      <c r="AX221" s="12">
        <v>1871.561767578125</v>
      </c>
      <c r="AY221" s="12">
        <v>9605.2255859375</v>
      </c>
      <c r="AZ221" s="12">
        <v>2782.749267578125</v>
      </c>
      <c r="BA221" s="12">
        <v>23710.10546875</v>
      </c>
      <c r="BB221" s="12">
        <v>9865.7763671875</v>
      </c>
      <c r="BC221" s="12">
        <v>10526.0517578125</v>
      </c>
      <c r="BD221" s="12">
        <v>27428.76171875</v>
      </c>
      <c r="BE221" s="12">
        <v>29120.34765625</v>
      </c>
      <c r="BF221" s="12">
        <v>36929.31640625</v>
      </c>
      <c r="BG221" s="12">
        <v>21590.849609375</v>
      </c>
      <c r="BH221" s="12">
        <v>4305.9970703125</v>
      </c>
      <c r="BI221" s="12">
        <v>4644.26953125</v>
      </c>
      <c r="BJ221" s="12">
        <v>7152.7080078125</v>
      </c>
      <c r="BK221" s="12">
        <v>3302.34765625</v>
      </c>
      <c r="BL221" s="12">
        <v>3941.32080078125</v>
      </c>
      <c r="BM221" s="12">
        <v>5803.7431640625</v>
      </c>
      <c r="BN221" s="12">
        <v>12091.6484375</v>
      </c>
      <c r="BO221" s="12">
        <v>6407.6943359375</v>
      </c>
      <c r="BP221" s="12">
        <v>10812.5166015625</v>
      </c>
      <c r="BQ221" s="12"/>
      <c r="BR221" s="12"/>
    </row>
    <row r="222" spans="2:70" x14ac:dyDescent="0.2">
      <c r="B222">
        <v>2017</v>
      </c>
      <c r="C222" s="12">
        <v>12987.919921875</v>
      </c>
      <c r="D222" s="12">
        <v>32879.01171875</v>
      </c>
      <c r="E222" s="12">
        <v>42054.0390625</v>
      </c>
      <c r="F222" s="12">
        <v>12427.58203125</v>
      </c>
      <c r="G222" s="12">
        <v>14066.626953125</v>
      </c>
      <c r="H222" s="12">
        <v>3510.177490234375</v>
      </c>
      <c r="I222" s="12">
        <v>17177.3359375</v>
      </c>
      <c r="J222" s="12">
        <v>13850.7353515625</v>
      </c>
      <c r="K222" s="12">
        <v>5818.5322265625</v>
      </c>
      <c r="L222" s="12">
        <v>41056.45703125</v>
      </c>
      <c r="M222" s="12">
        <v>44628.8984375</v>
      </c>
      <c r="N222" s="12">
        <v>30091.08984375</v>
      </c>
      <c r="O222" s="12">
        <v>35078.93359375</v>
      </c>
      <c r="P222" s="12">
        <v>36100.75</v>
      </c>
      <c r="Q222" s="12">
        <v>31806.494140625</v>
      </c>
      <c r="R222" s="12">
        <v>42967.890625</v>
      </c>
      <c r="S222" s="12">
        <v>64732.828125</v>
      </c>
      <c r="T222" s="12">
        <v>41353.85546875</v>
      </c>
      <c r="U222" s="12">
        <v>35306.68359375</v>
      </c>
      <c r="V222" s="12">
        <v>20182.677734375</v>
      </c>
      <c r="W222" s="12">
        <v>44164.84765625</v>
      </c>
      <c r="X222" s="12">
        <v>39408.98828125</v>
      </c>
      <c r="Y222" s="12">
        <v>38661.234375</v>
      </c>
      <c r="Z222" s="12">
        <v>30077.69140625</v>
      </c>
      <c r="AA222" s="12">
        <v>5043.3779296875</v>
      </c>
      <c r="AB222" s="12">
        <v>21166.509765625</v>
      </c>
      <c r="AC222" s="12">
        <v>12007.017578125</v>
      </c>
      <c r="AD222" s="12">
        <v>18676.0859375</v>
      </c>
      <c r="AE222" s="12">
        <v>11704.1396484375</v>
      </c>
      <c r="AF222" s="12">
        <v>13825.2958984375</v>
      </c>
      <c r="AG222" s="12">
        <v>9464.04296875</v>
      </c>
      <c r="AH222" s="12">
        <v>53710.796875</v>
      </c>
      <c r="AI222" s="12">
        <v>10969.4140625</v>
      </c>
      <c r="AJ222" s="12">
        <v>11113.65234375</v>
      </c>
      <c r="AK222" s="12">
        <v>9215.0654296875</v>
      </c>
      <c r="AL222" s="12">
        <v>6309.79638671875</v>
      </c>
      <c r="AM222" s="12">
        <v>42208.37109375</v>
      </c>
      <c r="AN222" s="12">
        <v>17826.15234375</v>
      </c>
      <c r="AO222" s="12">
        <v>10614.7138671875</v>
      </c>
      <c r="AP222" s="12">
        <v>966.1785888671875</v>
      </c>
      <c r="AQ222" s="12">
        <v>3938.830810546875</v>
      </c>
      <c r="AR222" s="12">
        <v>1847.779052734375</v>
      </c>
      <c r="AS222" s="12">
        <v>3239.0224609375</v>
      </c>
      <c r="AT222" s="12">
        <v>2000.465576171875</v>
      </c>
      <c r="AU222" s="12">
        <v>1061.69140625</v>
      </c>
      <c r="AV222" s="12">
        <v>5700.9208984375</v>
      </c>
      <c r="AW222" s="12">
        <v>1738.482666015625</v>
      </c>
      <c r="AX222" s="12">
        <v>1886.40771484375</v>
      </c>
      <c r="AY222" s="12">
        <v>9636.365234375</v>
      </c>
      <c r="AZ222" s="12">
        <v>2737.67431640625</v>
      </c>
      <c r="BA222" s="12">
        <v>24118.26171875</v>
      </c>
      <c r="BB222" s="12">
        <v>10087.10546875</v>
      </c>
      <c r="BC222" s="12">
        <v>11124.0576171875</v>
      </c>
      <c r="BD222" s="12">
        <v>28040.916015625</v>
      </c>
      <c r="BE222" s="12">
        <v>29959.521484375</v>
      </c>
      <c r="BF222" s="12">
        <v>38291.375</v>
      </c>
      <c r="BG222" s="12">
        <v>22741.763671875</v>
      </c>
      <c r="BH222" s="12">
        <v>4580.134765625</v>
      </c>
      <c r="BI222" s="12">
        <v>4907.48046875</v>
      </c>
      <c r="BJ222" s="12">
        <v>7297.44677734375</v>
      </c>
      <c r="BK222" s="12">
        <v>3433.190673828125</v>
      </c>
      <c r="BL222" s="12">
        <v>4099.517578125</v>
      </c>
      <c r="BM222" s="12">
        <v>6125.36279296875</v>
      </c>
      <c r="BN222" s="12">
        <v>12519.0966796875</v>
      </c>
      <c r="BO222" s="12">
        <v>6676.30419921875</v>
      </c>
      <c r="BP222" s="12">
        <v>11029.5654296875</v>
      </c>
      <c r="BQ222" s="12"/>
      <c r="BR222" s="12"/>
    </row>
    <row r="223" spans="2:70" x14ac:dyDescent="0.2">
      <c r="B223">
        <v>2018</v>
      </c>
      <c r="C223" s="12">
        <v>13236.9111328125</v>
      </c>
      <c r="D223" s="12">
        <v>33574.1640625</v>
      </c>
      <c r="E223" s="12">
        <v>42818.12109375</v>
      </c>
      <c r="F223" s="12">
        <v>12368.4736328125</v>
      </c>
      <c r="G223" s="12">
        <v>14058.4248046875</v>
      </c>
      <c r="H223" s="12">
        <v>3526.81201171875</v>
      </c>
      <c r="I223" s="12">
        <v>17808.484375</v>
      </c>
      <c r="J223" s="12">
        <v>14412.9384765625</v>
      </c>
      <c r="K223" s="12">
        <v>6082.90283203125</v>
      </c>
      <c r="L223" s="12">
        <v>41877.171875</v>
      </c>
      <c r="M223" s="12">
        <v>45419.30859375</v>
      </c>
      <c r="N223" s="12">
        <v>30778.017578125</v>
      </c>
      <c r="O223" s="12">
        <v>35408.109375</v>
      </c>
      <c r="P223" s="12">
        <v>36535.3359375</v>
      </c>
      <c r="Q223" s="12">
        <v>32136.466796875</v>
      </c>
      <c r="R223" s="12">
        <v>44416.86328125</v>
      </c>
      <c r="S223" s="12">
        <v>64627.76953125</v>
      </c>
      <c r="T223" s="12">
        <v>41519.91015625</v>
      </c>
      <c r="U223" s="12">
        <v>36066.19140625</v>
      </c>
      <c r="V223" s="12">
        <v>21323.169921875</v>
      </c>
      <c r="W223" s="12">
        <v>45049.19140625</v>
      </c>
      <c r="X223" s="12">
        <v>39855.15234375</v>
      </c>
      <c r="Y223" s="12">
        <v>38793.37890625</v>
      </c>
      <c r="Z223" s="12">
        <v>31400.2265625</v>
      </c>
      <c r="AA223" s="12">
        <v>5057.52099609375</v>
      </c>
      <c r="AB223" s="12">
        <v>20039.927734375</v>
      </c>
      <c r="AC223" s="12">
        <v>12047.4267578125</v>
      </c>
      <c r="AD223" s="12">
        <v>19088.0859375</v>
      </c>
      <c r="AE223" s="12">
        <v>11632.4775390625</v>
      </c>
      <c r="AF223" s="12">
        <v>13841.384765625</v>
      </c>
      <c r="AG223" s="12">
        <v>9432.5673828125</v>
      </c>
      <c r="AH223" s="12">
        <v>53112.95703125</v>
      </c>
      <c r="AI223" s="12">
        <v>10849.236328125</v>
      </c>
      <c r="AJ223" s="12">
        <v>11302.34765625</v>
      </c>
      <c r="AK223" s="12">
        <v>8511.490234375</v>
      </c>
      <c r="AL223" s="12">
        <v>6431.91552734375</v>
      </c>
      <c r="AM223" s="12">
        <v>44596.61328125</v>
      </c>
      <c r="AN223" s="12">
        <v>17823.197265625</v>
      </c>
      <c r="AO223" s="12">
        <v>10634.05078125</v>
      </c>
      <c r="AP223" s="12">
        <v>982.52703857421875</v>
      </c>
      <c r="AQ223" s="12">
        <v>4027.3525390625</v>
      </c>
      <c r="AR223" s="12">
        <v>1938.674072265625</v>
      </c>
      <c r="AS223" s="12">
        <v>3356.64599609375</v>
      </c>
      <c r="AT223" s="12">
        <v>2039.396240234375</v>
      </c>
      <c r="AU223" s="12">
        <v>1103.0172119140625</v>
      </c>
      <c r="AV223" s="12">
        <v>5865.6005859375</v>
      </c>
      <c r="AW223" s="12">
        <v>1827.2537841796875</v>
      </c>
      <c r="AX223" s="12">
        <v>1836.0804443359375</v>
      </c>
      <c r="AY223" s="12">
        <v>9610.15234375</v>
      </c>
      <c r="AZ223" s="12">
        <v>2741.947021484375</v>
      </c>
      <c r="BA223" s="12">
        <v>25119.353515625</v>
      </c>
      <c r="BB223" s="12">
        <v>10381.115234375</v>
      </c>
      <c r="BC223" s="12">
        <v>11714.919921875</v>
      </c>
      <c r="BD223" s="12">
        <v>28346.763671875</v>
      </c>
      <c r="BE223" s="12">
        <v>30810.39453125</v>
      </c>
      <c r="BF223" s="12">
        <v>39447.3828125</v>
      </c>
      <c r="BG223" s="12">
        <v>23804.62890625</v>
      </c>
      <c r="BH223" s="12">
        <v>4907.306640625</v>
      </c>
      <c r="BI223" s="12">
        <v>5205.126953125</v>
      </c>
      <c r="BJ223" s="12">
        <v>7548.15673828125</v>
      </c>
      <c r="BK223" s="12">
        <v>3598.2197265625</v>
      </c>
      <c r="BL223" s="12">
        <v>4197.56982421875</v>
      </c>
      <c r="BM223" s="12">
        <v>6458.169921875</v>
      </c>
      <c r="BN223" s="12">
        <v>13030.8876953125</v>
      </c>
      <c r="BO223" s="12">
        <v>7135.919921875</v>
      </c>
      <c r="BP223" s="12">
        <v>11153.197265625</v>
      </c>
      <c r="BQ223" s="12"/>
      <c r="BR223" s="12"/>
    </row>
    <row r="224" spans="2:70" x14ac:dyDescent="0.2">
      <c r="B224">
        <v>2019</v>
      </c>
      <c r="C224" s="12">
        <v>13394.1328125</v>
      </c>
      <c r="D224" s="12">
        <v>34031.90234375</v>
      </c>
      <c r="E224" s="12">
        <v>43268.72265625</v>
      </c>
      <c r="F224" s="12">
        <v>12278.3779296875</v>
      </c>
      <c r="G224" s="12">
        <v>14008.25</v>
      </c>
      <c r="H224" s="12">
        <v>3547.44970703125</v>
      </c>
      <c r="I224" s="12">
        <v>17990.505859375</v>
      </c>
      <c r="J224" s="12">
        <v>14926.53515625</v>
      </c>
      <c r="K224" s="12">
        <v>6260.38134765625</v>
      </c>
      <c r="L224" s="12">
        <v>42137.8359375</v>
      </c>
      <c r="M224" s="12">
        <v>46236.5234375</v>
      </c>
      <c r="N224" s="12">
        <v>30909.982421875</v>
      </c>
      <c r="O224" s="12">
        <v>35822.2265625</v>
      </c>
      <c r="P224" s="12">
        <v>36896.24609375</v>
      </c>
      <c r="Q224" s="12">
        <v>32250.8671875</v>
      </c>
      <c r="R224" s="12">
        <v>43946.76953125</v>
      </c>
      <c r="S224" s="12">
        <v>65599.0234375</v>
      </c>
      <c r="T224" s="12">
        <v>42503.82421875</v>
      </c>
      <c r="U224" s="12">
        <v>36675.56640625</v>
      </c>
      <c r="V224" s="12">
        <v>22349.515625</v>
      </c>
      <c r="W224" s="12">
        <v>45593.0546875</v>
      </c>
      <c r="X224" s="12">
        <v>40203.14453125</v>
      </c>
      <c r="Y224" s="12">
        <v>38656.87890625</v>
      </c>
      <c r="Z224" s="12">
        <v>31793.453125</v>
      </c>
      <c r="AA224" s="12">
        <v>5087.11279296875</v>
      </c>
      <c r="AB224" s="12">
        <v>19343.912109375</v>
      </c>
      <c r="AC224" s="12">
        <v>12091.685546875</v>
      </c>
      <c r="AD224" s="12">
        <v>18516.203125</v>
      </c>
      <c r="AE224" s="12">
        <v>11813.1591796875</v>
      </c>
      <c r="AF224" s="12">
        <v>13455.1201171875</v>
      </c>
      <c r="AG224" s="12">
        <v>9529.7744140625</v>
      </c>
      <c r="AH224" s="12">
        <v>53520.50390625</v>
      </c>
      <c r="AI224" s="12">
        <v>10706.599609375</v>
      </c>
      <c r="AJ224" s="12">
        <v>11526.7197265625</v>
      </c>
      <c r="AK224" s="12">
        <v>7903.4853515625</v>
      </c>
      <c r="AL224" s="12">
        <v>6566.23779296875</v>
      </c>
      <c r="AM224" s="12">
        <v>44406.1171875</v>
      </c>
      <c r="AN224" s="12">
        <v>17835.044921875</v>
      </c>
      <c r="AO224" s="12">
        <v>10781.3671875</v>
      </c>
      <c r="AP224" s="12">
        <v>1003.8659057617188</v>
      </c>
      <c r="AQ224" s="12">
        <v>4236.1416015625</v>
      </c>
      <c r="AR224" s="12">
        <v>2016.674072265625</v>
      </c>
      <c r="AS224" s="12">
        <v>3522.97412109375</v>
      </c>
      <c r="AT224" s="12">
        <v>2063.0634765625</v>
      </c>
      <c r="AU224" s="12">
        <v>1122.268310546875</v>
      </c>
      <c r="AV224" s="12">
        <v>6043.4169921875</v>
      </c>
      <c r="AW224" s="12">
        <v>1975.07275390625</v>
      </c>
      <c r="AX224" s="12">
        <v>1758.628662109375</v>
      </c>
      <c r="AY224" s="12">
        <v>9525.7705078125</v>
      </c>
      <c r="AZ224" s="12">
        <v>2758.301025390625</v>
      </c>
      <c r="BA224" s="12">
        <v>25298.068359375</v>
      </c>
      <c r="BB224" s="12">
        <v>10650.904296875</v>
      </c>
      <c r="BC224" s="12">
        <v>12308.4453125</v>
      </c>
      <c r="BD224" s="12">
        <v>28083.3515625</v>
      </c>
      <c r="BE224" s="12">
        <v>32163.634765625</v>
      </c>
      <c r="BF224" s="12">
        <v>41114.5</v>
      </c>
      <c r="BG224" s="12">
        <v>23452.828125</v>
      </c>
      <c r="BH224" s="12">
        <v>5101.65869140625</v>
      </c>
      <c r="BI224" s="12">
        <v>5350.20166015625</v>
      </c>
      <c r="BJ224" s="12">
        <v>7742.1904296875</v>
      </c>
      <c r="BK224" s="12">
        <v>3667.036865234375</v>
      </c>
      <c r="BL224" s="12">
        <v>4152.59423828125</v>
      </c>
      <c r="BM224" s="12">
        <v>6847.54638671875</v>
      </c>
      <c r="BN224" s="12">
        <v>13244.4755859375</v>
      </c>
      <c r="BO224" s="12">
        <v>7686.6767578125</v>
      </c>
      <c r="BP224" s="12">
        <v>11462.8388671875</v>
      </c>
      <c r="BQ224" s="12"/>
      <c r="BR224" s="12"/>
    </row>
    <row r="225" spans="2:70" x14ac:dyDescent="0.2">
      <c r="B225">
        <v>2020</v>
      </c>
      <c r="C225" s="12">
        <v>12714.9208984375</v>
      </c>
      <c r="D225" s="12">
        <v>31458.970703125</v>
      </c>
      <c r="E225" s="12">
        <v>41590.69921875</v>
      </c>
      <c r="F225" s="12">
        <v>11240.3125</v>
      </c>
      <c r="G225" s="12">
        <v>13227.8046875</v>
      </c>
      <c r="H225" s="12">
        <v>3366.72314453125</v>
      </c>
      <c r="I225" s="12">
        <v>17515.712890625</v>
      </c>
      <c r="J225" s="12">
        <v>14750.4482421875</v>
      </c>
      <c r="K225" s="12">
        <v>5998.56494140625</v>
      </c>
      <c r="L225" s="12">
        <v>39611.57421875</v>
      </c>
      <c r="M225" s="12">
        <v>44730.328125</v>
      </c>
      <c r="N225" s="12">
        <v>26928.865234375</v>
      </c>
      <c r="O225" s="12">
        <v>32877.5234375</v>
      </c>
      <c r="P225" s="12">
        <v>32126.607421875</v>
      </c>
      <c r="Q225" s="12">
        <v>29077.705078125</v>
      </c>
      <c r="R225" s="12">
        <v>42004.16015625</v>
      </c>
      <c r="S225" s="12">
        <v>63179.25</v>
      </c>
      <c r="T225" s="12">
        <v>41712.2734375</v>
      </c>
      <c r="U225" s="12">
        <v>34622.328125</v>
      </c>
      <c r="V225" s="12">
        <v>21551.0234375</v>
      </c>
      <c r="W225" s="12">
        <v>43821.82421875</v>
      </c>
      <c r="X225" s="12">
        <v>37533.62890625</v>
      </c>
      <c r="Y225" s="12">
        <v>38907.6015625</v>
      </c>
      <c r="Z225" s="12">
        <v>31809.3671875</v>
      </c>
      <c r="AA225" s="12">
        <v>4803.74609375</v>
      </c>
      <c r="AB225" s="12">
        <v>17498.0390625</v>
      </c>
      <c r="AC225" s="12">
        <v>11504.802734375</v>
      </c>
      <c r="AD225" s="12">
        <v>16560.623046875</v>
      </c>
      <c r="AE225" s="12">
        <v>10805.2158203125</v>
      </c>
      <c r="AF225" s="12">
        <v>11943.775390625</v>
      </c>
      <c r="AG225" s="12">
        <v>8655.69921875</v>
      </c>
      <c r="AH225" s="12">
        <v>48366.5234375</v>
      </c>
      <c r="AI225" s="12">
        <v>9950.349609375</v>
      </c>
      <c r="AJ225" s="12">
        <v>11830.5224609375</v>
      </c>
      <c r="AK225" s="12">
        <v>7443.27587890625</v>
      </c>
      <c r="AL225" s="12">
        <v>6066.078125</v>
      </c>
      <c r="AM225" s="12">
        <v>41351.00390625</v>
      </c>
      <c r="AN225" s="12">
        <v>18187.837890625</v>
      </c>
      <c r="AO225" s="12">
        <v>9742.66015625</v>
      </c>
      <c r="AP225" s="12">
        <v>984.881591796875</v>
      </c>
      <c r="AQ225" s="12">
        <v>4141.11328125</v>
      </c>
      <c r="AR225" s="12">
        <v>2076.276123046875</v>
      </c>
      <c r="AS225" s="12">
        <v>3483.281982421875</v>
      </c>
      <c r="AT225" s="12">
        <v>1969.3359375</v>
      </c>
      <c r="AU225" s="12">
        <v>1131.4456787109375</v>
      </c>
      <c r="AV225" s="12">
        <v>5559.00439453125</v>
      </c>
      <c r="AW225" s="12">
        <v>1891.6796875</v>
      </c>
      <c r="AX225" s="12">
        <v>1690.2908935546875</v>
      </c>
      <c r="AY225" s="12">
        <v>8826.0634765625</v>
      </c>
      <c r="AZ225" s="12">
        <v>2619.343505859375</v>
      </c>
      <c r="BA225" s="12">
        <v>24669.294921875</v>
      </c>
      <c r="BB225" s="12">
        <v>10406.1474609375</v>
      </c>
      <c r="BC225" s="12">
        <v>12333.228515625</v>
      </c>
      <c r="BD225" s="12">
        <v>26677.4765625</v>
      </c>
      <c r="BE225" s="12">
        <v>31462.212890625</v>
      </c>
      <c r="BF225" s="12">
        <v>41774.19921875</v>
      </c>
      <c r="BG225" s="12">
        <v>21507.3125</v>
      </c>
      <c r="BH225" s="12">
        <v>5295.72119140625</v>
      </c>
      <c r="BI225" s="12">
        <v>5038.57080078125</v>
      </c>
      <c r="BJ225" s="12">
        <v>7654.759765625</v>
      </c>
      <c r="BK225" s="12">
        <v>3658.47412109375</v>
      </c>
      <c r="BL225" s="12">
        <v>4172.2099609375</v>
      </c>
      <c r="BM225" s="12">
        <v>5929.689453125</v>
      </c>
      <c r="BN225" s="12">
        <v>12422.2724609375</v>
      </c>
      <c r="BO225" s="12">
        <v>7819.9560546875</v>
      </c>
      <c r="BP225" s="12">
        <v>10938.7109375</v>
      </c>
      <c r="BQ225" s="12"/>
      <c r="BR225" s="12"/>
    </row>
    <row r="226" spans="2:70" x14ac:dyDescent="0.2">
      <c r="B226">
        <v>2021</v>
      </c>
      <c r="C226" s="12">
        <v>13468.76953125</v>
      </c>
      <c r="D226" s="12">
        <v>33917.3359375</v>
      </c>
      <c r="E226" s="12">
        <v>44017.30078125</v>
      </c>
      <c r="F226" s="12">
        <v>11938.2783203125</v>
      </c>
      <c r="G226" s="12">
        <v>13917.779296875</v>
      </c>
      <c r="H226" s="12">
        <v>3403.98046875</v>
      </c>
      <c r="I226" s="12">
        <v>18412.546875</v>
      </c>
      <c r="J226" s="12">
        <v>15913.908203125</v>
      </c>
      <c r="K226" s="12">
        <v>6236.30126953125</v>
      </c>
      <c r="L226" s="12">
        <v>41375.51171875</v>
      </c>
      <c r="M226" s="12">
        <v>48368.7421875</v>
      </c>
      <c r="N226" s="12">
        <v>29154.630859375</v>
      </c>
      <c r="O226" s="12">
        <v>35680.1640625</v>
      </c>
      <c r="P226" s="12">
        <v>35658.546875</v>
      </c>
      <c r="Q226" s="12">
        <v>32066.673828125</v>
      </c>
      <c r="R226" s="12">
        <v>46766.921875</v>
      </c>
      <c r="S226" s="12">
        <v>65056.88671875</v>
      </c>
      <c r="T226" s="12">
        <v>44075.953125</v>
      </c>
      <c r="U226" s="12">
        <v>37009.76953125</v>
      </c>
      <c r="V226" s="12">
        <v>22934.82421875</v>
      </c>
      <c r="W226" s="12">
        <v>46537.36328125</v>
      </c>
      <c r="X226" s="12">
        <v>39665.6484375</v>
      </c>
      <c r="Y226" s="12">
        <v>39818.36328125</v>
      </c>
      <c r="Z226" s="12">
        <v>32468.06640625</v>
      </c>
      <c r="AA226" s="12">
        <v>4774.1416015625</v>
      </c>
      <c r="AB226" s="12">
        <v>19411.458984375</v>
      </c>
      <c r="AC226" s="12">
        <v>11907.9931640625</v>
      </c>
      <c r="AD226" s="12">
        <v>18718.505859375</v>
      </c>
      <c r="AE226" s="12">
        <v>11800.169921875</v>
      </c>
      <c r="AF226" s="12">
        <v>12864.3984375</v>
      </c>
      <c r="AG226" s="12">
        <v>9039.251953125</v>
      </c>
      <c r="AH226" s="12">
        <v>49765.6484375</v>
      </c>
      <c r="AI226" s="12">
        <v>10238.8427734375</v>
      </c>
      <c r="AJ226" s="12">
        <v>12179.8291015625</v>
      </c>
      <c r="AK226" s="12">
        <v>7953.97119140625</v>
      </c>
      <c r="AL226" s="12">
        <v>6467.58642578125</v>
      </c>
      <c r="AM226" s="12">
        <v>44274.69921875</v>
      </c>
      <c r="AN226" s="12">
        <v>20476.98046875</v>
      </c>
      <c r="AO226" s="12">
        <v>9671.470703125</v>
      </c>
      <c r="AP226" s="12">
        <v>1007.5936279296875</v>
      </c>
      <c r="AQ226" s="12">
        <v>4322.91650390625</v>
      </c>
      <c r="AR226" s="12">
        <v>2135.324951171875</v>
      </c>
      <c r="AS226" s="12">
        <v>3673.4482421875</v>
      </c>
      <c r="AT226" s="12">
        <v>1968.546142578125</v>
      </c>
      <c r="AU226" s="12">
        <v>1098.9632568359375</v>
      </c>
      <c r="AV226" s="12">
        <v>5447.12060546875</v>
      </c>
      <c r="AW226" s="12">
        <v>2013.2523193359375</v>
      </c>
      <c r="AX226" s="12">
        <v>1621.7635498046875</v>
      </c>
      <c r="AY226" s="12">
        <v>9293.3095703125</v>
      </c>
      <c r="AZ226" s="12">
        <v>2641.30859375</v>
      </c>
      <c r="BA226" s="12">
        <v>26259.265625</v>
      </c>
      <c r="BB226" s="12">
        <v>10659.3525390625</v>
      </c>
      <c r="BC226" s="12">
        <v>13454.3837890625</v>
      </c>
      <c r="BD226" s="12">
        <v>27985.376953125</v>
      </c>
      <c r="BE226" s="12">
        <v>33075.4609375</v>
      </c>
      <c r="BF226" s="12">
        <v>44711.57421875</v>
      </c>
      <c r="BG226" s="12">
        <v>23544.412109375</v>
      </c>
      <c r="BH226" s="12">
        <v>5619.1123046875</v>
      </c>
      <c r="BI226" s="12">
        <v>5314.03759765625</v>
      </c>
      <c r="BJ226" s="12">
        <v>7977.1826171875</v>
      </c>
      <c r="BK226" s="12">
        <v>3664.2744140625</v>
      </c>
      <c r="BL226" s="12">
        <v>4317.91845703125</v>
      </c>
      <c r="BM226" s="12">
        <v>6149.92724609375</v>
      </c>
      <c r="BN226" s="12">
        <v>12433.00390625</v>
      </c>
      <c r="BO226" s="12">
        <v>7889.1513671875</v>
      </c>
      <c r="BP226" s="12">
        <v>11193.595703125</v>
      </c>
      <c r="BQ226" s="12"/>
      <c r="BR226" s="12"/>
    </row>
    <row r="227" spans="2:70" x14ac:dyDescent="0.2">
      <c r="B227">
        <v>2022</v>
      </c>
      <c r="C227" s="12">
        <v>13773.4189453125</v>
      </c>
      <c r="D227" s="12">
        <v>35109.3125</v>
      </c>
      <c r="E227" s="12">
        <v>44875.1640625</v>
      </c>
      <c r="F227" s="12">
        <v>12388.388671875</v>
      </c>
      <c r="G227" s="12">
        <v>14705.63671875</v>
      </c>
      <c r="H227" s="12">
        <v>3377.616455078125</v>
      </c>
      <c r="I227" s="12">
        <v>18194.361328125</v>
      </c>
      <c r="J227" s="12">
        <v>16209.1435546875</v>
      </c>
      <c r="K227" s="12">
        <v>6530.0859375</v>
      </c>
      <c r="L227" s="12">
        <v>41867.36328125</v>
      </c>
      <c r="M227" s="12">
        <v>47226.93359375</v>
      </c>
      <c r="N227" s="12">
        <v>30894.0390625</v>
      </c>
      <c r="O227" s="12">
        <v>36462.80078125</v>
      </c>
      <c r="P227" s="12">
        <v>37433.14453125</v>
      </c>
      <c r="Q227" s="12">
        <v>33731.796875</v>
      </c>
      <c r="R227" s="12">
        <v>48355.19140625</v>
      </c>
      <c r="S227" s="12">
        <v>67249.109375</v>
      </c>
      <c r="T227" s="12">
        <v>44361.6484375</v>
      </c>
      <c r="U227" s="12">
        <v>38602.64453125</v>
      </c>
      <c r="V227" s="12">
        <v>23980.029296875</v>
      </c>
      <c r="W227" s="12">
        <v>47486.890625</v>
      </c>
      <c r="X227" s="12">
        <v>40817.9765625</v>
      </c>
      <c r="Y227" s="12">
        <v>39820.75</v>
      </c>
      <c r="Z227" s="12">
        <v>33292.7890625</v>
      </c>
      <c r="AA227" s="12">
        <v>4949.59375</v>
      </c>
      <c r="AB227" s="12">
        <v>20538.283203125</v>
      </c>
      <c r="AC227" s="12">
        <v>12304.9150390625</v>
      </c>
      <c r="AD227" s="12">
        <v>19519.197265625</v>
      </c>
      <c r="AE227" s="12">
        <v>12327.0439453125</v>
      </c>
      <c r="AF227" s="12">
        <v>13238.1015625</v>
      </c>
      <c r="AG227" s="12">
        <v>9407.93359375</v>
      </c>
      <c r="AH227" s="12">
        <v>51389.88671875</v>
      </c>
      <c r="AI227" s="12">
        <v>10433.630859375</v>
      </c>
      <c r="AJ227" s="12">
        <v>12585.0380859375</v>
      </c>
      <c r="AK227" s="12">
        <v>8521.5009765625</v>
      </c>
      <c r="AL227" s="12">
        <v>6544.20556640625</v>
      </c>
      <c r="AM227" s="12">
        <v>48854.33203125</v>
      </c>
      <c r="AN227" s="12">
        <v>21731.32421875</v>
      </c>
      <c r="AO227" s="12">
        <v>9935.53125</v>
      </c>
      <c r="AP227" s="12">
        <v>1057.5406494140625</v>
      </c>
      <c r="AQ227" s="12">
        <v>4485.6923828125</v>
      </c>
      <c r="AR227" s="12">
        <v>2205.875732421875</v>
      </c>
      <c r="AS227" s="12">
        <v>3803.5244140625</v>
      </c>
      <c r="AT227" s="12">
        <v>1971.3409423828125</v>
      </c>
      <c r="AU227" s="12">
        <v>1195.6246337890625</v>
      </c>
      <c r="AV227" s="12">
        <v>5527.99267578125</v>
      </c>
      <c r="AW227" s="12">
        <v>2159.922119140625</v>
      </c>
      <c r="AX227" s="12">
        <v>1603.9630126953125</v>
      </c>
      <c r="AY227" s="12">
        <v>9343</v>
      </c>
      <c r="AZ227" s="12">
        <v>2561.864013671875</v>
      </c>
      <c r="BA227" s="12">
        <v>25905.0703125</v>
      </c>
      <c r="BB227" s="12">
        <v>10480.2724609375</v>
      </c>
      <c r="BC227" s="12">
        <v>13691.3486328125</v>
      </c>
      <c r="BD227" s="12">
        <v>28727.93359375</v>
      </c>
      <c r="BE227" s="12">
        <v>33907.80859375</v>
      </c>
      <c r="BF227" s="12">
        <v>46014.25390625</v>
      </c>
      <c r="BG227" s="12">
        <v>22922.3828125</v>
      </c>
      <c r="BH227" s="12">
        <v>5907.7333984375</v>
      </c>
      <c r="BI227" s="12">
        <v>5684.26904296875</v>
      </c>
      <c r="BJ227" s="12">
        <v>8444.927734375</v>
      </c>
      <c r="BK227" s="12">
        <v>3764.141357421875</v>
      </c>
      <c r="BL227" s="12">
        <v>4301.05078125</v>
      </c>
      <c r="BM227" s="12">
        <v>6688.203125</v>
      </c>
      <c r="BN227" s="12">
        <v>12913.349609375</v>
      </c>
      <c r="BO227" s="12">
        <v>8501.962890625</v>
      </c>
      <c r="BP227" s="12">
        <v>10980.9462890625</v>
      </c>
      <c r="BQ227" s="12"/>
      <c r="BR227" s="12"/>
    </row>
    <row r="228" spans="2:70" x14ac:dyDescent="0.2">
      <c r="B228">
        <v>2023</v>
      </c>
      <c r="C228" s="12">
        <v>14066.712890625</v>
      </c>
      <c r="D228" s="12">
        <v>35303.56640625</v>
      </c>
      <c r="E228" s="12">
        <v>45743.59375</v>
      </c>
      <c r="F228" s="12">
        <v>12625.2490234375</v>
      </c>
      <c r="G228" s="12">
        <v>14969.4814453125</v>
      </c>
      <c r="H228" s="12">
        <v>3496.67041015625</v>
      </c>
      <c r="I228" s="12">
        <v>19266.19921875</v>
      </c>
      <c r="J228" s="12">
        <v>16883.244140625</v>
      </c>
      <c r="K228" s="12">
        <v>6910.03369140625</v>
      </c>
      <c r="L228" s="12">
        <v>41274.14453125</v>
      </c>
      <c r="M228" s="12">
        <v>47143.36328125</v>
      </c>
      <c r="N228" s="12">
        <v>31614.01953125</v>
      </c>
      <c r="O228" s="12">
        <v>36680.953125</v>
      </c>
      <c r="P228" s="12">
        <v>36926.0703125</v>
      </c>
      <c r="Q228" s="12">
        <v>33852.69140625</v>
      </c>
      <c r="R228" s="12">
        <v>48152.859375</v>
      </c>
      <c r="S228" s="12">
        <v>69928.4921875</v>
      </c>
      <c r="T228" s="12">
        <v>44262.80078125</v>
      </c>
      <c r="U228" s="12">
        <v>39696.77734375</v>
      </c>
      <c r="V228" s="12">
        <v>24626.994140625</v>
      </c>
      <c r="W228" s="12">
        <v>48416.625</v>
      </c>
      <c r="X228" s="12">
        <v>41301.05078125</v>
      </c>
      <c r="Y228" s="12">
        <v>41293.515625</v>
      </c>
      <c r="Z228" s="12">
        <v>33543.94140625</v>
      </c>
      <c r="AA228" s="12">
        <v>5108.76025390625</v>
      </c>
      <c r="AB228" s="12">
        <v>19925.4140625</v>
      </c>
      <c r="AC228" s="12">
        <v>12517.0830078125</v>
      </c>
      <c r="AD228" s="12">
        <v>19590.88671875</v>
      </c>
      <c r="AE228" s="12">
        <v>12448.875</v>
      </c>
      <c r="AF228" s="12">
        <v>13701.9345703125</v>
      </c>
      <c r="AG228" s="12">
        <v>9722.2470703125</v>
      </c>
      <c r="AH228" s="12">
        <v>50934.04296875</v>
      </c>
      <c r="AI228" s="12">
        <v>10842.2333984375</v>
      </c>
      <c r="AJ228" s="12">
        <v>12623.1650390625</v>
      </c>
      <c r="AK228" s="12">
        <v>8824.771484375</v>
      </c>
      <c r="AL228" s="12">
        <v>6678.67724609375</v>
      </c>
      <c r="AM228" s="12">
        <v>47210.26171875</v>
      </c>
      <c r="AN228" s="12">
        <v>22886.408203125</v>
      </c>
      <c r="AO228" s="12">
        <v>10136.1650390625</v>
      </c>
      <c r="AP228" s="12">
        <v>1132.174560546875</v>
      </c>
      <c r="AQ228" s="12">
        <v>4630.18310546875</v>
      </c>
      <c r="AR228" s="12">
        <v>2302.183837890625</v>
      </c>
      <c r="AS228" s="12">
        <v>3955.81298828125</v>
      </c>
      <c r="AT228" s="12">
        <v>2012.833984375</v>
      </c>
      <c r="AU228" s="12">
        <v>1180.4493408203125</v>
      </c>
      <c r="AV228" s="12">
        <v>5625.16357421875</v>
      </c>
      <c r="AW228" s="12">
        <v>2296.1552734375</v>
      </c>
      <c r="AX228" s="12">
        <v>1319.4420166015625</v>
      </c>
      <c r="AY228" s="12">
        <v>9298.15625</v>
      </c>
      <c r="AZ228" s="12">
        <v>2803.525634765625</v>
      </c>
      <c r="BA228" s="12">
        <v>27223.123046875</v>
      </c>
      <c r="BB228" s="12">
        <v>11222.4404296875</v>
      </c>
      <c r="BC228" s="12">
        <v>14446.095703125</v>
      </c>
      <c r="BD228" s="12">
        <v>29396.451171875</v>
      </c>
      <c r="BE228" s="12">
        <v>32439.03515625</v>
      </c>
      <c r="BF228" s="12">
        <v>48104.2265625</v>
      </c>
      <c r="BG228" s="12">
        <v>24470.775390625</v>
      </c>
      <c r="BH228" s="12">
        <v>6090.6484375</v>
      </c>
      <c r="BI228" s="12">
        <v>6147.22509765625</v>
      </c>
      <c r="BJ228" s="12">
        <v>8876.4619140625</v>
      </c>
      <c r="BK228" s="12">
        <v>3875.509033203125</v>
      </c>
      <c r="BL228" s="12">
        <v>4251.30615234375</v>
      </c>
      <c r="BM228" s="12">
        <v>7093.24462890625</v>
      </c>
      <c r="BN228" s="12">
        <v>13331.9443359375</v>
      </c>
      <c r="BO228" s="12">
        <v>8809.908203125</v>
      </c>
      <c r="BP228" s="12">
        <v>11624.1357421875</v>
      </c>
      <c r="BQ228" s="12"/>
      <c r="BR228" s="12"/>
    </row>
    <row r="229" spans="2:70" x14ac:dyDescent="0.2">
      <c r="B229">
        <v>2024</v>
      </c>
      <c r="C229" s="12">
        <v>14305.2607421875</v>
      </c>
      <c r="D229" s="12">
        <v>35795.75</v>
      </c>
      <c r="E229" s="12">
        <v>46332.6015625</v>
      </c>
      <c r="F229" s="12">
        <v>12852.05078125</v>
      </c>
      <c r="G229" s="12">
        <v>15073.8291015625</v>
      </c>
      <c r="H229" s="12">
        <v>3281.71728515625</v>
      </c>
      <c r="I229" s="12">
        <v>20061.74609375</v>
      </c>
      <c r="J229" s="12">
        <v>17626.294921875</v>
      </c>
      <c r="K229" s="12">
        <v>7232.76513671875</v>
      </c>
      <c r="L229" s="12">
        <v>41448.375</v>
      </c>
      <c r="M229" s="12">
        <v>48675.45703125</v>
      </c>
      <c r="N229" s="12">
        <v>32610.5859375</v>
      </c>
      <c r="O229" s="12">
        <v>36993.890625</v>
      </c>
      <c r="P229" s="12">
        <v>37308.4453125</v>
      </c>
      <c r="Q229" s="12">
        <v>34390.9453125</v>
      </c>
      <c r="R229" s="12">
        <v>47436.59375</v>
      </c>
      <c r="S229" s="12">
        <v>70930.8828125</v>
      </c>
      <c r="T229" s="12">
        <v>44563.19921875</v>
      </c>
      <c r="U229" s="12">
        <v>40289.765625</v>
      </c>
      <c r="V229" s="12">
        <v>25392.35546875</v>
      </c>
      <c r="W229" s="12">
        <v>49150.65234375</v>
      </c>
      <c r="X229" s="12">
        <v>41769.38671875</v>
      </c>
      <c r="Y229" s="12">
        <v>41136.6171875</v>
      </c>
      <c r="Z229" s="12">
        <v>32821.2734375</v>
      </c>
      <c r="AA229" s="12">
        <v>4739.39599609375</v>
      </c>
      <c r="AB229" s="12">
        <v>19451.462890625</v>
      </c>
      <c r="AC229" s="12">
        <v>12878.26171875</v>
      </c>
      <c r="AD229" s="12">
        <v>19221.37109375</v>
      </c>
      <c r="AE229" s="12">
        <v>12533.6064453125</v>
      </c>
      <c r="AF229" s="12">
        <v>13814.4951171875</v>
      </c>
      <c r="AG229" s="12">
        <v>10122.5556640625</v>
      </c>
      <c r="AH229" s="12">
        <v>51692.625</v>
      </c>
      <c r="AI229" s="12">
        <v>11121.7587890625</v>
      </c>
      <c r="AJ229" s="12">
        <v>12707.0224609375</v>
      </c>
      <c r="AK229" s="12">
        <v>9158.0654296875</v>
      </c>
      <c r="AL229" s="12">
        <v>6862.3779296875</v>
      </c>
      <c r="AM229" s="12">
        <v>47368.9296875</v>
      </c>
      <c r="AN229" s="12">
        <v>23540.958984375</v>
      </c>
      <c r="AO229" s="12">
        <v>9829.25</v>
      </c>
      <c r="AP229" s="12">
        <v>1163.622314453125</v>
      </c>
      <c r="AQ229" s="12">
        <v>4754.251953125</v>
      </c>
      <c r="AR229" s="12">
        <v>2415.09814453125</v>
      </c>
      <c r="AS229" s="12">
        <v>4081.475830078125</v>
      </c>
      <c r="AT229" s="12">
        <v>2074.35107421875</v>
      </c>
      <c r="AU229" s="12">
        <v>1227.2784423828125</v>
      </c>
      <c r="AV229" s="12">
        <v>5725.93212890625</v>
      </c>
      <c r="AW229" s="12">
        <v>2397.688720703125</v>
      </c>
      <c r="AX229" s="12">
        <v>894.430908203125</v>
      </c>
      <c r="AY229" s="12">
        <v>9153.669921875</v>
      </c>
      <c r="AZ229" s="12">
        <v>2554.392822265625</v>
      </c>
      <c r="BA229" s="12">
        <v>28536.80078125</v>
      </c>
      <c r="BB229" s="12">
        <v>11624.779296875</v>
      </c>
      <c r="BC229" s="12">
        <v>15156.919921875</v>
      </c>
      <c r="BD229" s="12">
        <v>29704.078125</v>
      </c>
      <c r="BE229" s="12">
        <v>34568.671875</v>
      </c>
      <c r="BF229" s="12">
        <v>51079.27734375</v>
      </c>
      <c r="BG229" s="12">
        <v>25736.501953125</v>
      </c>
      <c r="BH229" s="12">
        <v>6242.61572265625</v>
      </c>
      <c r="BI229" s="12">
        <v>6531.3837890625</v>
      </c>
      <c r="BJ229" s="12">
        <v>9308.5166015625</v>
      </c>
      <c r="BK229" s="12">
        <v>3820.095703125</v>
      </c>
      <c r="BL229" s="12">
        <v>4288.79248046875</v>
      </c>
      <c r="BM229" s="12">
        <v>7371.33935546875</v>
      </c>
      <c r="BN229" s="12">
        <v>13621.9521484375</v>
      </c>
      <c r="BO229" s="12">
        <v>9491.7451171875</v>
      </c>
      <c r="BP229" s="12">
        <v>11978.46875</v>
      </c>
      <c r="BQ229" s="12"/>
      <c r="BR229" s="12"/>
    </row>
    <row r="230" spans="2:70" x14ac:dyDescent="0.2">
      <c r="B230">
        <v>2025</v>
      </c>
      <c r="C230" s="12">
        <v>14588.1123046875</v>
      </c>
      <c r="D230" s="12">
        <v>36333.8203125</v>
      </c>
      <c r="E230" s="12">
        <v>47013.4140625</v>
      </c>
      <c r="F230" s="12">
        <v>13002.3525390625</v>
      </c>
      <c r="G230" s="12">
        <v>15391.8505859375</v>
      </c>
      <c r="H230" s="12">
        <v>3509.00244140625</v>
      </c>
      <c r="I230" s="12">
        <v>20376.625</v>
      </c>
      <c r="J230" s="12">
        <v>18345.845703125</v>
      </c>
      <c r="K230" s="12">
        <v>7596.63818359375</v>
      </c>
      <c r="L230" s="12">
        <v>41797.828125</v>
      </c>
      <c r="M230" s="12">
        <v>49726.015625</v>
      </c>
      <c r="N230" s="12">
        <v>33533.7109375</v>
      </c>
      <c r="O230" s="12">
        <v>37176.40234375</v>
      </c>
      <c r="P230" s="12">
        <v>38013.4453125</v>
      </c>
      <c r="Q230" s="12">
        <v>34700.1328125</v>
      </c>
      <c r="R230" s="12">
        <v>47551.421875</v>
      </c>
      <c r="S230" s="12">
        <v>70146.875</v>
      </c>
      <c r="T230" s="12">
        <v>45180.1484375</v>
      </c>
      <c r="U230" s="12">
        <v>41160.83203125</v>
      </c>
      <c r="V230" s="12">
        <v>25895.3046875</v>
      </c>
      <c r="W230" s="12">
        <v>49940.43359375</v>
      </c>
      <c r="X230" s="12">
        <v>42166.83984375</v>
      </c>
      <c r="Y230" s="12">
        <v>41639.90234375</v>
      </c>
      <c r="Z230" s="12">
        <v>32442.962890625</v>
      </c>
      <c r="AA230" s="12">
        <v>4771.2919921875</v>
      </c>
      <c r="AB230" s="12">
        <v>20248.16015625</v>
      </c>
      <c r="AC230" s="12">
        <v>13109.8466796875</v>
      </c>
      <c r="AD230" s="12">
        <v>19354.29296875</v>
      </c>
      <c r="AE230" s="12">
        <v>12763.9267578125</v>
      </c>
      <c r="AF230" s="12">
        <v>13822.125</v>
      </c>
      <c r="AG230" s="12">
        <v>10159.310546875</v>
      </c>
      <c r="AH230" s="12">
        <v>53645.61328125</v>
      </c>
      <c r="AI230" s="12">
        <v>11393.8486328125</v>
      </c>
      <c r="AJ230" s="12">
        <v>13136.6201171875</v>
      </c>
      <c r="AK230" s="12">
        <v>9042.796875</v>
      </c>
      <c r="AL230" s="12">
        <v>7146.05126953125</v>
      </c>
      <c r="AM230" s="12">
        <v>48625.1640625</v>
      </c>
      <c r="AN230" s="12">
        <v>24358.05078125</v>
      </c>
      <c r="AO230" s="12">
        <v>9848.6884765625</v>
      </c>
      <c r="AP230" s="12">
        <v>1174.989501953125</v>
      </c>
      <c r="AQ230" s="12">
        <v>4940.71875</v>
      </c>
      <c r="AR230" s="12">
        <v>2571.220703125</v>
      </c>
      <c r="AS230" s="12">
        <v>4177.35546875</v>
      </c>
      <c r="AT230" s="12">
        <v>2113.962646484375</v>
      </c>
      <c r="AU230" s="12">
        <v>1268.6312255859375</v>
      </c>
      <c r="AV230" s="12">
        <v>5774.8232421875</v>
      </c>
      <c r="AW230" s="12">
        <v>2506.845703125</v>
      </c>
      <c r="AX230" s="12">
        <v>916.99810791015625</v>
      </c>
      <c r="AY230" s="12">
        <v>9131.0029296875</v>
      </c>
      <c r="AZ230" s="12">
        <v>2886.677490234375</v>
      </c>
      <c r="BA230" s="12">
        <v>29058.408203125</v>
      </c>
      <c r="BB230" s="12">
        <v>11971.240234375</v>
      </c>
      <c r="BC230" s="12">
        <v>15891.3349609375</v>
      </c>
      <c r="BD230" s="12">
        <v>30128.634765625</v>
      </c>
      <c r="BE230" s="12">
        <v>35047.8359375</v>
      </c>
      <c r="BF230" s="12">
        <v>55286.77734375</v>
      </c>
      <c r="BG230" s="12">
        <v>26422.28125</v>
      </c>
      <c r="BH230" s="12">
        <v>6363.2265625</v>
      </c>
      <c r="BI230" s="12">
        <v>6995.49169921875</v>
      </c>
      <c r="BJ230" s="12">
        <v>9755.3720703125</v>
      </c>
      <c r="BK230" s="12">
        <v>3684.12353515625</v>
      </c>
      <c r="BL230" s="12">
        <v>4349.15087890625</v>
      </c>
      <c r="BM230" s="12">
        <v>7613.037109375</v>
      </c>
      <c r="BN230" s="12">
        <v>14093.0517578125</v>
      </c>
      <c r="BO230" s="12">
        <v>10207.1552734375</v>
      </c>
      <c r="BP230" s="12">
        <v>12319.2705078125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13"/>
  <sheetViews>
    <sheetView workbookViewId="0">
      <selection activeCell="D28" sqref="D28"/>
    </sheetView>
  </sheetViews>
  <sheetFormatPr baseColWidth="10" defaultColWidth="8.83203125" defaultRowHeight="15" x14ac:dyDescent="0.2"/>
  <cols>
    <col min="2" max="2" width="25.1640625" customWidth="1"/>
    <col min="3" max="3" width="16" customWidth="1"/>
    <col min="4" max="4" width="18.83203125" bestFit="1" customWidth="1"/>
    <col min="5" max="5" width="16" customWidth="1"/>
    <col min="6" max="6" width="18.83203125" bestFit="1" customWidth="1"/>
    <col min="7" max="7" width="17.83203125" customWidth="1"/>
    <col min="8" max="8" width="18.83203125" bestFit="1" customWidth="1"/>
    <col min="9" max="9" width="16" customWidth="1"/>
    <col min="10" max="10" width="19.1640625" customWidth="1"/>
  </cols>
  <sheetData>
    <row r="1" spans="2:10" ht="16" thickBot="1" x14ac:dyDescent="0.25"/>
    <row r="2" spans="2:10" ht="17" thickBot="1" x14ac:dyDescent="0.25">
      <c r="B2" s="219" t="s">
        <v>747</v>
      </c>
      <c r="C2" s="220"/>
      <c r="D2" s="220"/>
      <c r="E2" s="220"/>
      <c r="F2" s="220"/>
      <c r="G2" s="220"/>
      <c r="H2" s="220"/>
      <c r="I2" s="220"/>
      <c r="J2" s="221"/>
    </row>
    <row r="3" spans="2:10" ht="17" thickBot="1" x14ac:dyDescent="0.25">
      <c r="B3" s="20"/>
      <c r="C3" s="153" t="s">
        <v>563</v>
      </c>
      <c r="D3" s="154"/>
      <c r="E3" s="153" t="s">
        <v>564</v>
      </c>
      <c r="F3" s="154"/>
      <c r="G3" s="153" t="s">
        <v>565</v>
      </c>
      <c r="H3" s="154"/>
      <c r="I3" s="153" t="s">
        <v>566</v>
      </c>
      <c r="J3" s="154"/>
    </row>
    <row r="4" spans="2:10" ht="52" thickBot="1" x14ac:dyDescent="0.25">
      <c r="B4" s="20"/>
      <c r="C4" s="1" t="s">
        <v>491</v>
      </c>
      <c r="D4" s="1" t="s">
        <v>493</v>
      </c>
      <c r="E4" s="1" t="s">
        <v>491</v>
      </c>
      <c r="F4" s="1" t="s">
        <v>493</v>
      </c>
      <c r="G4" s="1" t="s">
        <v>491</v>
      </c>
      <c r="H4" s="1" t="s">
        <v>493</v>
      </c>
      <c r="I4" s="1" t="s">
        <v>491</v>
      </c>
      <c r="J4" s="1" t="s">
        <v>492</v>
      </c>
    </row>
    <row r="5" spans="2:10" ht="18" thickBot="1" x14ac:dyDescent="0.25">
      <c r="B5" s="21" t="s">
        <v>230</v>
      </c>
      <c r="C5" s="2">
        <v>37298.113445887997</v>
      </c>
      <c r="D5" s="16">
        <v>26.015704424313196</v>
      </c>
      <c r="E5" s="2">
        <v>23215.60494592</v>
      </c>
      <c r="F5" s="16">
        <v>22.605070891669005</v>
      </c>
      <c r="G5" s="109">
        <v>55011.573866496001</v>
      </c>
      <c r="H5" s="110">
        <v>26.015705042899306</v>
      </c>
      <c r="I5" s="2">
        <v>27362.757697535999</v>
      </c>
      <c r="J5" s="15">
        <v>22.605071788477332</v>
      </c>
    </row>
    <row r="6" spans="2:10" ht="18" thickBot="1" x14ac:dyDescent="0.25">
      <c r="B6" s="21" t="s">
        <v>226</v>
      </c>
      <c r="C6" s="2">
        <v>24116.731511168</v>
      </c>
      <c r="D6" s="16">
        <v>16.82159500065109</v>
      </c>
      <c r="E6" s="2">
        <v>23800.626194048</v>
      </c>
      <c r="F6" s="16">
        <v>23.174706997119277</v>
      </c>
      <c r="G6" s="109">
        <v>35570.144423168</v>
      </c>
      <c r="H6" s="110">
        <v>16.82159445014641</v>
      </c>
      <c r="I6" s="2">
        <v>28052.285939712001</v>
      </c>
      <c r="J6" s="15">
        <v>23.174708649895528</v>
      </c>
    </row>
    <row r="7" spans="2:10" ht="18" thickBot="1" x14ac:dyDescent="0.25">
      <c r="B7" s="21" t="s">
        <v>229</v>
      </c>
      <c r="C7" s="2">
        <v>10322.067497984001</v>
      </c>
      <c r="D7" s="16">
        <v>7.199716882864676</v>
      </c>
      <c r="E7" s="2">
        <v>6496.2762719599996</v>
      </c>
      <c r="F7" s="16">
        <v>6.3254343792290797</v>
      </c>
      <c r="G7" s="109">
        <v>15224.178621248</v>
      </c>
      <c r="H7" s="110">
        <v>7.1997165813141857</v>
      </c>
      <c r="I7" s="2">
        <v>7656.7478709200004</v>
      </c>
      <c r="J7" s="15">
        <v>6.3254346364366434</v>
      </c>
    </row>
    <row r="8" spans="2:10" ht="18" thickBot="1" x14ac:dyDescent="0.25">
      <c r="B8" s="21" t="s">
        <v>231</v>
      </c>
      <c r="C8" s="2">
        <v>10670.032951296</v>
      </c>
      <c r="D8" s="16">
        <v>7.4424253082216483</v>
      </c>
      <c r="E8" s="2">
        <v>5608.5036984320004</v>
      </c>
      <c r="F8" s="16">
        <v>5.4610088341257752</v>
      </c>
      <c r="G8" s="109">
        <v>15737.398941695999</v>
      </c>
      <c r="H8" s="110">
        <v>7.4424252976872154</v>
      </c>
      <c r="I8" s="2">
        <v>6610.3872225280002</v>
      </c>
      <c r="J8" s="15">
        <v>5.4610094262660764</v>
      </c>
    </row>
    <row r="9" spans="2:10" ht="18" thickBot="1" x14ac:dyDescent="0.25">
      <c r="B9" s="21" t="s">
        <v>227</v>
      </c>
      <c r="C9" s="2">
        <v>24436.488458719999</v>
      </c>
      <c r="D9" s="16">
        <v>17.044627788816165</v>
      </c>
      <c r="E9" s="2">
        <v>30016.639159840001</v>
      </c>
      <c r="F9" s="16">
        <v>29.227248556237953</v>
      </c>
      <c r="G9" s="109">
        <v>36041.760261135998</v>
      </c>
      <c r="H9" s="110">
        <v>17.044627853333733</v>
      </c>
      <c r="I9" s="2">
        <v>35378.703976996003</v>
      </c>
      <c r="J9" s="15">
        <v>29.227249388510977</v>
      </c>
    </row>
    <row r="10" spans="2:10" ht="18" thickBot="1" x14ac:dyDescent="0.25">
      <c r="B10" s="21" t="s">
        <v>233</v>
      </c>
      <c r="C10" s="2">
        <v>7011.3214709759995</v>
      </c>
      <c r="D10" s="16">
        <v>4.8904475363716262</v>
      </c>
      <c r="E10" s="2">
        <v>3149.6041103359998</v>
      </c>
      <c r="F10" s="16">
        <v>3.0667744545398889</v>
      </c>
      <c r="G10" s="109">
        <v>10341.107679232</v>
      </c>
      <c r="H10" s="110">
        <v>4.890447378449033</v>
      </c>
      <c r="I10" s="2">
        <v>3712.2382264319999</v>
      </c>
      <c r="J10" s="15">
        <v>3.0667746479362226</v>
      </c>
    </row>
    <row r="11" spans="2:10" ht="18" thickBot="1" x14ac:dyDescent="0.25">
      <c r="B11" s="21" t="s">
        <v>228</v>
      </c>
      <c r="C11" s="2">
        <v>23742.553550847999</v>
      </c>
      <c r="D11" s="16">
        <v>16.560603161696548</v>
      </c>
      <c r="E11" s="2">
        <v>8057.2831164159998</v>
      </c>
      <c r="F11" s="16">
        <v>7.8453891882253366</v>
      </c>
      <c r="G11" s="109">
        <v>35018.264918016001</v>
      </c>
      <c r="H11" s="110">
        <v>16.560603291084153</v>
      </c>
      <c r="I11" s="2">
        <v>9496.6075450879998</v>
      </c>
      <c r="J11" s="15">
        <v>7.845389623248419</v>
      </c>
    </row>
    <row r="12" spans="2:10" ht="18" thickBot="1" x14ac:dyDescent="0.25">
      <c r="B12" s="21" t="s">
        <v>232</v>
      </c>
      <c r="C12" s="2">
        <v>5298.7412680320003</v>
      </c>
      <c r="D12" s="16">
        <v>3.6959104339157567</v>
      </c>
      <c r="E12" s="2">
        <v>2356.3311228160001</v>
      </c>
      <c r="F12" s="16">
        <v>2.2943633043196963</v>
      </c>
      <c r="G12" s="109">
        <v>7815.1966423040003</v>
      </c>
      <c r="H12" s="110">
        <v>3.6959104495329784</v>
      </c>
      <c r="I12" s="2">
        <v>2777.2578089600001</v>
      </c>
      <c r="J12" s="15">
        <v>2.2943634863346896</v>
      </c>
    </row>
    <row r="13" spans="2:10" ht="18" thickBot="1" x14ac:dyDescent="0.25">
      <c r="B13" s="22" t="s">
        <v>450</v>
      </c>
      <c r="C13" s="17">
        <v>143367.68606208</v>
      </c>
      <c r="D13" s="19">
        <v>100</v>
      </c>
      <c r="E13" s="17">
        <v>102700.872105984</v>
      </c>
      <c r="F13" s="19">
        <v>100</v>
      </c>
      <c r="G13" s="106">
        <v>211455.24895744</v>
      </c>
      <c r="H13" s="111">
        <v>100</v>
      </c>
      <c r="I13" s="17">
        <v>121046.9842944</v>
      </c>
      <c r="J13" s="18">
        <v>100</v>
      </c>
    </row>
  </sheetData>
  <mergeCells count="5">
    <mergeCell ref="B2:J2"/>
    <mergeCell ref="C3:D3"/>
    <mergeCell ref="E3:F3"/>
    <mergeCell ref="G3:H3"/>
    <mergeCell ref="I3:J3"/>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J13"/>
  <sheetViews>
    <sheetView workbookViewId="0">
      <selection activeCell="D28" sqref="D28"/>
    </sheetView>
  </sheetViews>
  <sheetFormatPr baseColWidth="10" defaultColWidth="8.83203125" defaultRowHeight="15" x14ac:dyDescent="0.2"/>
  <cols>
    <col min="2" max="2" width="26.6640625" customWidth="1"/>
    <col min="3" max="3" width="17.83203125" customWidth="1"/>
    <col min="4" max="4" width="17.1640625" customWidth="1"/>
    <col min="5" max="5" width="17.5" customWidth="1"/>
    <col min="6" max="6" width="16.83203125" customWidth="1"/>
    <col min="7" max="7" width="17.5" customWidth="1"/>
    <col min="8" max="8" width="17" customWidth="1"/>
    <col min="9" max="9" width="18" customWidth="1"/>
    <col min="10" max="10" width="17.1640625" customWidth="1"/>
  </cols>
  <sheetData>
    <row r="1" spans="2:10" ht="16" thickBot="1" x14ac:dyDescent="0.25"/>
    <row r="2" spans="2:10" ht="17" thickBot="1" x14ac:dyDescent="0.25">
      <c r="B2" s="219" t="s">
        <v>748</v>
      </c>
      <c r="C2" s="220"/>
      <c r="D2" s="220"/>
      <c r="E2" s="220"/>
      <c r="F2" s="220"/>
      <c r="G2" s="220"/>
      <c r="H2" s="220"/>
      <c r="I2" s="220"/>
      <c r="J2" s="221"/>
    </row>
    <row r="3" spans="2:10" ht="17" thickBot="1" x14ac:dyDescent="0.25">
      <c r="B3" s="20"/>
      <c r="C3" s="153" t="s">
        <v>559</v>
      </c>
      <c r="D3" s="154"/>
      <c r="E3" s="153" t="s">
        <v>560</v>
      </c>
      <c r="F3" s="154"/>
      <c r="G3" s="153" t="s">
        <v>561</v>
      </c>
      <c r="H3" s="154"/>
      <c r="I3" s="153" t="s">
        <v>562</v>
      </c>
      <c r="J3" s="154"/>
    </row>
    <row r="4" spans="2:10" ht="52" thickBot="1" x14ac:dyDescent="0.25">
      <c r="B4" s="20"/>
      <c r="C4" s="1" t="s">
        <v>494</v>
      </c>
      <c r="D4" s="1" t="s">
        <v>495</v>
      </c>
      <c r="E4" s="1" t="s">
        <v>494</v>
      </c>
      <c r="F4" s="1" t="s">
        <v>495</v>
      </c>
      <c r="G4" s="1" t="s">
        <v>494</v>
      </c>
      <c r="H4" s="1" t="s">
        <v>495</v>
      </c>
      <c r="I4" s="1" t="s">
        <v>494</v>
      </c>
      <c r="J4" s="1" t="s">
        <v>496</v>
      </c>
    </row>
    <row r="5" spans="2:10" ht="18" thickBot="1" x14ac:dyDescent="0.25">
      <c r="B5" s="21" t="s">
        <v>230</v>
      </c>
      <c r="C5" s="2">
        <v>22575.014047960351</v>
      </c>
      <c r="D5" s="16">
        <v>129.59992167443667</v>
      </c>
      <c r="E5" s="2">
        <v>14051.450847410659</v>
      </c>
      <c r="F5" s="16">
        <v>112.60949806408065</v>
      </c>
      <c r="G5" s="2">
        <v>33296.243109943942</v>
      </c>
      <c r="H5" s="23">
        <v>129.59992475598736</v>
      </c>
      <c r="I5" s="2">
        <v>16561.551841194036</v>
      </c>
      <c r="J5" s="15">
        <v>112.60950253162405</v>
      </c>
    </row>
    <row r="6" spans="2:10" ht="18" thickBot="1" x14ac:dyDescent="0.25">
      <c r="B6" s="21" t="s">
        <v>226</v>
      </c>
      <c r="C6" s="2">
        <v>43376.585292347903</v>
      </c>
      <c r="D6" s="16">
        <v>249.01876226742465</v>
      </c>
      <c r="E6" s="2">
        <v>42808.035228129178</v>
      </c>
      <c r="F6" s="16">
        <v>343.06716171144893</v>
      </c>
      <c r="G6" s="2">
        <v>63976.803934570773</v>
      </c>
      <c r="H6" s="23">
        <v>249.01875411801942</v>
      </c>
      <c r="I6" s="2">
        <v>50455.111346484358</v>
      </c>
      <c r="J6" s="15">
        <v>343.06718617834969</v>
      </c>
    </row>
    <row r="7" spans="2:10" ht="18" thickBot="1" x14ac:dyDescent="0.25">
      <c r="B7" s="21" t="s">
        <v>229</v>
      </c>
      <c r="C7" s="2">
        <v>15481.475080574273</v>
      </c>
      <c r="D7" s="16">
        <v>88.876930644853658</v>
      </c>
      <c r="E7" s="2">
        <v>9743.3909670245193</v>
      </c>
      <c r="F7" s="16">
        <v>78.084347171944557</v>
      </c>
      <c r="G7" s="2">
        <v>22833.869473639425</v>
      </c>
      <c r="H7" s="23">
        <v>88.876926922362571</v>
      </c>
      <c r="I7" s="2">
        <v>11483.915541633465</v>
      </c>
      <c r="J7" s="15">
        <v>78.084350347044236</v>
      </c>
    </row>
    <row r="8" spans="2:10" ht="18" thickBot="1" x14ac:dyDescent="0.25">
      <c r="B8" s="21" t="s">
        <v>231</v>
      </c>
      <c r="C8" s="2">
        <v>17428.240846751294</v>
      </c>
      <c r="D8" s="16">
        <v>100.05303402529925</v>
      </c>
      <c r="E8" s="2">
        <v>9160.8295581032708</v>
      </c>
      <c r="F8" s="16">
        <v>73.41565149329054</v>
      </c>
      <c r="G8" s="2">
        <v>25705.185758022693</v>
      </c>
      <c r="H8" s="23">
        <v>100.05303388367852</v>
      </c>
      <c r="I8" s="2">
        <v>10797.288174308031</v>
      </c>
      <c r="J8" s="15">
        <v>73.415659453791477</v>
      </c>
    </row>
    <row r="9" spans="2:10" ht="18" thickBot="1" x14ac:dyDescent="0.25">
      <c r="B9" s="21" t="s">
        <v>227</v>
      </c>
      <c r="C9" s="2">
        <v>56325.386690033658</v>
      </c>
      <c r="D9" s="16">
        <v>323.35597611600389</v>
      </c>
      <c r="E9" s="2">
        <v>69187.469822812462</v>
      </c>
      <c r="F9" s="16">
        <v>554.47414887455272</v>
      </c>
      <c r="G9" s="2">
        <v>83075.196631763101</v>
      </c>
      <c r="H9" s="23">
        <v>323.35597733997565</v>
      </c>
      <c r="I9" s="2">
        <v>81546.871411691827</v>
      </c>
      <c r="J9" s="15">
        <v>554.47416466371851</v>
      </c>
    </row>
    <row r="10" spans="2:10" ht="18" thickBot="1" x14ac:dyDescent="0.25">
      <c r="B10" s="21" t="s">
        <v>233</v>
      </c>
      <c r="C10" s="2">
        <v>23951.502869535871</v>
      </c>
      <c r="D10" s="16">
        <v>137.50214681072811</v>
      </c>
      <c r="E10" s="2">
        <v>10759.419918041995</v>
      </c>
      <c r="F10" s="16">
        <v>86.226887855829602</v>
      </c>
      <c r="G10" s="2">
        <v>35326.446131249213</v>
      </c>
      <c r="H10" s="23">
        <v>137.50214237050142</v>
      </c>
      <c r="I10" s="2">
        <v>12681.44456089384</v>
      </c>
      <c r="J10" s="15">
        <v>86.226893293452804</v>
      </c>
    </row>
    <row r="11" spans="2:10" ht="18" thickBot="1" x14ac:dyDescent="0.25">
      <c r="B11" s="21" t="s">
        <v>228</v>
      </c>
      <c r="C11" s="2">
        <v>8816.9793236108817</v>
      </c>
      <c r="D11" s="16">
        <v>50.617015223888153</v>
      </c>
      <c r="E11" s="2">
        <v>2992.1338700900428</v>
      </c>
      <c r="F11" s="16">
        <v>23.979210183371574</v>
      </c>
      <c r="G11" s="2">
        <v>13004.301204149446</v>
      </c>
      <c r="H11" s="23">
        <v>50.617015619357709</v>
      </c>
      <c r="I11" s="2">
        <v>3526.6380336961438</v>
      </c>
      <c r="J11" s="15">
        <v>23.979211513007321</v>
      </c>
    </row>
    <row r="12" spans="2:10" ht="18" thickBot="1" x14ac:dyDescent="0.25">
      <c r="B12" s="21" t="s">
        <v>232</v>
      </c>
      <c r="C12" s="2">
        <v>4002.0617901277151</v>
      </c>
      <c r="D12" s="16">
        <v>22.975263423309773</v>
      </c>
      <c r="E12" s="2">
        <v>1779.7024377099101</v>
      </c>
      <c r="F12" s="16">
        <v>14.26268364671145</v>
      </c>
      <c r="G12" s="2">
        <v>5902.7037332803711</v>
      </c>
      <c r="H12" s="23">
        <v>22.975263520392698</v>
      </c>
      <c r="I12" s="2">
        <v>2097.6222080571138</v>
      </c>
      <c r="J12" s="15">
        <v>14.262684778189739</v>
      </c>
    </row>
    <row r="13" spans="2:10" ht="18" thickBot="1" x14ac:dyDescent="0.25">
      <c r="B13" s="22" t="s">
        <v>450</v>
      </c>
      <c r="C13" s="17">
        <v>17419.00284837381</v>
      </c>
      <c r="D13" s="19">
        <v>100</v>
      </c>
      <c r="E13" s="17">
        <v>12478.033459854918</v>
      </c>
      <c r="F13" s="19">
        <v>100</v>
      </c>
      <c r="G13" s="17">
        <v>25691.560525698296</v>
      </c>
      <c r="H13" s="24">
        <v>100</v>
      </c>
      <c r="I13" s="17">
        <v>14707.064207608115</v>
      </c>
      <c r="J13" s="18">
        <v>100</v>
      </c>
    </row>
  </sheetData>
  <mergeCells count="5">
    <mergeCell ref="B2:J2"/>
    <mergeCell ref="C3:D3"/>
    <mergeCell ref="E3:F3"/>
    <mergeCell ref="G3:H3"/>
    <mergeCell ref="I3:J3"/>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B1:N13"/>
  <sheetViews>
    <sheetView workbookViewId="0">
      <selection activeCell="D28" sqref="D28"/>
    </sheetView>
  </sheetViews>
  <sheetFormatPr baseColWidth="10" defaultColWidth="8.83203125" defaultRowHeight="15" x14ac:dyDescent="0.2"/>
  <cols>
    <col min="2" max="2" width="25.6640625" customWidth="1"/>
    <col min="3" max="14" width="16.6640625" customWidth="1"/>
  </cols>
  <sheetData>
    <row r="1" spans="2:14" ht="16" thickBot="1" x14ac:dyDescent="0.25"/>
    <row r="2" spans="2:14" ht="17" thickBot="1" x14ac:dyDescent="0.25">
      <c r="B2" s="138" t="s">
        <v>750</v>
      </c>
      <c r="C2" s="139"/>
      <c r="D2" s="139"/>
      <c r="E2" s="139"/>
      <c r="F2" s="139"/>
      <c r="G2" s="139"/>
      <c r="H2" s="139"/>
      <c r="I2" s="139"/>
      <c r="J2" s="139"/>
      <c r="K2" s="139"/>
      <c r="L2" s="139"/>
      <c r="M2" s="139"/>
      <c r="N2" s="140"/>
    </row>
    <row r="3" spans="2:14" ht="17" customHeight="1" thickBot="1" x14ac:dyDescent="0.25">
      <c r="B3" s="20"/>
      <c r="C3" s="153" t="s">
        <v>563</v>
      </c>
      <c r="D3" s="172"/>
      <c r="E3" s="172"/>
      <c r="F3" s="153" t="s">
        <v>564</v>
      </c>
      <c r="G3" s="172"/>
      <c r="H3" s="154"/>
      <c r="I3" s="153" t="s">
        <v>565</v>
      </c>
      <c r="J3" s="172"/>
      <c r="K3" s="172"/>
      <c r="L3" s="172" t="s">
        <v>566</v>
      </c>
      <c r="M3" s="172"/>
      <c r="N3" s="154"/>
    </row>
    <row r="4" spans="2:14" ht="64" customHeight="1" thickBot="1" x14ac:dyDescent="0.25">
      <c r="B4" s="20"/>
      <c r="C4" s="1" t="s">
        <v>756</v>
      </c>
      <c r="D4" s="1" t="s">
        <v>755</v>
      </c>
      <c r="E4" s="1" t="s">
        <v>757</v>
      </c>
      <c r="F4" s="1" t="s">
        <v>756</v>
      </c>
      <c r="G4" s="1" t="s">
        <v>755</v>
      </c>
      <c r="H4" s="1" t="s">
        <v>757</v>
      </c>
      <c r="I4" s="1" t="s">
        <v>756</v>
      </c>
      <c r="J4" s="1" t="s">
        <v>755</v>
      </c>
      <c r="K4" s="1" t="s">
        <v>757</v>
      </c>
      <c r="L4" s="1" t="s">
        <v>756</v>
      </c>
      <c r="M4" s="1" t="s">
        <v>755</v>
      </c>
      <c r="N4" s="1" t="s">
        <v>757</v>
      </c>
    </row>
    <row r="5" spans="2:14" ht="18" thickBot="1" x14ac:dyDescent="0.25">
      <c r="B5" s="21" t="s">
        <v>230</v>
      </c>
      <c r="C5" s="2">
        <v>7030.8739297279999</v>
      </c>
      <c r="D5" s="112">
        <v>0.18850481378712017</v>
      </c>
      <c r="E5" s="101">
        <v>0.32014002972583289</v>
      </c>
      <c r="F5" s="2">
        <v>4453.0427537920004</v>
      </c>
      <c r="G5" s="112">
        <v>0.19181247975942126</v>
      </c>
      <c r="H5" s="101">
        <v>0.26679831059460168</v>
      </c>
      <c r="I5" s="2">
        <v>10369.946540032</v>
      </c>
      <c r="J5" s="112">
        <v>0.32014004180895983</v>
      </c>
      <c r="K5" s="101">
        <v>0.1885048147358617</v>
      </c>
      <c r="L5" s="2">
        <v>5248.5185233920001</v>
      </c>
      <c r="M5" s="112">
        <v>0.19181248401233425</v>
      </c>
      <c r="N5" s="101">
        <v>0.26679830113417807</v>
      </c>
    </row>
    <row r="6" spans="2:14" ht="18" thickBot="1" x14ac:dyDescent="0.25">
      <c r="B6" s="21" t="s">
        <v>226</v>
      </c>
      <c r="C6" s="2">
        <v>4134.1909587199998</v>
      </c>
      <c r="D6" s="112">
        <v>0.17142418145699118</v>
      </c>
      <c r="E6" s="101">
        <v>0.1882440262256406</v>
      </c>
      <c r="F6" s="2">
        <v>4127.6796395519996</v>
      </c>
      <c r="G6" s="112">
        <v>0.1734273546375952</v>
      </c>
      <c r="H6" s="101">
        <v>0.2473045994383119</v>
      </c>
      <c r="I6" s="2">
        <v>6097.583010368</v>
      </c>
      <c r="J6" s="112">
        <v>0.18824402539945889</v>
      </c>
      <c r="K6" s="101">
        <v>0.1714241847833613</v>
      </c>
      <c r="L6" s="2">
        <v>4865.0337751999996</v>
      </c>
      <c r="M6" s="112">
        <v>0.17342735581890148</v>
      </c>
      <c r="N6" s="101">
        <v>0.24730459469635246</v>
      </c>
    </row>
    <row r="7" spans="2:14" ht="18" thickBot="1" x14ac:dyDescent="0.25">
      <c r="B7" s="21" t="s">
        <v>229</v>
      </c>
      <c r="C7" s="2">
        <v>1322.601754328</v>
      </c>
      <c r="D7" s="112">
        <v>0.12813341460771469</v>
      </c>
      <c r="E7" s="101">
        <v>6.0222636499810661E-2</v>
      </c>
      <c r="F7" s="2">
        <v>842.22538140799998</v>
      </c>
      <c r="G7" s="112">
        <v>0.12964740816878637</v>
      </c>
      <c r="H7" s="101">
        <v>5.0460846958678064E-2</v>
      </c>
      <c r="I7" s="2">
        <v>1950.7260406400001</v>
      </c>
      <c r="J7" s="112">
        <v>6.0222636037464965E-2</v>
      </c>
      <c r="K7" s="101">
        <v>0.12813341784609786</v>
      </c>
      <c r="L7" s="2">
        <v>992.67754847799995</v>
      </c>
      <c r="M7" s="112">
        <v>0.12964741234958863</v>
      </c>
      <c r="N7" s="101">
        <v>5.0460845727721262E-2</v>
      </c>
    </row>
    <row r="8" spans="2:14" ht="18" thickBot="1" x14ac:dyDescent="0.25">
      <c r="B8" s="21" t="s">
        <v>231</v>
      </c>
      <c r="C8" s="2">
        <v>1172.9157190400001</v>
      </c>
      <c r="D8" s="112">
        <v>0.10992615715376358</v>
      </c>
      <c r="E8" s="101">
        <v>5.3406913125220688E-2</v>
      </c>
      <c r="F8" s="2">
        <v>645.51662758400005</v>
      </c>
      <c r="G8" s="112">
        <v>0.11509605097781617</v>
      </c>
      <c r="H8" s="101">
        <v>3.8675295797121895E-2</v>
      </c>
      <c r="I8" s="2">
        <v>1729.9517822719999</v>
      </c>
      <c r="J8" s="112">
        <v>5.3406913311081897E-2</v>
      </c>
      <c r="K8" s="101">
        <v>0.1099261567099579</v>
      </c>
      <c r="L8" s="2">
        <v>760.82946003200004</v>
      </c>
      <c r="M8" s="112">
        <v>0.11509605026451646</v>
      </c>
      <c r="N8" s="101">
        <v>3.8675295987749519E-2</v>
      </c>
    </row>
    <row r="9" spans="2:14" ht="18" thickBot="1" x14ac:dyDescent="0.25">
      <c r="B9" s="21" t="s">
        <v>227</v>
      </c>
      <c r="C9" s="2">
        <v>4061.7376749195</v>
      </c>
      <c r="D9" s="112">
        <v>0.16621609450068492</v>
      </c>
      <c r="E9" s="101">
        <v>0.18494497739309759</v>
      </c>
      <c r="F9" s="2">
        <v>4998.6313867464996</v>
      </c>
      <c r="G9" s="112">
        <v>0.16652868297908222</v>
      </c>
      <c r="H9" s="101">
        <v>0.29948654953592441</v>
      </c>
      <c r="I9" s="2">
        <v>5990.7204617930001</v>
      </c>
      <c r="J9" s="112">
        <v>0.18494497456669473</v>
      </c>
      <c r="K9" s="101">
        <v>0.16621608984655564</v>
      </c>
      <c r="L9" s="2">
        <v>5891.5691998524999</v>
      </c>
      <c r="M9" s="112">
        <v>0.16652868922737604</v>
      </c>
      <c r="N9" s="101">
        <v>0.29948654015976256</v>
      </c>
    </row>
    <row r="10" spans="2:14" ht="18" thickBot="1" x14ac:dyDescent="0.25">
      <c r="B10" s="21" t="s">
        <v>233</v>
      </c>
      <c r="C10" s="2">
        <v>966.72875008000005</v>
      </c>
      <c r="D10" s="112">
        <v>0.13788110473636978</v>
      </c>
      <c r="E10" s="101">
        <v>4.4018506643796633E-2</v>
      </c>
      <c r="F10" s="2">
        <v>431.073410432</v>
      </c>
      <c r="G10" s="112">
        <v>0.13686590292962664</v>
      </c>
      <c r="H10" s="101">
        <v>2.582720714899361E-2</v>
      </c>
      <c r="I10" s="2">
        <v>1425.8434339840001</v>
      </c>
      <c r="J10" s="112">
        <v>4.4018508177117374E-2</v>
      </c>
      <c r="K10" s="101">
        <v>0.13788111276004938</v>
      </c>
      <c r="L10" s="2">
        <v>508.07886195200001</v>
      </c>
      <c r="M10" s="112">
        <v>0.13686590971839044</v>
      </c>
      <c r="N10" s="101">
        <v>2.5827207545677921E-2</v>
      </c>
    </row>
    <row r="11" spans="2:14" ht="18" thickBot="1" x14ac:dyDescent="0.25">
      <c r="B11" s="21" t="s">
        <v>228</v>
      </c>
      <c r="C11" s="2">
        <v>2755.6008141759999</v>
      </c>
      <c r="D11" s="112">
        <v>0.1160616868052754</v>
      </c>
      <c r="E11" s="101">
        <v>0.12547204449688695</v>
      </c>
      <c r="F11" s="2">
        <v>962.99038563199997</v>
      </c>
      <c r="G11" s="112">
        <v>0.11951800274586262</v>
      </c>
      <c r="H11" s="101">
        <v>5.769632635722554E-2</v>
      </c>
      <c r="I11" s="2">
        <v>4064.2788352960001</v>
      </c>
      <c r="J11" s="112">
        <v>0.12547204474314647</v>
      </c>
      <c r="K11" s="101">
        <v>0.11606168508951546</v>
      </c>
      <c r="L11" s="2">
        <v>1135.0155657119999</v>
      </c>
      <c r="M11" s="112">
        <v>0.11951800264706869</v>
      </c>
      <c r="N11" s="101">
        <v>5.7696323894671851E-2</v>
      </c>
    </row>
    <row r="12" spans="2:14" ht="18" thickBot="1" x14ac:dyDescent="0.25">
      <c r="B12" s="21" t="s">
        <v>232</v>
      </c>
      <c r="C12" s="2">
        <v>517.22055436799997</v>
      </c>
      <c r="D12" s="112">
        <v>9.7611966352925988E-2</v>
      </c>
      <c r="E12" s="101">
        <v>2.3550842371111769E-2</v>
      </c>
      <c r="F12" s="2">
        <v>229.51139354399999</v>
      </c>
      <c r="G12" s="112">
        <v>9.7402012527728246E-2</v>
      </c>
      <c r="H12" s="101">
        <v>1.3750878993382364E-2</v>
      </c>
      <c r="I12" s="2">
        <v>762.85670167199999</v>
      </c>
      <c r="J12" s="112">
        <v>2.355084237172602E-2</v>
      </c>
      <c r="K12" s="101">
        <v>9.7611965071054435E-2</v>
      </c>
      <c r="L12" s="2">
        <v>270.51049729599998</v>
      </c>
      <c r="M12" s="112">
        <v>9.7402011589733578E-2</v>
      </c>
      <c r="N12" s="101">
        <v>1.37508786138172E-2</v>
      </c>
    </row>
    <row r="13" spans="2:14" ht="18" thickBot="1" x14ac:dyDescent="0.25">
      <c r="B13" s="22" t="s">
        <v>450</v>
      </c>
      <c r="C13" s="17">
        <v>21961.870155359498</v>
      </c>
      <c r="D13" s="113">
        <v>0.15369123311351771</v>
      </c>
      <c r="E13" s="84">
        <v>0.99999997648139782</v>
      </c>
      <c r="F13" s="17">
        <v>16690.670978690501</v>
      </c>
      <c r="G13" s="113">
        <v>0.16251733021348427</v>
      </c>
      <c r="H13" s="84">
        <v>1.0000000148242394</v>
      </c>
      <c r="I13" s="17">
        <v>32391.906806056999</v>
      </c>
      <c r="J13" s="113">
        <v>0.99999998641565013</v>
      </c>
      <c r="K13" s="84">
        <v>0.15369123356410652</v>
      </c>
      <c r="L13" s="17">
        <v>19672.233431914501</v>
      </c>
      <c r="M13" s="113">
        <v>0.16251733343514688</v>
      </c>
      <c r="N13" s="84">
        <v>0.99999998775993082</v>
      </c>
    </row>
  </sheetData>
  <mergeCells count="5">
    <mergeCell ref="C3:E3"/>
    <mergeCell ref="F3:H3"/>
    <mergeCell ref="I3:K3"/>
    <mergeCell ref="L3:N3"/>
    <mergeCell ref="B2:N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13"/>
  <sheetViews>
    <sheetView topLeftCell="B1" workbookViewId="0">
      <selection activeCell="D28" sqref="D28"/>
    </sheetView>
  </sheetViews>
  <sheetFormatPr baseColWidth="10" defaultColWidth="8.83203125" defaultRowHeight="15" x14ac:dyDescent="0.2"/>
  <cols>
    <col min="2" max="2" width="24.6640625" customWidth="1"/>
    <col min="3" max="10" width="16.6640625" customWidth="1"/>
  </cols>
  <sheetData>
    <row r="1" spans="2:10" ht="16" thickBot="1" x14ac:dyDescent="0.25"/>
    <row r="2" spans="2:10" ht="17" thickBot="1" x14ac:dyDescent="0.25">
      <c r="B2" s="219" t="s">
        <v>758</v>
      </c>
      <c r="C2" s="220"/>
      <c r="D2" s="220"/>
      <c r="E2" s="220"/>
      <c r="F2" s="220"/>
      <c r="G2" s="220"/>
      <c r="H2" s="220"/>
      <c r="I2" s="220"/>
      <c r="J2" s="221"/>
    </row>
    <row r="3" spans="2:10" ht="17" thickBot="1" x14ac:dyDescent="0.25">
      <c r="B3" s="20"/>
      <c r="C3" s="153" t="s">
        <v>563</v>
      </c>
      <c r="D3" s="154"/>
      <c r="E3" s="153" t="s">
        <v>564</v>
      </c>
      <c r="F3" s="154"/>
      <c r="G3" s="153" t="s">
        <v>565</v>
      </c>
      <c r="H3" s="154"/>
      <c r="I3" s="153" t="s">
        <v>566</v>
      </c>
      <c r="J3" s="154"/>
    </row>
    <row r="4" spans="2:10" ht="35" thickBot="1" x14ac:dyDescent="0.25">
      <c r="B4" s="20"/>
      <c r="C4" s="1" t="s">
        <v>488</v>
      </c>
      <c r="D4" s="1" t="s">
        <v>486</v>
      </c>
      <c r="E4" s="1" t="s">
        <v>488</v>
      </c>
      <c r="F4" s="1" t="s">
        <v>486</v>
      </c>
      <c r="G4" s="1" t="s">
        <v>488</v>
      </c>
      <c r="H4" s="1" t="s">
        <v>486</v>
      </c>
      <c r="I4" s="1" t="s">
        <v>488</v>
      </c>
      <c r="J4" s="1" t="s">
        <v>486</v>
      </c>
    </row>
    <row r="5" spans="2:10" ht="18" thickBot="1" x14ac:dyDescent="0.25">
      <c r="B5" s="21" t="s">
        <v>230</v>
      </c>
      <c r="C5" s="2">
        <v>30310.741852160001</v>
      </c>
      <c r="D5" s="16">
        <v>25.244656787123823</v>
      </c>
      <c r="E5" s="2">
        <v>18893.618067455998</v>
      </c>
      <c r="F5" s="16">
        <v>21.966719770651761</v>
      </c>
      <c r="G5" s="16">
        <v>44705.789251583999</v>
      </c>
      <c r="H5" s="23">
        <v>25.244656335809957</v>
      </c>
      <c r="I5" s="2">
        <v>22268.707115008001</v>
      </c>
      <c r="J5" s="15">
        <v>21.966719502086846</v>
      </c>
    </row>
    <row r="6" spans="2:10" ht="18" thickBot="1" x14ac:dyDescent="0.25">
      <c r="B6" s="21" t="s">
        <v>226</v>
      </c>
      <c r="C6" s="2">
        <v>20201.059437568001</v>
      </c>
      <c r="D6" s="16">
        <v>16.824689238061371</v>
      </c>
      <c r="E6" s="2">
        <v>19982.903249792002</v>
      </c>
      <c r="F6" s="16">
        <v>23.233180342960779</v>
      </c>
      <c r="G6" s="16">
        <v>29794.858881536002</v>
      </c>
      <c r="H6" s="23">
        <v>16.82468838220278</v>
      </c>
      <c r="I6" s="2">
        <v>23552.578794112</v>
      </c>
      <c r="J6" s="15">
        <v>23.233180500738349</v>
      </c>
    </row>
    <row r="7" spans="2:10" ht="18" thickBot="1" x14ac:dyDescent="0.25">
      <c r="B7" s="21" t="s">
        <v>229</v>
      </c>
      <c r="C7" s="2">
        <v>8669.1455288159996</v>
      </c>
      <c r="D7" s="16">
        <v>7.2201995114478965</v>
      </c>
      <c r="E7" s="2">
        <v>5460.5569157199998</v>
      </c>
      <c r="F7" s="16">
        <v>6.3487323143219916</v>
      </c>
      <c r="G7" s="16">
        <v>12786.25848656</v>
      </c>
      <c r="H7" s="23">
        <v>7.220199144624293</v>
      </c>
      <c r="I7" s="2">
        <v>6436.0114317999996</v>
      </c>
      <c r="J7" s="15">
        <v>6.3487321964593608</v>
      </c>
    </row>
    <row r="8" spans="2:10" ht="18" thickBot="1" x14ac:dyDescent="0.25">
      <c r="B8" s="21" t="s">
        <v>231</v>
      </c>
      <c r="C8" s="2">
        <v>9423.3005813759992</v>
      </c>
      <c r="D8" s="16">
        <v>7.8483063904880694</v>
      </c>
      <c r="E8" s="2">
        <v>4949.6984770560002</v>
      </c>
      <c r="F8" s="16">
        <v>5.7547812709305557</v>
      </c>
      <c r="G8" s="16">
        <v>13898.573740031999</v>
      </c>
      <c r="H8" s="23">
        <v>7.8483060806848188</v>
      </c>
      <c r="I8" s="2">
        <v>5833.8952980479999</v>
      </c>
      <c r="J8" s="15">
        <v>5.7547814049068</v>
      </c>
    </row>
    <row r="9" spans="2:10" ht="18" thickBot="1" x14ac:dyDescent="0.25">
      <c r="B9" s="21" t="s">
        <v>227</v>
      </c>
      <c r="C9" s="2">
        <v>20396.535609375998</v>
      </c>
      <c r="D9" s="16">
        <v>16.987493859981313</v>
      </c>
      <c r="E9" s="2">
        <v>25039.376816119999</v>
      </c>
      <c r="F9" s="16">
        <v>29.112103980702717</v>
      </c>
      <c r="G9" s="16">
        <v>30083.169122791998</v>
      </c>
      <c r="H9" s="23">
        <v>16.987492642690018</v>
      </c>
      <c r="I9" s="2">
        <v>29512.321401231999</v>
      </c>
      <c r="J9" s="15">
        <v>29.112102589888728</v>
      </c>
    </row>
    <row r="10" spans="2:10" ht="18" thickBot="1" x14ac:dyDescent="0.25">
      <c r="B10" s="21" t="s">
        <v>233</v>
      </c>
      <c r="C10" s="2">
        <v>5964.8477102079996</v>
      </c>
      <c r="D10" s="16">
        <v>4.9678933615718073</v>
      </c>
      <c r="E10" s="2">
        <v>2684.9708349440002</v>
      </c>
      <c r="F10" s="16">
        <v>3.121689118146195</v>
      </c>
      <c r="G10" s="16">
        <v>8797.6471060479998</v>
      </c>
      <c r="H10" s="23">
        <v>4.9678930061176736</v>
      </c>
      <c r="I10" s="2">
        <v>3164.6046515200001</v>
      </c>
      <c r="J10" s="15">
        <v>3.1216892097022018</v>
      </c>
    </row>
    <row r="11" spans="2:10" ht="18" thickBot="1" x14ac:dyDescent="0.25">
      <c r="B11" s="21" t="s">
        <v>228</v>
      </c>
      <c r="C11" s="2">
        <v>20456.393640959999</v>
      </c>
      <c r="D11" s="16">
        <v>17.037347323504616</v>
      </c>
      <c r="E11" s="2">
        <v>6950.255974144</v>
      </c>
      <c r="F11" s="16">
        <v>8.0807352394456924</v>
      </c>
      <c r="G11" s="16">
        <v>30171.455315456002</v>
      </c>
      <c r="H11" s="23">
        <v>17.037346467671323</v>
      </c>
      <c r="I11" s="2">
        <v>8191.8249675520001</v>
      </c>
      <c r="J11" s="15">
        <v>8.0807350127269313</v>
      </c>
    </row>
    <row r="12" spans="2:10" ht="18" thickBot="1" x14ac:dyDescent="0.25">
      <c r="B12" s="21" t="s">
        <v>232</v>
      </c>
      <c r="C12" s="2">
        <v>4645.92921088</v>
      </c>
      <c r="D12" s="16">
        <v>3.86941662325499</v>
      </c>
      <c r="E12" s="2">
        <v>2048.81714496</v>
      </c>
      <c r="F12" s="16">
        <v>2.3820631878954406</v>
      </c>
      <c r="G12" s="16">
        <v>6852.3539773439998</v>
      </c>
      <c r="H12" s="23">
        <v>3.8694165598080921</v>
      </c>
      <c r="I12" s="2">
        <v>2414.8106117759999</v>
      </c>
      <c r="J12" s="15">
        <v>2.3820631833536536</v>
      </c>
    </row>
    <row r="13" spans="2:10" ht="18" thickBot="1" x14ac:dyDescent="0.25">
      <c r="B13" s="22" t="s">
        <v>450</v>
      </c>
      <c r="C13" s="17">
        <v>120067.94985472001</v>
      </c>
      <c r="D13" s="19">
        <v>100</v>
      </c>
      <c r="E13" s="17">
        <v>86010.192986112001</v>
      </c>
      <c r="F13" s="19">
        <v>100</v>
      </c>
      <c r="G13" s="19">
        <v>177090.108325888</v>
      </c>
      <c r="H13" s="24">
        <v>100</v>
      </c>
      <c r="I13" s="17">
        <v>101374.750621696</v>
      </c>
      <c r="J13" s="18">
        <v>100</v>
      </c>
    </row>
  </sheetData>
  <mergeCells count="5">
    <mergeCell ref="E3:F3"/>
    <mergeCell ref="G3:H3"/>
    <mergeCell ref="I3:J3"/>
    <mergeCell ref="B2:J2"/>
    <mergeCell ref="C3:D3"/>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13"/>
  <sheetViews>
    <sheetView workbookViewId="0">
      <selection activeCell="D28" sqref="D28"/>
    </sheetView>
  </sheetViews>
  <sheetFormatPr baseColWidth="10" defaultColWidth="8.83203125" defaultRowHeight="15" x14ac:dyDescent="0.2"/>
  <cols>
    <col min="2" max="2" width="25.83203125" customWidth="1"/>
    <col min="3" max="3" width="19.5" customWidth="1"/>
    <col min="4" max="4" width="12.5" customWidth="1"/>
    <col min="5" max="5" width="17.33203125" customWidth="1"/>
    <col min="6" max="7" width="17" customWidth="1"/>
    <col min="8" max="8" width="16.33203125" customWidth="1"/>
  </cols>
  <sheetData>
    <row r="2" spans="2:8" ht="16" thickBot="1" x14ac:dyDescent="0.25"/>
    <row r="3" spans="2:8" ht="17" thickBot="1" x14ac:dyDescent="0.25">
      <c r="B3" s="138" t="s">
        <v>759</v>
      </c>
      <c r="C3" s="139"/>
      <c r="D3" s="139"/>
      <c r="E3" s="139"/>
      <c r="F3" s="139"/>
      <c r="G3" s="139"/>
      <c r="H3" s="140"/>
    </row>
    <row r="4" spans="2:8" ht="52" thickBot="1" x14ac:dyDescent="0.25">
      <c r="B4" s="20"/>
      <c r="C4" s="1" t="s">
        <v>484</v>
      </c>
      <c r="D4" s="1" t="s">
        <v>485</v>
      </c>
      <c r="E4" s="14" t="s">
        <v>571</v>
      </c>
      <c r="F4" s="1" t="s">
        <v>486</v>
      </c>
      <c r="G4" s="1" t="s">
        <v>572</v>
      </c>
      <c r="H4" s="1" t="s">
        <v>487</v>
      </c>
    </row>
    <row r="5" spans="2:8" ht="18" thickBot="1" x14ac:dyDescent="0.25">
      <c r="B5" s="21" t="s">
        <v>230</v>
      </c>
      <c r="C5" s="2">
        <v>1652.185614</v>
      </c>
      <c r="D5" s="15">
        <v>20.073858138329992</v>
      </c>
      <c r="E5" s="2">
        <v>30310.741852160001</v>
      </c>
      <c r="F5" s="15">
        <v>25.244656787123827</v>
      </c>
      <c r="G5" s="2">
        <v>18345.845403396666</v>
      </c>
      <c r="H5" s="15">
        <v>125.75886814164772</v>
      </c>
    </row>
    <row r="6" spans="2:8" ht="18" thickBot="1" x14ac:dyDescent="0.25">
      <c r="B6" s="21" t="s">
        <v>226</v>
      </c>
      <c r="C6" s="2">
        <v>555.98501699999997</v>
      </c>
      <c r="D6" s="15">
        <v>6.7551516389701387</v>
      </c>
      <c r="E6" s="2">
        <v>20201.059437568001</v>
      </c>
      <c r="F6" s="15">
        <v>16.824689238061374</v>
      </c>
      <c r="G6" s="2">
        <v>36333.819833076544</v>
      </c>
      <c r="H6" s="15">
        <v>249.0645678625564</v>
      </c>
    </row>
    <row r="7" spans="2:8" ht="18" thickBot="1" x14ac:dyDescent="0.25">
      <c r="B7" s="21" t="s">
        <v>229</v>
      </c>
      <c r="C7" s="2">
        <v>666.73669299999995</v>
      </c>
      <c r="D7" s="15">
        <v>8.1007712919725705</v>
      </c>
      <c r="E7" s="2">
        <v>8669.1455288159996</v>
      </c>
      <c r="F7" s="15">
        <v>7.2201995114478983</v>
      </c>
      <c r="G7" s="2">
        <v>13002.35253261515</v>
      </c>
      <c r="H7" s="15">
        <v>89.129778526184666</v>
      </c>
    </row>
    <row r="8" spans="2:8" ht="18" thickBot="1" x14ac:dyDescent="0.25">
      <c r="B8" s="21" t="s">
        <v>231</v>
      </c>
      <c r="C8" s="2">
        <v>612.22661800000003</v>
      </c>
      <c r="D8" s="15">
        <v>7.4384803826536299</v>
      </c>
      <c r="E8" s="2">
        <v>9423.3005813759992</v>
      </c>
      <c r="F8" s="15">
        <v>7.8483063904880703</v>
      </c>
      <c r="G8" s="2">
        <v>15391.850508165915</v>
      </c>
      <c r="H8" s="15">
        <v>105.50953940525467</v>
      </c>
    </row>
    <row r="9" spans="2:8" ht="18" thickBot="1" x14ac:dyDescent="0.25">
      <c r="B9" s="21" t="s">
        <v>227</v>
      </c>
      <c r="C9" s="2">
        <v>433.84501899999998</v>
      </c>
      <c r="D9" s="15">
        <v>5.2711652320603468</v>
      </c>
      <c r="E9" s="2">
        <v>20396.535609375998</v>
      </c>
      <c r="F9" s="15">
        <v>16.987493859981313</v>
      </c>
      <c r="G9" s="2">
        <v>47013.414274962553</v>
      </c>
      <c r="H9" s="15">
        <v>322.27208050052701</v>
      </c>
    </row>
    <row r="10" spans="2:8" ht="18" thickBot="1" x14ac:dyDescent="0.25">
      <c r="B10" s="21" t="s">
        <v>233</v>
      </c>
      <c r="C10" s="2">
        <v>292.729918</v>
      </c>
      <c r="D10" s="15">
        <v>3.5566335870401602</v>
      </c>
      <c r="E10" s="2">
        <v>5964.8477102079996</v>
      </c>
      <c r="F10" s="15">
        <v>4.9678933615718064</v>
      </c>
      <c r="G10" s="2">
        <v>20376.62481157119</v>
      </c>
      <c r="H10" s="15">
        <v>139.67965043332171</v>
      </c>
    </row>
    <row r="11" spans="2:8" ht="18" thickBot="1" x14ac:dyDescent="0.25">
      <c r="B11" s="21" t="s">
        <v>228</v>
      </c>
      <c r="C11" s="2">
        <v>2692.8217340000001</v>
      </c>
      <c r="D11" s="15">
        <v>32.717462869839366</v>
      </c>
      <c r="E11" s="2">
        <v>20456.393640959999</v>
      </c>
      <c r="F11" s="15">
        <v>17.037347323504612</v>
      </c>
      <c r="G11" s="2">
        <v>7596.6386421627121</v>
      </c>
      <c r="H11" s="15">
        <v>52.074170271957463</v>
      </c>
    </row>
    <row r="12" spans="2:8" ht="18" thickBot="1" x14ac:dyDescent="0.25">
      <c r="B12" s="21" t="s">
        <v>232</v>
      </c>
      <c r="C12" s="2">
        <v>1324.0028629999999</v>
      </c>
      <c r="D12" s="15">
        <v>16.086476859133793</v>
      </c>
      <c r="E12" s="2">
        <v>4645.92921088</v>
      </c>
      <c r="F12" s="15">
        <v>3.8694166232549905</v>
      </c>
      <c r="G12" s="2">
        <v>3509.002390185919</v>
      </c>
      <c r="H12" s="15">
        <v>24.053847571091751</v>
      </c>
    </row>
    <row r="13" spans="2:8" ht="18" thickBot="1" x14ac:dyDescent="0.25">
      <c r="B13" s="22" t="s">
        <v>450</v>
      </c>
      <c r="C13" s="17">
        <v>8230.5334760000005</v>
      </c>
      <c r="D13" s="18">
        <v>100</v>
      </c>
      <c r="E13" s="17">
        <v>120067.94985472001</v>
      </c>
      <c r="F13" s="18">
        <v>100</v>
      </c>
      <c r="G13" s="17">
        <v>14588.112690973763</v>
      </c>
      <c r="H13" s="18">
        <v>100.00000000000003</v>
      </c>
    </row>
  </sheetData>
  <mergeCells count="1">
    <mergeCell ref="B3:H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3"/>
  <sheetViews>
    <sheetView topLeftCell="B1" workbookViewId="0">
      <selection activeCell="D28" sqref="D28"/>
    </sheetView>
  </sheetViews>
  <sheetFormatPr baseColWidth="10" defaultColWidth="8.83203125" defaultRowHeight="15" x14ac:dyDescent="0.2"/>
  <cols>
    <col min="2" max="2" width="27.5" customWidth="1"/>
    <col min="3" max="3" width="16.6640625" customWidth="1"/>
    <col min="4" max="4" width="17.33203125" customWidth="1"/>
    <col min="5" max="5" width="16.6640625" customWidth="1"/>
    <col min="6" max="6" width="17.5" customWidth="1"/>
    <col min="7" max="7" width="16.5" customWidth="1"/>
    <col min="8" max="8" width="15.6640625" customWidth="1"/>
    <col min="9" max="9" width="16.1640625" customWidth="1"/>
    <col min="10" max="10" width="17" customWidth="1"/>
  </cols>
  <sheetData>
    <row r="1" spans="2:10" ht="16" thickBot="1" x14ac:dyDescent="0.25"/>
    <row r="2" spans="2:10" ht="17" thickBot="1" x14ac:dyDescent="0.25">
      <c r="B2" s="219" t="s">
        <v>749</v>
      </c>
      <c r="C2" s="220"/>
      <c r="D2" s="220"/>
      <c r="E2" s="220"/>
      <c r="F2" s="220"/>
      <c r="G2" s="220"/>
      <c r="H2" s="220"/>
      <c r="I2" s="220"/>
      <c r="J2" s="221"/>
    </row>
    <row r="3" spans="2:10" ht="17" thickBot="1" x14ac:dyDescent="0.25">
      <c r="B3" s="20"/>
      <c r="C3" s="153" t="s">
        <v>567</v>
      </c>
      <c r="D3" s="154"/>
      <c r="E3" s="153" t="s">
        <v>568</v>
      </c>
      <c r="F3" s="154"/>
      <c r="G3" s="153" t="s">
        <v>569</v>
      </c>
      <c r="H3" s="154"/>
      <c r="I3" s="153" t="s">
        <v>570</v>
      </c>
      <c r="J3" s="154"/>
    </row>
    <row r="4" spans="2:10" ht="52" thickBot="1" x14ac:dyDescent="0.25">
      <c r="B4" s="20"/>
      <c r="C4" s="1" t="s">
        <v>489</v>
      </c>
      <c r="D4" s="1" t="s">
        <v>490</v>
      </c>
      <c r="E4" s="1" t="s">
        <v>489</v>
      </c>
      <c r="F4" s="1" t="s">
        <v>490</v>
      </c>
      <c r="G4" s="1" t="s">
        <v>489</v>
      </c>
      <c r="H4" s="1" t="s">
        <v>490</v>
      </c>
      <c r="I4" s="1" t="s">
        <v>489</v>
      </c>
      <c r="J4" s="1" t="s">
        <v>490</v>
      </c>
    </row>
    <row r="5" spans="2:10" ht="18" thickBot="1" x14ac:dyDescent="0.25">
      <c r="B5" s="21" t="s">
        <v>230</v>
      </c>
      <c r="C5" s="2">
        <v>18345.845403396666</v>
      </c>
      <c r="D5" s="16">
        <v>125.75886814164767</v>
      </c>
      <c r="E5" s="2">
        <v>11435.529947336776</v>
      </c>
      <c r="F5" s="16">
        <v>109.42948594773345</v>
      </c>
      <c r="G5" s="16">
        <v>27058.575545485895</v>
      </c>
      <c r="H5" s="23">
        <v>125.75886589338099</v>
      </c>
      <c r="I5" s="2">
        <v>13478.332534983567</v>
      </c>
      <c r="J5" s="15">
        <v>109.42948460984955</v>
      </c>
    </row>
    <row r="6" spans="2:10" ht="18" thickBot="1" x14ac:dyDescent="0.25">
      <c r="B6" s="21" t="s">
        <v>226</v>
      </c>
      <c r="C6" s="2">
        <v>36333.819833076544</v>
      </c>
      <c r="D6" s="16">
        <v>249.06456786255634</v>
      </c>
      <c r="E6" s="2">
        <v>35941.442015139772</v>
      </c>
      <c r="F6" s="16">
        <v>343.93277286226549</v>
      </c>
      <c r="G6" s="16">
        <v>53589.319802724109</v>
      </c>
      <c r="H6" s="23">
        <v>249.06455519283944</v>
      </c>
      <c r="I6" s="2">
        <v>42361.894788456142</v>
      </c>
      <c r="J6" s="15">
        <v>343.93277519792844</v>
      </c>
    </row>
    <row r="7" spans="2:10" ht="18" thickBot="1" x14ac:dyDescent="0.25">
      <c r="B7" s="21" t="s">
        <v>229</v>
      </c>
      <c r="C7" s="2">
        <v>13002.35253261515</v>
      </c>
      <c r="D7" s="16">
        <v>89.129778526184651</v>
      </c>
      <c r="E7" s="2">
        <v>8189.9751026902013</v>
      </c>
      <c r="F7" s="16">
        <v>78.371948614488673</v>
      </c>
      <c r="G7" s="16">
        <v>19177.373348132198</v>
      </c>
      <c r="H7" s="23">
        <v>89.129773997929348</v>
      </c>
      <c r="I7" s="2">
        <v>9653.0032010702616</v>
      </c>
      <c r="J7" s="15">
        <v>78.371947159533008</v>
      </c>
    </row>
    <row r="8" spans="2:10" ht="18" thickBot="1" x14ac:dyDescent="0.25">
      <c r="B8" s="21" t="s">
        <v>231</v>
      </c>
      <c r="C8" s="2">
        <v>15391.850508165915</v>
      </c>
      <c r="D8" s="16">
        <v>105.50953940525463</v>
      </c>
      <c r="E8" s="2">
        <v>8084.7489010286708</v>
      </c>
      <c r="F8" s="16">
        <v>77.365012406977314</v>
      </c>
      <c r="G8" s="16">
        <v>22701.681585546481</v>
      </c>
      <c r="H8" s="23">
        <v>105.50953524038178</v>
      </c>
      <c r="I8" s="2">
        <v>9528.9801627801808</v>
      </c>
      <c r="J8" s="15">
        <v>77.365014208101144</v>
      </c>
    </row>
    <row r="9" spans="2:10" ht="18" thickBot="1" x14ac:dyDescent="0.25">
      <c r="B9" s="21" t="s">
        <v>227</v>
      </c>
      <c r="C9" s="2">
        <v>47013.414274962553</v>
      </c>
      <c r="D9" s="16">
        <v>322.27208050052695</v>
      </c>
      <c r="E9" s="2">
        <v>57715.026609813402</v>
      </c>
      <c r="F9" s="16">
        <v>552.28972530848989</v>
      </c>
      <c r="G9" s="16">
        <v>69340.819429327137</v>
      </c>
      <c r="H9" s="23">
        <v>322.27205740712645</v>
      </c>
      <c r="I9" s="2">
        <v>68025.032232148325</v>
      </c>
      <c r="J9" s="15">
        <v>552.28969892316661</v>
      </c>
    </row>
    <row r="10" spans="2:10" ht="18" thickBot="1" x14ac:dyDescent="0.25">
      <c r="B10" s="21" t="s">
        <v>233</v>
      </c>
      <c r="C10" s="2">
        <v>20376.62481157119</v>
      </c>
      <c r="D10" s="16">
        <v>139.67965043332168</v>
      </c>
      <c r="E10" s="2">
        <v>9172.1777305454652</v>
      </c>
      <c r="F10" s="16">
        <v>87.770894632530101</v>
      </c>
      <c r="G10" s="16">
        <v>30053.802379188313</v>
      </c>
      <c r="H10" s="23">
        <v>139.67964043920435</v>
      </c>
      <c r="I10" s="2">
        <v>10810.66353976159</v>
      </c>
      <c r="J10" s="15">
        <v>87.770897206762314</v>
      </c>
    </row>
    <row r="11" spans="2:10" ht="18" thickBot="1" x14ac:dyDescent="0.25">
      <c r="B11" s="21" t="s">
        <v>228</v>
      </c>
      <c r="C11" s="2">
        <v>7596.6386421627121</v>
      </c>
      <c r="D11" s="16">
        <v>52.074170271957456</v>
      </c>
      <c r="E11" s="2">
        <v>2581.0308519085952</v>
      </c>
      <c r="F11" s="16">
        <v>24.698538733255283</v>
      </c>
      <c r="G11" s="16">
        <v>11204.401291963131</v>
      </c>
      <c r="H11" s="23">
        <v>52.074167656127202</v>
      </c>
      <c r="I11" s="2">
        <v>3042.0970182023939</v>
      </c>
      <c r="J11" s="15">
        <v>24.698538040295794</v>
      </c>
    </row>
    <row r="12" spans="2:10" ht="18" thickBot="1" x14ac:dyDescent="0.25">
      <c r="B12" s="21" t="s">
        <v>232</v>
      </c>
      <c r="C12" s="2">
        <v>3509.002390185919</v>
      </c>
      <c r="D12" s="16">
        <v>24.053847571091744</v>
      </c>
      <c r="E12" s="2">
        <v>1547.4416273675383</v>
      </c>
      <c r="F12" s="16">
        <v>14.807861340644774</v>
      </c>
      <c r="G12" s="16">
        <v>5175.4827491970464</v>
      </c>
      <c r="H12" s="23">
        <v>24.05384717668036</v>
      </c>
      <c r="I12" s="2">
        <v>1823.8711405082513</v>
      </c>
      <c r="J12" s="15">
        <v>14.807861312411209</v>
      </c>
    </row>
    <row r="13" spans="2:10" ht="18" thickBot="1" x14ac:dyDescent="0.25">
      <c r="B13" s="22" t="s">
        <v>450</v>
      </c>
      <c r="C13" s="17">
        <v>14588.112690973763</v>
      </c>
      <c r="D13" s="19">
        <v>100</v>
      </c>
      <c r="E13" s="17">
        <v>10450.135855338571</v>
      </c>
      <c r="F13" s="19">
        <v>100</v>
      </c>
      <c r="G13" s="19">
        <v>21516.236929511033</v>
      </c>
      <c r="H13" s="24">
        <v>100</v>
      </c>
      <c r="I13" s="17">
        <v>12316.911281304167</v>
      </c>
      <c r="J13" s="18">
        <v>100</v>
      </c>
    </row>
  </sheetData>
  <mergeCells count="5">
    <mergeCell ref="B2:J2"/>
    <mergeCell ref="C3:D3"/>
    <mergeCell ref="E3:F3"/>
    <mergeCell ref="G3:H3"/>
    <mergeCell ref="I3:J3"/>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G13"/>
  <sheetViews>
    <sheetView workbookViewId="0">
      <selection activeCell="D28" sqref="D28"/>
    </sheetView>
  </sheetViews>
  <sheetFormatPr baseColWidth="10" defaultColWidth="8.83203125" defaultRowHeight="15" x14ac:dyDescent="0.2"/>
  <cols>
    <col min="2" max="2" width="25.33203125" customWidth="1"/>
    <col min="3" max="3" width="20.5" customWidth="1"/>
    <col min="4" max="4" width="18.83203125" customWidth="1"/>
    <col min="5" max="5" width="21.1640625" customWidth="1"/>
    <col min="6" max="6" width="19" customWidth="1"/>
    <col min="7" max="7" width="20.6640625" customWidth="1"/>
  </cols>
  <sheetData>
    <row r="2" spans="2:7" ht="16" thickBot="1" x14ac:dyDescent="0.25"/>
    <row r="3" spans="2:7" ht="17" thickBot="1" x14ac:dyDescent="0.25">
      <c r="B3" s="138" t="s">
        <v>654</v>
      </c>
      <c r="C3" s="139"/>
      <c r="D3" s="139"/>
      <c r="E3" s="139"/>
      <c r="F3" s="139"/>
      <c r="G3" s="140"/>
    </row>
    <row r="4" spans="2:7" ht="69" thickBot="1" x14ac:dyDescent="0.25">
      <c r="B4" s="20"/>
      <c r="C4" s="1" t="s">
        <v>497</v>
      </c>
      <c r="D4" s="1" t="s">
        <v>498</v>
      </c>
      <c r="E4" s="1" t="s">
        <v>499</v>
      </c>
      <c r="F4" s="1" t="s">
        <v>500</v>
      </c>
      <c r="G4" s="1" t="s">
        <v>501</v>
      </c>
    </row>
    <row r="5" spans="2:7" ht="18" thickBot="1" x14ac:dyDescent="0.25">
      <c r="B5" s="25" t="s">
        <v>230</v>
      </c>
      <c r="C5" s="2">
        <v>20173.19140625</v>
      </c>
      <c r="D5" s="16">
        <v>80.836117111117602</v>
      </c>
      <c r="E5" s="2">
        <v>22226.48046875</v>
      </c>
      <c r="F5" s="16">
        <v>89.435372291829168</v>
      </c>
      <c r="G5" s="34">
        <v>0.9076196942027378</v>
      </c>
    </row>
    <row r="6" spans="2:7" ht="18" thickBot="1" x14ac:dyDescent="0.25">
      <c r="B6" s="25" t="s">
        <v>226</v>
      </c>
      <c r="C6" s="2">
        <v>51773.453125</v>
      </c>
      <c r="D6" s="16">
        <v>207.46171668022848</v>
      </c>
      <c r="E6" s="2">
        <v>49076.046875</v>
      </c>
      <c r="F6" s="16">
        <v>197.47321349630332</v>
      </c>
      <c r="G6" s="34">
        <v>1.0549638045800729</v>
      </c>
    </row>
    <row r="7" spans="2:7" ht="18" thickBot="1" x14ac:dyDescent="0.25">
      <c r="B7" s="25" t="s">
        <v>229</v>
      </c>
      <c r="C7" s="2">
        <v>53226.16796875</v>
      </c>
      <c r="D7" s="16">
        <v>213.28289910365265</v>
      </c>
      <c r="E7" s="2">
        <v>47374.66015625</v>
      </c>
      <c r="F7" s="16">
        <v>190.6271383915327</v>
      </c>
      <c r="G7" s="34">
        <v>1.1235155628177742</v>
      </c>
    </row>
    <row r="8" spans="2:7" ht="18" thickBot="1" x14ac:dyDescent="0.25">
      <c r="B8" s="25" t="s">
        <v>231</v>
      </c>
      <c r="C8" s="2">
        <v>54142.47265625</v>
      </c>
      <c r="D8" s="16">
        <v>216.95462915055379</v>
      </c>
      <c r="E8" s="2">
        <v>58300.84765625</v>
      </c>
      <c r="F8" s="16">
        <v>234.59215787209041</v>
      </c>
      <c r="G8" s="34">
        <v>0.92867385008673697</v>
      </c>
    </row>
    <row r="9" spans="2:7" ht="18" thickBot="1" x14ac:dyDescent="0.25">
      <c r="B9" s="25" t="s">
        <v>227</v>
      </c>
      <c r="C9" s="2">
        <v>64741.171875</v>
      </c>
      <c r="D9" s="16">
        <v>259.42474079619785</v>
      </c>
      <c r="E9" s="2">
        <v>64410.828125</v>
      </c>
      <c r="F9" s="16">
        <v>259.17762378455274</v>
      </c>
      <c r="G9" s="34">
        <v>1.0051286990032005</v>
      </c>
    </row>
    <row r="10" spans="2:7" ht="18" thickBot="1" x14ac:dyDescent="0.25">
      <c r="B10" s="25" t="s">
        <v>233</v>
      </c>
      <c r="C10" s="2">
        <v>35201.671875</v>
      </c>
      <c r="D10" s="16">
        <v>141.05683195535585</v>
      </c>
      <c r="E10" s="2">
        <v>28604.591796875</v>
      </c>
      <c r="F10" s="16">
        <v>115.0997487076816</v>
      </c>
      <c r="G10" s="34">
        <v>1.2306301073957546</v>
      </c>
    </row>
    <row r="11" spans="2:7" ht="18" thickBot="1" x14ac:dyDescent="0.25">
      <c r="B11" s="25" t="s">
        <v>228</v>
      </c>
      <c r="C11" s="2">
        <v>9398.1220703125</v>
      </c>
      <c r="D11" s="16">
        <v>37.65927170378157</v>
      </c>
      <c r="E11" s="2">
        <v>9697.75</v>
      </c>
      <c r="F11" s="16">
        <v>39.022007234232341</v>
      </c>
      <c r="G11" s="34">
        <v>0.96910335596530128</v>
      </c>
    </row>
    <row r="12" spans="2:7" ht="18" thickBot="1" x14ac:dyDescent="0.25">
      <c r="B12" s="25" t="s">
        <v>232</v>
      </c>
      <c r="C12" s="2">
        <v>7088.84130859375</v>
      </c>
      <c r="D12" s="16">
        <v>28.405738817611009</v>
      </c>
      <c r="E12" s="2">
        <v>7057.236328125</v>
      </c>
      <c r="F12" s="16">
        <v>28.397053651597641</v>
      </c>
      <c r="G12" s="34">
        <v>1.004478379212383</v>
      </c>
    </row>
    <row r="13" spans="2:7" ht="18" thickBot="1" x14ac:dyDescent="0.25">
      <c r="B13" s="27" t="s">
        <v>450</v>
      </c>
      <c r="C13" s="17">
        <v>24955.666015625</v>
      </c>
      <c r="D13" s="19">
        <v>100</v>
      </c>
      <c r="E13" s="17">
        <v>24852.001953125</v>
      </c>
      <c r="F13" s="19">
        <v>100</v>
      </c>
      <c r="G13" s="35">
        <v>1.004171256009698</v>
      </c>
    </row>
  </sheetData>
  <mergeCells count="1">
    <mergeCell ref="B3:G3"/>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M13"/>
  <sheetViews>
    <sheetView workbookViewId="0">
      <selection activeCell="D28" sqref="D28"/>
    </sheetView>
  </sheetViews>
  <sheetFormatPr baseColWidth="10" defaultColWidth="8.83203125" defaultRowHeight="15" x14ac:dyDescent="0.2"/>
  <cols>
    <col min="2" max="2" width="27.6640625" customWidth="1"/>
    <col min="3" max="3" width="15.83203125" customWidth="1"/>
    <col min="4" max="4" width="18.83203125" customWidth="1"/>
    <col min="5" max="5" width="15.6640625" customWidth="1"/>
    <col min="6" max="7" width="16" customWidth="1"/>
    <col min="8" max="8" width="16.5" customWidth="1"/>
    <col min="9" max="9" width="17.1640625" customWidth="1"/>
    <col min="10" max="10" width="15.6640625" customWidth="1"/>
    <col min="11" max="11" width="16.1640625" customWidth="1"/>
    <col min="12" max="12" width="15.83203125" customWidth="1"/>
  </cols>
  <sheetData>
    <row r="2" spans="2:13" ht="16" thickBot="1" x14ac:dyDescent="0.25"/>
    <row r="3" spans="2:13" ht="17" thickBot="1" x14ac:dyDescent="0.25">
      <c r="B3" s="138" t="s">
        <v>682</v>
      </c>
      <c r="C3" s="139"/>
      <c r="D3" s="139"/>
      <c r="E3" s="139"/>
      <c r="F3" s="139"/>
      <c r="G3" s="139"/>
      <c r="H3" s="139"/>
      <c r="I3" s="139"/>
      <c r="J3" s="139"/>
      <c r="K3" s="139"/>
      <c r="L3" s="140"/>
      <c r="M3" s="30"/>
    </row>
    <row r="4" spans="2:13" ht="52" thickBot="1" x14ac:dyDescent="0.25">
      <c r="B4" s="20"/>
      <c r="C4" s="1" t="s">
        <v>553</v>
      </c>
      <c r="D4" s="1" t="s">
        <v>555</v>
      </c>
      <c r="E4" s="1" t="s">
        <v>598</v>
      </c>
      <c r="F4" s="1" t="s">
        <v>599</v>
      </c>
      <c r="G4" s="1" t="s">
        <v>554</v>
      </c>
      <c r="H4" s="14" t="s">
        <v>549</v>
      </c>
      <c r="I4" s="14" t="s">
        <v>655</v>
      </c>
      <c r="J4" s="14" t="s">
        <v>502</v>
      </c>
      <c r="K4" s="14" t="s">
        <v>550</v>
      </c>
      <c r="L4" s="14" t="s">
        <v>600</v>
      </c>
    </row>
    <row r="5" spans="2:13" ht="18" thickBot="1" x14ac:dyDescent="0.25">
      <c r="B5" s="21" t="s">
        <v>230</v>
      </c>
      <c r="C5" s="2">
        <v>756.8795166015625</v>
      </c>
      <c r="D5" s="2">
        <v>3203.6240234375</v>
      </c>
      <c r="E5" s="2">
        <v>5852.9658203125</v>
      </c>
      <c r="F5" s="2">
        <v>14669.65625</v>
      </c>
      <c r="G5" s="2">
        <v>18345.845703125</v>
      </c>
      <c r="H5" s="28">
        <v>1.4269537925720215</v>
      </c>
      <c r="I5" s="28">
        <v>3.9542231559753418</v>
      </c>
      <c r="J5" s="28">
        <v>3.0591890811920166</v>
      </c>
      <c r="K5" s="28">
        <v>4.6758437156677246</v>
      </c>
      <c r="L5" s="28">
        <v>4.5739617347717285</v>
      </c>
    </row>
    <row r="6" spans="2:13" ht="18" thickBot="1" x14ac:dyDescent="0.25">
      <c r="B6" s="21" t="s">
        <v>226</v>
      </c>
      <c r="C6" s="2">
        <v>1516.144775390625</v>
      </c>
      <c r="D6" s="2">
        <v>18521.828125</v>
      </c>
      <c r="E6" s="2">
        <v>26905.697265625</v>
      </c>
      <c r="F6" s="2">
        <v>31373.44140625</v>
      </c>
      <c r="G6" s="2">
        <v>36333.8203125</v>
      </c>
      <c r="H6" s="28">
        <v>1.421825647354126</v>
      </c>
      <c r="I6" s="28">
        <v>1.5085974931716919</v>
      </c>
      <c r="J6" s="28">
        <v>1.8844773769378662</v>
      </c>
      <c r="K6" s="28">
        <v>1.2088923454284668</v>
      </c>
      <c r="L6" s="28">
        <v>2.9792633056640625</v>
      </c>
    </row>
    <row r="7" spans="2:13" ht="18" thickBot="1" x14ac:dyDescent="0.25">
      <c r="B7" s="21" t="s">
        <v>229</v>
      </c>
      <c r="C7" s="2">
        <v>770.73651123046875</v>
      </c>
      <c r="D7" s="2">
        <v>9067.3466796875</v>
      </c>
      <c r="E7" s="2">
        <v>9728.6865234375</v>
      </c>
      <c r="F7" s="2">
        <v>11199.8955078125</v>
      </c>
      <c r="G7" s="2">
        <v>13002.3525390625</v>
      </c>
      <c r="H7" s="28">
        <v>1.2637133598327637</v>
      </c>
      <c r="I7" s="28">
        <v>0.8042178750038147</v>
      </c>
      <c r="J7" s="28">
        <v>0.35261595249176025</v>
      </c>
      <c r="K7" s="28">
        <v>1.1669622659683228</v>
      </c>
      <c r="L7" s="28">
        <v>3.0295007228851318</v>
      </c>
    </row>
    <row r="8" spans="2:13" ht="18" thickBot="1" x14ac:dyDescent="0.25">
      <c r="B8" s="21" t="s">
        <v>231</v>
      </c>
      <c r="C8" s="2">
        <v>696.9930419921875</v>
      </c>
      <c r="D8" s="2">
        <v>10019.8681640625</v>
      </c>
      <c r="E8" s="2">
        <v>9918.3544921875</v>
      </c>
      <c r="F8" s="2">
        <v>13260.6669921875</v>
      </c>
      <c r="G8" s="2">
        <v>15391.8505859375</v>
      </c>
      <c r="H8" s="28">
        <v>1.3849778175354004</v>
      </c>
      <c r="I8" s="28">
        <v>0.95849382877349854</v>
      </c>
      <c r="J8" s="28">
        <v>-5.0901554524898529E-2</v>
      </c>
      <c r="K8" s="28">
        <v>1.773344874382019</v>
      </c>
      <c r="L8" s="28">
        <v>3.0255858898162842</v>
      </c>
    </row>
    <row r="9" spans="2:13" ht="18" thickBot="1" x14ac:dyDescent="0.25">
      <c r="B9" s="21" t="s">
        <v>227</v>
      </c>
      <c r="C9" s="2">
        <v>1351.02490234375</v>
      </c>
      <c r="D9" s="2">
        <v>23183.150390625</v>
      </c>
      <c r="E9" s="2">
        <v>35849.44921875</v>
      </c>
      <c r="F9" s="2">
        <v>41591.25</v>
      </c>
      <c r="G9" s="2">
        <v>47013.4140625</v>
      </c>
      <c r="H9" s="28">
        <v>1.5900959968566895</v>
      </c>
      <c r="I9" s="28">
        <v>1.5835343599319458</v>
      </c>
      <c r="J9" s="28">
        <v>2.203437328338623</v>
      </c>
      <c r="K9" s="28">
        <v>1.0903201103210449</v>
      </c>
      <c r="L9" s="28">
        <v>2.4811434745788574</v>
      </c>
    </row>
    <row r="10" spans="2:13" ht="18" thickBot="1" x14ac:dyDescent="0.25">
      <c r="B10" s="21" t="s">
        <v>233</v>
      </c>
      <c r="C10" s="2">
        <v>749.38873291015625</v>
      </c>
      <c r="D10" s="2">
        <v>11946.080078125</v>
      </c>
      <c r="E10" s="2">
        <v>10243.37109375</v>
      </c>
      <c r="F10" s="2">
        <v>17544.98828125</v>
      </c>
      <c r="G10" s="2">
        <v>20376.625</v>
      </c>
      <c r="H10" s="28">
        <v>1.4787765741348267</v>
      </c>
      <c r="I10" s="28">
        <v>1.1937023401260376</v>
      </c>
      <c r="J10" s="28">
        <v>-0.76591354608535767</v>
      </c>
      <c r="K10" s="28">
        <v>2.7892205715179443</v>
      </c>
      <c r="L10" s="28">
        <v>3.0376236438751221</v>
      </c>
    </row>
    <row r="11" spans="2:13" ht="18" thickBot="1" x14ac:dyDescent="0.25">
      <c r="B11" s="21" t="s">
        <v>228</v>
      </c>
      <c r="C11" s="2">
        <v>833.7974853515625</v>
      </c>
      <c r="D11" s="2">
        <v>1616.8258056640625</v>
      </c>
      <c r="E11" s="2">
        <v>2820.215087890625</v>
      </c>
      <c r="F11" s="2">
        <v>5935.775390625</v>
      </c>
      <c r="G11" s="2">
        <v>7596.638671875</v>
      </c>
      <c r="H11" s="28">
        <v>0.98682427406311035</v>
      </c>
      <c r="I11" s="28">
        <v>3.4981067180633545</v>
      </c>
      <c r="J11" s="28">
        <v>2.8207933902740479</v>
      </c>
      <c r="K11" s="28">
        <v>4.0431685447692871</v>
      </c>
      <c r="L11" s="28">
        <v>5.0579214096069336</v>
      </c>
    </row>
    <row r="12" spans="2:13" ht="18" thickBot="1" x14ac:dyDescent="0.25">
      <c r="B12" s="21" t="s">
        <v>232</v>
      </c>
      <c r="C12" s="2">
        <v>505.86181640625</v>
      </c>
      <c r="D12" s="2">
        <v>2422.375</v>
      </c>
      <c r="E12" s="2">
        <v>2135.56103515625</v>
      </c>
      <c r="F12" s="2">
        <v>3225.89599609375</v>
      </c>
      <c r="G12" s="2">
        <v>3509.00244140625</v>
      </c>
      <c r="H12" s="28">
        <v>0.86452609300613403</v>
      </c>
      <c r="I12" s="28">
        <v>0.82691872119903564</v>
      </c>
      <c r="J12" s="28">
        <v>-0.62811458110809326</v>
      </c>
      <c r="K12" s="28">
        <v>2.006270170211792</v>
      </c>
      <c r="L12" s="28">
        <v>1.6966536045074463</v>
      </c>
    </row>
    <row r="13" spans="2:13" ht="18" thickBot="1" x14ac:dyDescent="0.25">
      <c r="B13" s="22" t="s">
        <v>450</v>
      </c>
      <c r="C13" s="17">
        <v>730.1724853515625</v>
      </c>
      <c r="D13" s="17">
        <v>7915.16943359375</v>
      </c>
      <c r="E13" s="17">
        <v>10036.2080078125</v>
      </c>
      <c r="F13" s="17">
        <v>12714.9208984375</v>
      </c>
      <c r="G13" s="17">
        <v>14588.1123046875</v>
      </c>
      <c r="H13" s="29">
        <v>1.3398663997650146</v>
      </c>
      <c r="I13" s="29">
        <v>1.3679968118667603</v>
      </c>
      <c r="J13" s="29">
        <v>1.1941653490066528</v>
      </c>
      <c r="K13" s="29">
        <v>1.5072770118713379</v>
      </c>
      <c r="L13" s="29">
        <v>2.7867393493652344</v>
      </c>
    </row>
  </sheetData>
  <mergeCells count="1">
    <mergeCell ref="B3:L3"/>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L13"/>
  <sheetViews>
    <sheetView workbookViewId="0">
      <selection activeCell="D28" sqref="D28"/>
    </sheetView>
  </sheetViews>
  <sheetFormatPr baseColWidth="10" defaultColWidth="8.83203125" defaultRowHeight="15" x14ac:dyDescent="0.2"/>
  <cols>
    <col min="2" max="2" width="27.1640625" customWidth="1"/>
    <col min="3" max="3" width="15.6640625" customWidth="1"/>
    <col min="4" max="4" width="16.6640625" customWidth="1"/>
    <col min="5" max="6" width="16.33203125" customWidth="1"/>
    <col min="7" max="7" width="17.1640625" customWidth="1"/>
    <col min="8" max="8" width="16" customWidth="1"/>
    <col min="9" max="9" width="14.83203125" customWidth="1"/>
    <col min="10" max="10" width="15.5" customWidth="1"/>
    <col min="11" max="11" width="16.6640625" customWidth="1"/>
  </cols>
  <sheetData>
    <row r="2" spans="2:12" ht="16" thickBot="1" x14ac:dyDescent="0.25"/>
    <row r="3" spans="2:12" ht="17" thickBot="1" x14ac:dyDescent="0.25">
      <c r="B3" s="138" t="s">
        <v>683</v>
      </c>
      <c r="C3" s="139"/>
      <c r="D3" s="139"/>
      <c r="E3" s="139"/>
      <c r="F3" s="139"/>
      <c r="G3" s="139"/>
      <c r="H3" s="139"/>
      <c r="I3" s="139"/>
      <c r="J3" s="139"/>
      <c r="K3" s="139"/>
      <c r="L3" s="140"/>
    </row>
    <row r="4" spans="2:12" ht="86" thickBot="1" x14ac:dyDescent="0.25">
      <c r="B4" s="76"/>
      <c r="C4" s="1" t="s">
        <v>556</v>
      </c>
      <c r="D4" s="1" t="s">
        <v>557</v>
      </c>
      <c r="E4" s="1" t="s">
        <v>601</v>
      </c>
      <c r="F4" s="1" t="s">
        <v>602</v>
      </c>
      <c r="G4" s="1" t="s">
        <v>558</v>
      </c>
      <c r="H4" s="14" t="s">
        <v>549</v>
      </c>
      <c r="I4" s="14" t="s">
        <v>655</v>
      </c>
      <c r="J4" s="14" t="s">
        <v>502</v>
      </c>
      <c r="K4" s="14" t="s">
        <v>550</v>
      </c>
      <c r="L4" s="14" t="s">
        <v>600</v>
      </c>
    </row>
    <row r="5" spans="2:12" ht="18" thickBot="1" x14ac:dyDescent="0.25">
      <c r="B5" s="1" t="s">
        <v>230</v>
      </c>
      <c r="C5" s="2">
        <v>1116.33349609375</v>
      </c>
      <c r="D5" s="2">
        <v>4725.07568359375</v>
      </c>
      <c r="E5" s="2">
        <v>8632.630859375</v>
      </c>
      <c r="F5" s="2">
        <v>21636.505859375</v>
      </c>
      <c r="G5" s="2">
        <v>27058.576171875</v>
      </c>
      <c r="H5" s="28">
        <v>1.4269537925720215</v>
      </c>
      <c r="I5" s="28">
        <v>3.9542231559753418</v>
      </c>
      <c r="J5" s="28">
        <v>3.0591888427734375</v>
      </c>
      <c r="K5" s="28">
        <v>4.6758441925048828</v>
      </c>
      <c r="L5" s="28">
        <v>4.5739622116088867</v>
      </c>
    </row>
    <row r="6" spans="2:12" ht="18" thickBot="1" x14ac:dyDescent="0.25">
      <c r="B6" s="1" t="s">
        <v>226</v>
      </c>
      <c r="C6" s="2">
        <v>2236.185791015625</v>
      </c>
      <c r="D6" s="2">
        <v>27318.1328125</v>
      </c>
      <c r="E6" s="2">
        <v>39683.63671875</v>
      </c>
      <c r="F6" s="2">
        <v>46273.1796875</v>
      </c>
      <c r="G6" s="2">
        <v>53589.3203125</v>
      </c>
      <c r="H6" s="28">
        <v>1.421825647354126</v>
      </c>
      <c r="I6" s="28">
        <v>1.5085974931716919</v>
      </c>
      <c r="J6" s="28">
        <v>1.8844772577285767</v>
      </c>
      <c r="K6" s="28">
        <v>1.2088923454284668</v>
      </c>
      <c r="L6" s="28">
        <v>2.9792635440826416</v>
      </c>
    </row>
    <row r="7" spans="2:12" ht="18" thickBot="1" x14ac:dyDescent="0.25">
      <c r="B7" s="1" t="s">
        <v>229</v>
      </c>
      <c r="C7" s="2">
        <v>1136.7713623046875</v>
      </c>
      <c r="D7" s="2">
        <v>13373.572265625</v>
      </c>
      <c r="E7" s="2">
        <v>14348.9921875</v>
      </c>
      <c r="F7" s="2">
        <v>16518.900390625</v>
      </c>
      <c r="G7" s="2">
        <v>19177.373046875</v>
      </c>
      <c r="H7" s="28">
        <v>1.2637133598327637</v>
      </c>
      <c r="I7" s="28">
        <v>0.8042178750038147</v>
      </c>
      <c r="J7" s="28">
        <v>0.35261595249176025</v>
      </c>
      <c r="K7" s="28">
        <v>1.1669621467590332</v>
      </c>
      <c r="L7" s="28">
        <v>3.0295016765594482</v>
      </c>
    </row>
    <row r="8" spans="2:12" ht="18" thickBot="1" x14ac:dyDescent="0.25">
      <c r="B8" s="1" t="s">
        <v>231</v>
      </c>
      <c r="C8" s="2">
        <v>1028.0059814453125</v>
      </c>
      <c r="D8" s="2">
        <v>14778.4609375</v>
      </c>
      <c r="E8" s="2">
        <v>14628.7373046875</v>
      </c>
      <c r="F8" s="2">
        <v>19558.365234375</v>
      </c>
      <c r="G8" s="2">
        <v>22701.681640625</v>
      </c>
      <c r="H8" s="28">
        <v>1.3849778175354004</v>
      </c>
      <c r="I8" s="28">
        <v>0.95849376916885376</v>
      </c>
      <c r="J8" s="28">
        <v>-5.0901547074317932E-2</v>
      </c>
      <c r="K8" s="28">
        <v>1.7733447551727295</v>
      </c>
      <c r="L8" s="28">
        <v>3.0255858898162842</v>
      </c>
    </row>
    <row r="9" spans="2:12" ht="18" thickBot="1" x14ac:dyDescent="0.25">
      <c r="B9" s="1" t="s">
        <v>227</v>
      </c>
      <c r="C9" s="2">
        <v>1992.6475830078125</v>
      </c>
      <c r="D9" s="2">
        <v>34193.19140625</v>
      </c>
      <c r="E9" s="2">
        <v>52874.91796875</v>
      </c>
      <c r="F9" s="2">
        <v>61343.58984375</v>
      </c>
      <c r="G9" s="2">
        <v>69340.8203125</v>
      </c>
      <c r="H9" s="28">
        <v>1.5900959968566895</v>
      </c>
      <c r="I9" s="28">
        <v>1.5835343599319458</v>
      </c>
      <c r="J9" s="28">
        <v>2.2034375667572021</v>
      </c>
      <c r="K9" s="28">
        <v>1.0903199911117554</v>
      </c>
      <c r="L9" s="28">
        <v>2.481142520904541</v>
      </c>
    </row>
    <row r="10" spans="2:12" ht="18" thickBot="1" x14ac:dyDescent="0.25">
      <c r="B10" s="1" t="s">
        <v>233</v>
      </c>
      <c r="C10" s="2">
        <v>1105.28515625</v>
      </c>
      <c r="D10" s="2">
        <v>17619.4609375</v>
      </c>
      <c r="E10" s="2">
        <v>15108.1083984375</v>
      </c>
      <c r="F10" s="2">
        <v>25877.37890625</v>
      </c>
      <c r="G10" s="2">
        <v>30053.802734375</v>
      </c>
      <c r="H10" s="28">
        <v>1.4787765741348267</v>
      </c>
      <c r="I10" s="28">
        <v>1.193702220916748</v>
      </c>
      <c r="J10" s="28">
        <v>-0.76591384410858154</v>
      </c>
      <c r="K10" s="28">
        <v>2.7892205715179443</v>
      </c>
      <c r="L10" s="28">
        <v>3.0376226902008057</v>
      </c>
    </row>
    <row r="11" spans="2:12" ht="18" thickBot="1" x14ac:dyDescent="0.25">
      <c r="B11" s="1" t="s">
        <v>228</v>
      </c>
      <c r="C11" s="2">
        <v>1229.781005859375</v>
      </c>
      <c r="D11" s="2">
        <v>2384.681640625</v>
      </c>
      <c r="E11" s="2">
        <v>4159.57958984375</v>
      </c>
      <c r="F11" s="2">
        <v>8754.7685546875</v>
      </c>
      <c r="G11" s="2">
        <v>11204.4013671875</v>
      </c>
      <c r="H11" s="28">
        <v>0.98682421445846558</v>
      </c>
      <c r="I11" s="28">
        <v>3.4981067180633545</v>
      </c>
      <c r="J11" s="28">
        <v>2.820793628692627</v>
      </c>
      <c r="K11" s="28">
        <v>4.0431680679321289</v>
      </c>
      <c r="L11" s="28">
        <v>5.0579204559326172</v>
      </c>
    </row>
    <row r="12" spans="2:12" ht="18" thickBot="1" x14ac:dyDescent="0.25">
      <c r="B12" s="1" t="s">
        <v>232</v>
      </c>
      <c r="C12" s="2">
        <v>746.10357666015625</v>
      </c>
      <c r="D12" s="2">
        <v>3572.798828125</v>
      </c>
      <c r="E12" s="2">
        <v>3149.7724609375</v>
      </c>
      <c r="F12" s="2">
        <v>4757.9248046875</v>
      </c>
      <c r="G12" s="2">
        <v>5175.48291015625</v>
      </c>
      <c r="H12" s="28">
        <v>0.86452609300613403</v>
      </c>
      <c r="I12" s="28">
        <v>0.82691878080368042</v>
      </c>
      <c r="J12" s="28">
        <v>-0.62811458110809326</v>
      </c>
      <c r="K12" s="28">
        <v>2.006270170211792</v>
      </c>
      <c r="L12" s="28">
        <v>1.6966533660888672</v>
      </c>
    </row>
    <row r="13" spans="2:12" ht="18" thickBot="1" x14ac:dyDescent="0.25">
      <c r="B13" s="74" t="s">
        <v>450</v>
      </c>
      <c r="C13" s="17">
        <v>1076.94287109375</v>
      </c>
      <c r="D13" s="17">
        <v>11674.2080078125</v>
      </c>
      <c r="E13" s="17">
        <v>14802.560546875</v>
      </c>
      <c r="F13" s="17">
        <v>18753.435546875</v>
      </c>
      <c r="G13" s="17">
        <v>21516.236328125</v>
      </c>
      <c r="H13" s="29">
        <v>1.3398663997650146</v>
      </c>
      <c r="I13" s="29">
        <v>1.3679968118667603</v>
      </c>
      <c r="J13" s="29">
        <v>1.1941649913787842</v>
      </c>
      <c r="K13" s="29">
        <v>1.5072771310806274</v>
      </c>
      <c r="L13" s="29">
        <v>2.7867400646209717</v>
      </c>
    </row>
  </sheetData>
  <mergeCells count="1">
    <mergeCell ref="B3:L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13"/>
  <sheetViews>
    <sheetView workbookViewId="0">
      <selection activeCell="D28" sqref="D28"/>
    </sheetView>
  </sheetViews>
  <sheetFormatPr baseColWidth="10" defaultColWidth="8.83203125" defaultRowHeight="15" x14ac:dyDescent="0.2"/>
  <cols>
    <col min="2" max="2" width="27.5" customWidth="1"/>
    <col min="3" max="3" width="16.6640625" customWidth="1"/>
    <col min="4" max="4" width="16.33203125" customWidth="1"/>
    <col min="5" max="5" width="16.5" customWidth="1"/>
    <col min="6" max="6" width="17.5" customWidth="1"/>
    <col min="7" max="7" width="18.1640625" customWidth="1"/>
    <col min="8" max="8" width="16.33203125" customWidth="1"/>
    <col min="9" max="9" width="15.1640625" customWidth="1"/>
    <col min="10" max="10" width="15.83203125" customWidth="1"/>
    <col min="11" max="11" width="17" customWidth="1"/>
  </cols>
  <sheetData>
    <row r="2" spans="2:12" ht="16" thickBot="1" x14ac:dyDescent="0.25"/>
    <row r="3" spans="2:12" ht="17" thickBot="1" x14ac:dyDescent="0.25">
      <c r="B3" s="138" t="s">
        <v>684</v>
      </c>
      <c r="C3" s="139"/>
      <c r="D3" s="139"/>
      <c r="E3" s="139"/>
      <c r="F3" s="139"/>
      <c r="G3" s="139"/>
      <c r="H3" s="139"/>
      <c r="I3" s="139"/>
      <c r="J3" s="139"/>
      <c r="K3" s="139"/>
      <c r="L3" s="140"/>
    </row>
    <row r="4" spans="2:12" ht="86" thickBot="1" x14ac:dyDescent="0.25">
      <c r="B4" s="20"/>
      <c r="C4" s="1" t="s">
        <v>603</v>
      </c>
      <c r="D4" s="1" t="s">
        <v>604</v>
      </c>
      <c r="E4" s="1" t="s">
        <v>605</v>
      </c>
      <c r="F4" s="1" t="s">
        <v>606</v>
      </c>
      <c r="G4" s="1" t="s">
        <v>607</v>
      </c>
      <c r="H4" s="14" t="s">
        <v>549</v>
      </c>
      <c r="I4" s="14" t="s">
        <v>655</v>
      </c>
      <c r="J4" s="14" t="s">
        <v>502</v>
      </c>
      <c r="K4" s="14" t="s">
        <v>550</v>
      </c>
      <c r="L4" s="14" t="s">
        <v>600</v>
      </c>
    </row>
    <row r="5" spans="2:12" ht="18" thickBot="1" x14ac:dyDescent="0.25">
      <c r="B5" s="25" t="s">
        <v>230</v>
      </c>
      <c r="C5" s="2">
        <v>461.95916748046875</v>
      </c>
      <c r="D5" s="2">
        <v>2053.466552734375</v>
      </c>
      <c r="E5" s="2">
        <v>3870.86181640625</v>
      </c>
      <c r="F5" s="2">
        <v>9194.408203125</v>
      </c>
      <c r="G5" s="2">
        <v>11435.5302734375</v>
      </c>
      <c r="H5" s="28">
        <v>1.4364430904388428</v>
      </c>
      <c r="I5" s="28">
        <v>3.8897347450256348</v>
      </c>
      <c r="J5" s="28">
        <v>3.2205102443695068</v>
      </c>
      <c r="K5" s="28">
        <v>4.4282369613647461</v>
      </c>
      <c r="L5" s="28">
        <v>4.4591531753540039</v>
      </c>
    </row>
    <row r="6" spans="2:12" ht="18" thickBot="1" x14ac:dyDescent="0.25">
      <c r="B6" s="25" t="s">
        <v>226</v>
      </c>
      <c r="C6" s="2">
        <v>1511.7633056640625</v>
      </c>
      <c r="D6" s="2">
        <v>18245.85546875</v>
      </c>
      <c r="E6" s="2">
        <v>26990.40234375</v>
      </c>
      <c r="F6" s="2">
        <v>31119.236328125</v>
      </c>
      <c r="G6" s="2">
        <v>35941.44140625</v>
      </c>
      <c r="H6" s="28">
        <v>1.4182358980178833</v>
      </c>
      <c r="I6" s="28">
        <v>1.5179681777954102</v>
      </c>
      <c r="J6" s="28">
        <v>1.9770056009292603</v>
      </c>
      <c r="K6" s="28">
        <v>1.1522263288497925</v>
      </c>
      <c r="L6" s="28">
        <v>2.9232075214385986</v>
      </c>
    </row>
    <row r="7" spans="2:12" ht="18" thickBot="1" x14ac:dyDescent="0.25">
      <c r="B7" s="25" t="s">
        <v>229</v>
      </c>
      <c r="C7" s="2">
        <v>509.26950073242188</v>
      </c>
      <c r="D7" s="2">
        <v>5863.76318359375</v>
      </c>
      <c r="E7" s="2">
        <v>6267.39892578125</v>
      </c>
      <c r="F7" s="2">
        <v>7080.09423828125</v>
      </c>
      <c r="G7" s="2">
        <v>8189.97509765625</v>
      </c>
      <c r="H7" s="28">
        <v>1.2421801090240479</v>
      </c>
      <c r="I7" s="28">
        <v>0.74525058269500732</v>
      </c>
      <c r="J7" s="28">
        <v>0.33340391516685486</v>
      </c>
      <c r="K7" s="28">
        <v>1.0759447813034058</v>
      </c>
      <c r="L7" s="28">
        <v>2.9553000926971436</v>
      </c>
    </row>
    <row r="8" spans="2:12" ht="18" thickBot="1" x14ac:dyDescent="0.25">
      <c r="B8" s="25" t="s">
        <v>231</v>
      </c>
      <c r="C8" s="2">
        <v>364.85006713867188</v>
      </c>
      <c r="D8" s="2">
        <v>5337.6904296875</v>
      </c>
      <c r="E8" s="2">
        <v>5180.88037109375</v>
      </c>
      <c r="F8" s="2">
        <v>6948.05859375</v>
      </c>
      <c r="G8" s="2">
        <v>8084.7490234375</v>
      </c>
      <c r="H8" s="28">
        <v>1.3865234851837158</v>
      </c>
      <c r="I8" s="28">
        <v>0.92690587043762207</v>
      </c>
      <c r="J8" s="28">
        <v>-0.14897924661636353</v>
      </c>
      <c r="K8" s="28">
        <v>1.795954704284668</v>
      </c>
      <c r="L8" s="28">
        <v>3.0767250061035156</v>
      </c>
    </row>
    <row r="9" spans="2:12" ht="18" thickBot="1" x14ac:dyDescent="0.25">
      <c r="B9" s="25" t="s">
        <v>227</v>
      </c>
      <c r="C9" s="2">
        <v>1650.888671875</v>
      </c>
      <c r="D9" s="2">
        <v>28446.798828125</v>
      </c>
      <c r="E9" s="2">
        <v>44061.11328125</v>
      </c>
      <c r="F9" s="2">
        <v>51057.94140625</v>
      </c>
      <c r="G9" s="2">
        <v>57715.02734375</v>
      </c>
      <c r="H9" s="28">
        <v>1.5921884775161743</v>
      </c>
      <c r="I9" s="28">
        <v>1.5846059322357178</v>
      </c>
      <c r="J9" s="28">
        <v>2.2118155956268311</v>
      </c>
      <c r="K9" s="28">
        <v>1.0856103897094727</v>
      </c>
      <c r="L9" s="28">
        <v>2.4814159870147705</v>
      </c>
    </row>
    <row r="10" spans="2:12" ht="18" thickBot="1" x14ac:dyDescent="0.25">
      <c r="B10" s="25" t="s">
        <v>233</v>
      </c>
      <c r="C10" s="2">
        <v>335.36236572265625</v>
      </c>
      <c r="D10" s="2">
        <v>5265.494140625</v>
      </c>
      <c r="E10" s="2">
        <v>4644.5849609375</v>
      </c>
      <c r="F10" s="2">
        <v>7884.38916015625</v>
      </c>
      <c r="G10" s="2">
        <v>9172.177734375</v>
      </c>
      <c r="H10" s="28">
        <v>1.4814071655273438</v>
      </c>
      <c r="I10" s="28">
        <v>1.2409697771072388</v>
      </c>
      <c r="J10" s="28">
        <v>-0.62540102005004883</v>
      </c>
      <c r="K10" s="28">
        <v>2.7592728137969971</v>
      </c>
      <c r="L10" s="28">
        <v>3.0720422267913818</v>
      </c>
    </row>
    <row r="11" spans="2:12" ht="18" thickBot="1" x14ac:dyDescent="0.25">
      <c r="B11" s="25" t="s">
        <v>228</v>
      </c>
      <c r="C11" s="2">
        <v>268.451171875</v>
      </c>
      <c r="D11" s="2">
        <v>561.2877197265625</v>
      </c>
      <c r="E11" s="2">
        <v>990.20025634765625</v>
      </c>
      <c r="F11" s="2">
        <v>2038.070068359375</v>
      </c>
      <c r="G11" s="2">
        <v>2581.03076171875</v>
      </c>
      <c r="H11" s="28">
        <v>1.0109761953353882</v>
      </c>
      <c r="I11" s="28">
        <v>3.4485993385314941</v>
      </c>
      <c r="J11" s="28">
        <v>2.879033088684082</v>
      </c>
      <c r="K11" s="28">
        <v>3.9065215587615967</v>
      </c>
      <c r="L11" s="28">
        <v>4.8370556831359863</v>
      </c>
    </row>
    <row r="12" spans="2:12" ht="18" thickBot="1" x14ac:dyDescent="0.25">
      <c r="B12" s="25" t="s">
        <v>232</v>
      </c>
      <c r="C12" s="2">
        <v>241.07955932617188</v>
      </c>
      <c r="D12" s="2">
        <v>1107.35595703125</v>
      </c>
      <c r="E12" s="2">
        <v>1175.5726318359375</v>
      </c>
      <c r="F12" s="2">
        <v>1484.6976318359375</v>
      </c>
      <c r="G12" s="2">
        <v>1547.441650390625</v>
      </c>
      <c r="H12" s="28">
        <v>0.82974851131439209</v>
      </c>
      <c r="I12" s="28">
        <v>0.74638915061950684</v>
      </c>
      <c r="J12" s="28">
        <v>0.29934847354888916</v>
      </c>
      <c r="K12" s="28">
        <v>1.1054558753967285</v>
      </c>
      <c r="L12" s="28">
        <v>0.83127367496490479</v>
      </c>
    </row>
    <row r="13" spans="2:12" ht="18" thickBot="1" x14ac:dyDescent="0.25">
      <c r="B13" s="27" t="s">
        <v>450</v>
      </c>
      <c r="C13" s="17">
        <v>523.05615234375</v>
      </c>
      <c r="D13" s="17">
        <v>5670.00048828125</v>
      </c>
      <c r="E13" s="17">
        <v>7189.39794921875</v>
      </c>
      <c r="F13" s="17">
        <v>9108.2822265625</v>
      </c>
      <c r="G13" s="17">
        <v>10450.1357421875</v>
      </c>
      <c r="H13" s="29">
        <v>1.3398663997650146</v>
      </c>
      <c r="I13" s="29">
        <v>1.3679966926574707</v>
      </c>
      <c r="J13" s="29">
        <v>1.1941652297973633</v>
      </c>
      <c r="K13" s="29">
        <v>1.5072767734527588</v>
      </c>
      <c r="L13" s="29">
        <v>2.7867393493652344</v>
      </c>
    </row>
  </sheetData>
  <mergeCells count="1">
    <mergeCell ref="B3:L3"/>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L13"/>
  <sheetViews>
    <sheetView workbookViewId="0">
      <selection activeCell="C3" sqref="C3:N3"/>
    </sheetView>
  </sheetViews>
  <sheetFormatPr baseColWidth="10" defaultColWidth="8.83203125" defaultRowHeight="15" x14ac:dyDescent="0.2"/>
  <cols>
    <col min="2" max="2" width="27.5" customWidth="1"/>
    <col min="3" max="3" width="17" customWidth="1"/>
    <col min="4" max="4" width="16.1640625" customWidth="1"/>
    <col min="5" max="5" width="16.6640625" customWidth="1"/>
    <col min="6" max="6" width="16.1640625" customWidth="1"/>
    <col min="7" max="7" width="15.83203125" customWidth="1"/>
    <col min="8" max="8" width="16.83203125" customWidth="1"/>
    <col min="9" max="9" width="16.5" customWidth="1"/>
    <col min="10" max="10" width="17.1640625" customWidth="1"/>
    <col min="11" max="11" width="16.1640625" customWidth="1"/>
    <col min="12" max="12" width="16.5" customWidth="1"/>
  </cols>
  <sheetData>
    <row r="2" spans="2:12" ht="16" thickBot="1" x14ac:dyDescent="0.25"/>
    <row r="3" spans="2:12" ht="17" thickBot="1" x14ac:dyDescent="0.25">
      <c r="B3" s="138" t="s">
        <v>685</v>
      </c>
      <c r="C3" s="139"/>
      <c r="D3" s="139"/>
      <c r="E3" s="139"/>
      <c r="F3" s="139"/>
      <c r="G3" s="139"/>
      <c r="H3" s="139"/>
      <c r="I3" s="139"/>
      <c r="J3" s="139"/>
      <c r="K3" s="139"/>
      <c r="L3" s="140"/>
    </row>
    <row r="4" spans="2:12" ht="52" thickBot="1" x14ac:dyDescent="0.25">
      <c r="B4" s="20"/>
      <c r="C4" s="1" t="s">
        <v>608</v>
      </c>
      <c r="D4" s="1" t="s">
        <v>609</v>
      </c>
      <c r="E4" s="1" t="s">
        <v>610</v>
      </c>
      <c r="F4" s="1" t="s">
        <v>611</v>
      </c>
      <c r="G4" s="1" t="s">
        <v>612</v>
      </c>
      <c r="H4" s="14" t="s">
        <v>549</v>
      </c>
      <c r="I4" s="14" t="s">
        <v>655</v>
      </c>
      <c r="J4" s="14" t="s">
        <v>502</v>
      </c>
      <c r="K4" s="14" t="s">
        <v>550</v>
      </c>
      <c r="L4" s="14" t="s">
        <v>600</v>
      </c>
    </row>
    <row r="5" spans="2:12" ht="18" thickBot="1" x14ac:dyDescent="0.25">
      <c r="B5" s="21" t="s">
        <v>230</v>
      </c>
      <c r="C5" s="2">
        <v>544.48193359375</v>
      </c>
      <c r="D5" s="2">
        <v>2420.29052734375</v>
      </c>
      <c r="E5" s="2">
        <v>4562.3388671875</v>
      </c>
      <c r="F5" s="2">
        <v>10836.865234375</v>
      </c>
      <c r="G5" s="2">
        <v>13478.3330078125</v>
      </c>
      <c r="H5" s="28">
        <v>1.4364430904388428</v>
      </c>
      <c r="I5" s="28">
        <v>3.8897347450256348</v>
      </c>
      <c r="J5" s="28">
        <v>3.2205102443695068</v>
      </c>
      <c r="K5" s="28">
        <v>4.4282369613647461</v>
      </c>
      <c r="L5" s="28">
        <v>4.4591531753540039</v>
      </c>
    </row>
    <row r="6" spans="2:12" ht="18" thickBot="1" x14ac:dyDescent="0.25">
      <c r="B6" s="21" t="s">
        <v>226</v>
      </c>
      <c r="C6" s="2">
        <v>1781.8194580078125</v>
      </c>
      <c r="D6" s="2">
        <v>21505.23046875</v>
      </c>
      <c r="E6" s="2">
        <v>31811.87109375</v>
      </c>
      <c r="F6" s="2">
        <v>36678.26953125</v>
      </c>
      <c r="G6" s="2">
        <v>42361.89453125</v>
      </c>
      <c r="H6" s="28">
        <v>1.4182358980178833</v>
      </c>
      <c r="I6" s="28">
        <v>1.5179681777954102</v>
      </c>
      <c r="J6" s="28">
        <v>1.9770054817199707</v>
      </c>
      <c r="K6" s="28">
        <v>1.152226448059082</v>
      </c>
      <c r="L6" s="28">
        <v>2.9232072830200195</v>
      </c>
    </row>
    <row r="7" spans="2:12" ht="18" thickBot="1" x14ac:dyDescent="0.25">
      <c r="B7" s="21" t="s">
        <v>229</v>
      </c>
      <c r="C7" s="2">
        <v>600.24359130859375</v>
      </c>
      <c r="D7" s="2">
        <v>6911.2451171875</v>
      </c>
      <c r="E7" s="2">
        <v>7386.9853515625</v>
      </c>
      <c r="F7" s="2">
        <v>8344.857421875</v>
      </c>
      <c r="G7" s="2">
        <v>9653.0029296875</v>
      </c>
      <c r="H7" s="28">
        <v>1.2421801090240479</v>
      </c>
      <c r="I7" s="28">
        <v>0.74525058269500732</v>
      </c>
      <c r="J7" s="28">
        <v>0.33340400457382202</v>
      </c>
      <c r="K7" s="28">
        <v>1.0759446620941162</v>
      </c>
      <c r="L7" s="28">
        <v>2.9552998542785645</v>
      </c>
    </row>
    <row r="8" spans="2:12" ht="18" thickBot="1" x14ac:dyDescent="0.25">
      <c r="B8" s="21" t="s">
        <v>231</v>
      </c>
      <c r="C8" s="2">
        <v>430.02560424804688</v>
      </c>
      <c r="D8" s="2">
        <v>6291.1962890625</v>
      </c>
      <c r="E8" s="2">
        <v>6106.37451171875</v>
      </c>
      <c r="F8" s="2">
        <v>8189.2353515625</v>
      </c>
      <c r="G8" s="2">
        <v>9528.98046875</v>
      </c>
      <c r="H8" s="28">
        <v>1.3865234851837158</v>
      </c>
      <c r="I8" s="28">
        <v>0.92690593004226685</v>
      </c>
      <c r="J8" s="28">
        <v>-0.14897923171520233</v>
      </c>
      <c r="K8" s="28">
        <v>1.795954704284668</v>
      </c>
      <c r="L8" s="28">
        <v>3.0767254829406738</v>
      </c>
    </row>
    <row r="9" spans="2:12" ht="18" thickBot="1" x14ac:dyDescent="0.25">
      <c r="B9" s="21" t="s">
        <v>227</v>
      </c>
      <c r="C9" s="2">
        <v>1945.7974853515625</v>
      </c>
      <c r="D9" s="2">
        <v>33528.43359375</v>
      </c>
      <c r="E9" s="2">
        <v>51932.03125</v>
      </c>
      <c r="F9" s="2">
        <v>60178.75390625</v>
      </c>
      <c r="G9" s="2">
        <v>68025.03125</v>
      </c>
      <c r="H9" s="28">
        <v>1.5921884775161743</v>
      </c>
      <c r="I9" s="28">
        <v>1.5846058130264282</v>
      </c>
      <c r="J9" s="28">
        <v>2.2118155956268311</v>
      </c>
      <c r="K9" s="28">
        <v>1.0856103897094727</v>
      </c>
      <c r="L9" s="28">
        <v>2.481414794921875</v>
      </c>
    </row>
    <row r="10" spans="2:12" ht="18" thickBot="1" x14ac:dyDescent="0.25">
      <c r="B10" s="21" t="s">
        <v>233</v>
      </c>
      <c r="C10" s="2">
        <v>395.27032470703125</v>
      </c>
      <c r="D10" s="2">
        <v>6206.103515625</v>
      </c>
      <c r="E10" s="2">
        <v>5474.27685546875</v>
      </c>
      <c r="F10" s="2">
        <v>9292.828125</v>
      </c>
      <c r="G10" s="2">
        <v>10810.6630859375</v>
      </c>
      <c r="H10" s="28">
        <v>1.4814071655273438</v>
      </c>
      <c r="I10" s="28">
        <v>1.2409697771072388</v>
      </c>
      <c r="J10" s="28">
        <v>-0.62540113925933838</v>
      </c>
      <c r="K10" s="28">
        <v>2.7592730522155762</v>
      </c>
      <c r="L10" s="28">
        <v>3.0720434188842773</v>
      </c>
    </row>
    <row r="11" spans="2:12" ht="18" thickBot="1" x14ac:dyDescent="0.25">
      <c r="B11" s="21" t="s">
        <v>228</v>
      </c>
      <c r="C11" s="2">
        <v>316.40631103515625</v>
      </c>
      <c r="D11" s="2">
        <v>661.55419921875</v>
      </c>
      <c r="E11" s="2">
        <v>1167.086181640625</v>
      </c>
      <c r="F11" s="2">
        <v>2402.143798828125</v>
      </c>
      <c r="G11" s="2">
        <v>3042.096923828125</v>
      </c>
      <c r="H11" s="28">
        <v>1.0109761953353882</v>
      </c>
      <c r="I11" s="28">
        <v>3.4485993385314941</v>
      </c>
      <c r="J11" s="28">
        <v>2.8790333271026611</v>
      </c>
      <c r="K11" s="28">
        <v>3.9065215587615967</v>
      </c>
      <c r="L11" s="28">
        <v>4.8370552062988281</v>
      </c>
    </row>
    <row r="12" spans="2:12" ht="18" thickBot="1" x14ac:dyDescent="0.25">
      <c r="B12" s="21" t="s">
        <v>232</v>
      </c>
      <c r="C12" s="2">
        <v>284.1451416015625</v>
      </c>
      <c r="D12" s="2">
        <v>1305.170166015625</v>
      </c>
      <c r="E12" s="2">
        <v>1385.5728759765625</v>
      </c>
      <c r="F12" s="2">
        <v>1749.918701171875</v>
      </c>
      <c r="G12" s="2">
        <v>1823.87109375</v>
      </c>
      <c r="H12" s="28">
        <v>0.82974851131439209</v>
      </c>
      <c r="I12" s="28">
        <v>0.74638915061950684</v>
      </c>
      <c r="J12" s="28">
        <v>0.29934847354888916</v>
      </c>
      <c r="K12" s="28">
        <v>1.1054558753967285</v>
      </c>
      <c r="L12" s="28">
        <v>0.83127379417419434</v>
      </c>
    </row>
    <row r="13" spans="2:12" ht="18" thickBot="1" x14ac:dyDescent="0.25">
      <c r="B13" s="22" t="s">
        <v>450</v>
      </c>
      <c r="C13" s="17">
        <v>616.4930419921875</v>
      </c>
      <c r="D13" s="17">
        <v>6682.869140625</v>
      </c>
      <c r="E13" s="17">
        <v>8473.6865234375</v>
      </c>
      <c r="F13" s="17">
        <v>10735.3544921875</v>
      </c>
      <c r="G13" s="17">
        <v>12316.9111328125</v>
      </c>
      <c r="H13" s="29">
        <v>1.3398663997650146</v>
      </c>
      <c r="I13" s="29">
        <v>1.3679966926574707</v>
      </c>
      <c r="J13" s="29">
        <v>1.1941651105880737</v>
      </c>
      <c r="K13" s="29">
        <v>1.5072767734527588</v>
      </c>
      <c r="L13" s="29">
        <v>2.786738395690918</v>
      </c>
    </row>
  </sheetData>
  <mergeCells count="1">
    <mergeCell ref="B3:L3"/>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M62"/>
  <sheetViews>
    <sheetView zoomScale="88" workbookViewId="0">
      <selection activeCell="C3" sqref="C3:N3"/>
    </sheetView>
  </sheetViews>
  <sheetFormatPr baseColWidth="10" defaultColWidth="8.83203125" defaultRowHeight="15" x14ac:dyDescent="0.2"/>
  <cols>
    <col min="2" max="2" width="25.33203125" customWidth="1"/>
    <col min="3" max="3" width="27.33203125" customWidth="1"/>
    <col min="4" max="4" width="16.6640625" customWidth="1"/>
    <col min="5" max="5" width="16.1640625" customWidth="1"/>
    <col min="6" max="6" width="16.33203125" customWidth="1"/>
    <col min="7" max="7" width="16" customWidth="1"/>
    <col min="8" max="8" width="15.6640625" customWidth="1"/>
    <col min="9" max="9" width="16.83203125" customWidth="1"/>
    <col min="10" max="10" width="15.6640625" customWidth="1"/>
    <col min="11" max="11" width="16.33203125" customWidth="1"/>
    <col min="12" max="12" width="16.5" customWidth="1"/>
    <col min="13" max="13" width="13.1640625" customWidth="1"/>
  </cols>
  <sheetData>
    <row r="2" spans="2:13" ht="16" thickBot="1" x14ac:dyDescent="0.25"/>
    <row r="3" spans="2:13" ht="17" thickBot="1" x14ac:dyDescent="0.25">
      <c r="B3" s="138" t="s">
        <v>686</v>
      </c>
      <c r="C3" s="139"/>
      <c r="D3" s="139"/>
      <c r="E3" s="139"/>
      <c r="F3" s="139"/>
      <c r="G3" s="139"/>
      <c r="H3" s="139"/>
      <c r="I3" s="139"/>
      <c r="J3" s="139"/>
      <c r="K3" s="139"/>
      <c r="L3" s="139"/>
      <c r="M3" s="140"/>
    </row>
    <row r="4" spans="2:13" ht="69" thickBot="1" x14ac:dyDescent="0.25">
      <c r="B4" s="1" t="s">
        <v>462</v>
      </c>
      <c r="C4" s="1" t="s">
        <v>503</v>
      </c>
      <c r="D4" s="1" t="s">
        <v>553</v>
      </c>
      <c r="E4" s="1" t="s">
        <v>555</v>
      </c>
      <c r="F4" s="1" t="s">
        <v>598</v>
      </c>
      <c r="G4" s="1" t="s">
        <v>599</v>
      </c>
      <c r="H4" s="1" t="s">
        <v>554</v>
      </c>
      <c r="I4" s="14" t="s">
        <v>549</v>
      </c>
      <c r="J4" s="14" t="s">
        <v>655</v>
      </c>
      <c r="K4" s="14" t="s">
        <v>502</v>
      </c>
      <c r="L4" s="14" t="s">
        <v>550</v>
      </c>
      <c r="M4" s="14" t="s">
        <v>600</v>
      </c>
    </row>
    <row r="5" spans="2:13" ht="18" thickBot="1" x14ac:dyDescent="0.25">
      <c r="B5" s="21" t="s">
        <v>230</v>
      </c>
      <c r="C5" s="25" t="s">
        <v>18</v>
      </c>
      <c r="D5" s="2">
        <v>762.37420654296875</v>
      </c>
      <c r="E5" s="2">
        <v>6466.37744140625</v>
      </c>
      <c r="F5" s="2">
        <v>22022.650390625</v>
      </c>
      <c r="G5" s="2">
        <v>41774.19921875</v>
      </c>
      <c r="H5" s="2">
        <v>55286.77734375</v>
      </c>
      <c r="I5" s="28">
        <v>1.9221744537353516</v>
      </c>
      <c r="J5" s="28">
        <v>4.8842377662658691</v>
      </c>
      <c r="K5" s="28">
        <v>6.3188877105712891</v>
      </c>
      <c r="L5" s="28">
        <v>3.7504687309265137</v>
      </c>
      <c r="M5" s="28">
        <v>5.7651581764221191</v>
      </c>
    </row>
    <row r="6" spans="2:13" ht="18" thickBot="1" x14ac:dyDescent="0.25">
      <c r="B6" s="21" t="s">
        <v>230</v>
      </c>
      <c r="C6" s="25" t="s">
        <v>45</v>
      </c>
      <c r="D6" s="2">
        <v>564.92633056640625</v>
      </c>
      <c r="E6" s="2">
        <v>4334.27685546875</v>
      </c>
      <c r="F6" s="2">
        <v>17094.974609375</v>
      </c>
      <c r="G6" s="2">
        <v>31462.212890625</v>
      </c>
      <c r="H6" s="2">
        <v>35047.8359375</v>
      </c>
      <c r="I6" s="28">
        <v>1.8514976501464844</v>
      </c>
      <c r="J6" s="28">
        <v>4.7543582916259766</v>
      </c>
      <c r="K6" s="28">
        <v>7.1020021438598633</v>
      </c>
      <c r="L6" s="28">
        <v>2.913348913192749</v>
      </c>
      <c r="M6" s="28">
        <v>2.1819987297058105</v>
      </c>
    </row>
    <row r="7" spans="2:13" ht="18" thickBot="1" x14ac:dyDescent="0.25">
      <c r="B7" s="21" t="s">
        <v>230</v>
      </c>
      <c r="C7" s="25" t="s">
        <v>50</v>
      </c>
      <c r="D7" s="2">
        <v>807.8841552734375</v>
      </c>
      <c r="E7" s="2">
        <v>15316.2529296875</v>
      </c>
      <c r="F7" s="2">
        <v>23818.28515625</v>
      </c>
      <c r="G7" s="2">
        <v>26677.4765625</v>
      </c>
      <c r="H7" s="2">
        <v>30128.634765625</v>
      </c>
      <c r="I7" s="28">
        <v>1.621364951133728</v>
      </c>
      <c r="J7" s="28">
        <v>1.5148289203643799</v>
      </c>
      <c r="K7" s="28">
        <v>2.2322447299957275</v>
      </c>
      <c r="L7" s="28">
        <v>0.94452261924743652</v>
      </c>
      <c r="M7" s="28">
        <v>2.4629695415496826</v>
      </c>
    </row>
    <row r="8" spans="2:13" ht="18" thickBot="1" x14ac:dyDescent="0.25">
      <c r="B8" s="21" t="s">
        <v>230</v>
      </c>
      <c r="C8" s="25" t="s">
        <v>451</v>
      </c>
      <c r="D8" s="2">
        <v>1452.4775390625</v>
      </c>
      <c r="E8" s="2">
        <v>7102.361328125</v>
      </c>
      <c r="F8" s="2">
        <v>12931.474609375</v>
      </c>
      <c r="G8" s="2">
        <v>21507.3125</v>
      </c>
      <c r="H8" s="2">
        <v>26422.28125</v>
      </c>
      <c r="I8" s="28">
        <v>1.2976527214050293</v>
      </c>
      <c r="J8" s="28">
        <v>2.9625473022460938</v>
      </c>
      <c r="K8" s="28">
        <v>3.0415217876434326</v>
      </c>
      <c r="L8" s="28">
        <v>2.8994112014770508</v>
      </c>
      <c r="M8" s="28">
        <v>4.2021870613098145</v>
      </c>
    </row>
    <row r="9" spans="2:13" ht="18" thickBot="1" x14ac:dyDescent="0.25">
      <c r="B9" s="21" t="s">
        <v>230</v>
      </c>
      <c r="C9" s="25" t="s">
        <v>94</v>
      </c>
      <c r="D9" s="2">
        <v>745.72698974609375</v>
      </c>
      <c r="E9" s="2">
        <v>1160.7979736328125</v>
      </c>
      <c r="F9" s="2">
        <v>3007.44921875</v>
      </c>
      <c r="G9" s="2">
        <v>12333.228515625</v>
      </c>
      <c r="H9" s="2">
        <v>15891.3349609375</v>
      </c>
      <c r="I9" s="28">
        <v>1.3689160346984863</v>
      </c>
      <c r="J9" s="28">
        <v>5.9871993064880371</v>
      </c>
      <c r="K9" s="28">
        <v>4.8750267028808594</v>
      </c>
      <c r="L9" s="28">
        <v>6.8854236602783203</v>
      </c>
      <c r="M9" s="28">
        <v>5.2002367973327637</v>
      </c>
    </row>
    <row r="10" spans="2:13" ht="18" thickBot="1" x14ac:dyDescent="0.25">
      <c r="B10" s="21" t="s">
        <v>226</v>
      </c>
      <c r="C10" s="25" t="s">
        <v>12</v>
      </c>
      <c r="D10" s="2">
        <v>1622.7781982421875</v>
      </c>
      <c r="E10" s="2">
        <v>29528.546875</v>
      </c>
      <c r="F10" s="2">
        <v>51834.05859375</v>
      </c>
      <c r="G10" s="2">
        <v>63179.25</v>
      </c>
      <c r="H10" s="2">
        <v>70146.875</v>
      </c>
      <c r="I10" s="28">
        <v>1.6880680322647095</v>
      </c>
      <c r="J10" s="28">
        <v>1.9413455724716187</v>
      </c>
      <c r="K10" s="28">
        <v>2.8534011840820312</v>
      </c>
      <c r="L10" s="28">
        <v>1.2175277471542358</v>
      </c>
      <c r="M10" s="28">
        <v>2.1143498420715332</v>
      </c>
    </row>
    <row r="11" spans="2:13" ht="18" thickBot="1" x14ac:dyDescent="0.25">
      <c r="B11" s="21" t="s">
        <v>226</v>
      </c>
      <c r="C11" s="25" t="s">
        <v>17</v>
      </c>
      <c r="D11" s="2">
        <v>1648.1160888671875</v>
      </c>
      <c r="E11" s="2">
        <v>23564.9296875</v>
      </c>
      <c r="F11" s="2">
        <v>37408.625</v>
      </c>
      <c r="G11" s="2">
        <v>44730.328125</v>
      </c>
      <c r="H11" s="2">
        <v>49726.015625</v>
      </c>
      <c r="I11" s="28">
        <v>1.5256974697113037</v>
      </c>
      <c r="J11" s="28">
        <v>1.6733318567276001</v>
      </c>
      <c r="K11" s="28">
        <v>2.3376123905181885</v>
      </c>
      <c r="L11" s="28">
        <v>1.1450134515762329</v>
      </c>
      <c r="M11" s="28">
        <v>2.1401100158691406</v>
      </c>
    </row>
    <row r="12" spans="2:13" ht="18" thickBot="1" x14ac:dyDescent="0.25">
      <c r="B12" s="21" t="s">
        <v>226</v>
      </c>
      <c r="C12" s="25" t="s">
        <v>25</v>
      </c>
      <c r="D12" s="2">
        <v>2572.52490234375</v>
      </c>
      <c r="E12" s="2">
        <v>25348.95703125</v>
      </c>
      <c r="F12" s="2">
        <v>36834.43359375</v>
      </c>
      <c r="G12" s="2">
        <v>42004.16015625</v>
      </c>
      <c r="H12" s="2">
        <v>47551.421875</v>
      </c>
      <c r="I12" s="28">
        <v>1.3048504590988159</v>
      </c>
      <c r="J12" s="28">
        <v>1.4077593088150024</v>
      </c>
      <c r="K12" s="28">
        <v>1.8860430717468262</v>
      </c>
      <c r="L12" s="28">
        <v>1.0267494916915894</v>
      </c>
      <c r="M12" s="28">
        <v>2.511890172958374</v>
      </c>
    </row>
    <row r="13" spans="2:13" ht="18" thickBot="1" x14ac:dyDescent="0.25">
      <c r="B13" s="21" t="s">
        <v>226</v>
      </c>
      <c r="C13" s="25" t="s">
        <v>26</v>
      </c>
      <c r="D13" s="2">
        <v>1089.9888916015625</v>
      </c>
      <c r="E13" s="2">
        <v>23006.529296875</v>
      </c>
      <c r="F13" s="2">
        <v>31703.74609375</v>
      </c>
      <c r="G13" s="2">
        <v>41712.2734375</v>
      </c>
      <c r="H13" s="2">
        <v>45180.1484375</v>
      </c>
      <c r="I13" s="28">
        <v>1.6691055297851562</v>
      </c>
      <c r="J13" s="28">
        <v>1.5110350847244263</v>
      </c>
      <c r="K13" s="28">
        <v>1.6162054538726807</v>
      </c>
      <c r="L13" s="28">
        <v>1.4269771575927734</v>
      </c>
      <c r="M13" s="28">
        <v>1.6100713014602661</v>
      </c>
    </row>
    <row r="14" spans="2:13" ht="18" thickBot="1" x14ac:dyDescent="0.25">
      <c r="B14" s="21" t="s">
        <v>226</v>
      </c>
      <c r="C14" s="25" t="s">
        <v>30</v>
      </c>
      <c r="D14" s="2">
        <v>1810.455810546875</v>
      </c>
      <c r="E14" s="2">
        <v>23004.826171875</v>
      </c>
      <c r="F14" s="2">
        <v>33185.5</v>
      </c>
      <c r="G14" s="2">
        <v>39611.57421875</v>
      </c>
      <c r="H14" s="2">
        <v>41797.828125</v>
      </c>
      <c r="I14" s="28">
        <v>1.4050079584121704</v>
      </c>
      <c r="J14" s="28">
        <v>1.3358219861984253</v>
      </c>
      <c r="K14" s="28">
        <v>1.848929762840271</v>
      </c>
      <c r="L14" s="28">
        <v>0.92719751596450806</v>
      </c>
      <c r="M14" s="28">
        <v>1.0802532434463501</v>
      </c>
    </row>
    <row r="15" spans="2:13" ht="18" thickBot="1" x14ac:dyDescent="0.25">
      <c r="B15" s="21" t="s">
        <v>226</v>
      </c>
      <c r="C15" s="25" t="s">
        <v>452</v>
      </c>
      <c r="D15" s="2">
        <v>1593.211669921875</v>
      </c>
      <c r="E15" s="2">
        <v>21152.529296875</v>
      </c>
      <c r="F15" s="2">
        <v>31288.1015625</v>
      </c>
      <c r="G15" s="2">
        <v>34622.328125</v>
      </c>
      <c r="H15" s="2">
        <v>41160.83203125</v>
      </c>
      <c r="I15" s="28">
        <v>1.4557093381881714</v>
      </c>
      <c r="J15" s="28">
        <v>1.4903918504714966</v>
      </c>
      <c r="K15" s="28">
        <v>1.9766743183135986</v>
      </c>
      <c r="L15" s="28">
        <v>1.1030360460281372</v>
      </c>
      <c r="M15" s="28">
        <v>3.5203127861022949</v>
      </c>
    </row>
    <row r="16" spans="2:13" ht="18" thickBot="1" x14ac:dyDescent="0.25">
      <c r="B16" s="21" t="s">
        <v>226</v>
      </c>
      <c r="C16" s="25" t="s">
        <v>42</v>
      </c>
      <c r="D16" s="2">
        <v>2975.635498046875</v>
      </c>
      <c r="E16" s="2">
        <v>17819.708984375</v>
      </c>
      <c r="F16" s="2">
        <v>31424.76171875</v>
      </c>
      <c r="G16" s="2">
        <v>32126.607421875</v>
      </c>
      <c r="H16" s="2">
        <v>38013.4453125</v>
      </c>
      <c r="I16" s="28">
        <v>1.1386481523513794</v>
      </c>
      <c r="J16" s="28">
        <v>1.6978859901428223</v>
      </c>
      <c r="K16" s="28">
        <v>2.8770656585693359</v>
      </c>
      <c r="L16" s="28">
        <v>0.76428103446960449</v>
      </c>
      <c r="M16" s="28">
        <v>3.4223678112030029</v>
      </c>
    </row>
    <row r="17" spans="2:13" ht="18" thickBot="1" x14ac:dyDescent="0.25">
      <c r="B17" s="21" t="s">
        <v>226</v>
      </c>
      <c r="C17" s="25" t="s">
        <v>39</v>
      </c>
      <c r="D17" s="2">
        <v>1256.85302734375</v>
      </c>
      <c r="E17" s="2">
        <v>22009.462890625</v>
      </c>
      <c r="F17" s="2">
        <v>31651.005859375</v>
      </c>
      <c r="G17" s="2">
        <v>32877.5234375</v>
      </c>
      <c r="H17" s="2">
        <v>37176.40234375</v>
      </c>
      <c r="I17" s="28">
        <v>1.5167490243911743</v>
      </c>
      <c r="J17" s="28">
        <v>1.1717039346694946</v>
      </c>
      <c r="K17" s="28">
        <v>1.8330855369567871</v>
      </c>
      <c r="L17" s="28">
        <v>0.64569270610809326</v>
      </c>
      <c r="M17" s="28">
        <v>2.4881486892700195</v>
      </c>
    </row>
    <row r="18" spans="2:13" ht="18" thickBot="1" x14ac:dyDescent="0.25">
      <c r="B18" s="21" t="s">
        <v>226</v>
      </c>
      <c r="C18" s="25" t="s">
        <v>44</v>
      </c>
      <c r="D18" s="2">
        <v>2109.243896484375</v>
      </c>
      <c r="E18" s="2">
        <v>23224.6640625</v>
      </c>
      <c r="F18" s="2">
        <v>33868.82421875</v>
      </c>
      <c r="G18" s="2">
        <v>29077.705078125</v>
      </c>
      <c r="H18" s="2">
        <v>34700.1328125</v>
      </c>
      <c r="I18" s="28">
        <v>1.252406120300293</v>
      </c>
      <c r="J18" s="28">
        <v>0.8962787389755249</v>
      </c>
      <c r="K18" s="28">
        <v>1.9043058156967163</v>
      </c>
      <c r="L18" s="28">
        <v>9.7041122615337372E-2</v>
      </c>
      <c r="M18" s="28">
        <v>3.5986752510070801</v>
      </c>
    </row>
    <row r="19" spans="2:13" ht="18" thickBot="1" x14ac:dyDescent="0.25">
      <c r="B19" s="21" t="s">
        <v>226</v>
      </c>
      <c r="C19" s="25" t="s">
        <v>49</v>
      </c>
      <c r="D19" s="2">
        <v>1585.5115966796875</v>
      </c>
      <c r="E19" s="2">
        <v>17104.92578125</v>
      </c>
      <c r="F19" s="2">
        <v>26827.7578125</v>
      </c>
      <c r="G19" s="2">
        <v>26928.865234375</v>
      </c>
      <c r="H19" s="2">
        <v>33533.7109375</v>
      </c>
      <c r="I19" s="28">
        <v>1.3655256032943726</v>
      </c>
      <c r="J19" s="28">
        <v>1.5072119235992432</v>
      </c>
      <c r="K19" s="28">
        <v>2.275864839553833</v>
      </c>
      <c r="L19" s="28">
        <v>0.89645093679428101</v>
      </c>
      <c r="M19" s="28">
        <v>4.484703540802002</v>
      </c>
    </row>
    <row r="20" spans="2:13" ht="18" thickBot="1" x14ac:dyDescent="0.25">
      <c r="B20" s="21" t="s">
        <v>226</v>
      </c>
      <c r="C20" s="25" t="s">
        <v>453</v>
      </c>
      <c r="D20" s="2">
        <v>646.917236328125</v>
      </c>
      <c r="E20" s="2">
        <v>10442.1806640625</v>
      </c>
      <c r="F20" s="2">
        <v>11076.9052734375</v>
      </c>
      <c r="G20" s="2">
        <v>21551.0234375</v>
      </c>
      <c r="H20" s="2">
        <v>25895.3046875</v>
      </c>
      <c r="I20" s="28">
        <v>1.6533404588699341</v>
      </c>
      <c r="J20" s="28">
        <v>2.0387444496154785</v>
      </c>
      <c r="K20" s="28">
        <v>0.29547980427742004</v>
      </c>
      <c r="L20" s="28">
        <v>3.4551472663879395</v>
      </c>
      <c r="M20" s="28">
        <v>3.7410452365875244</v>
      </c>
    </row>
    <row r="21" spans="2:13" ht="18" thickBot="1" x14ac:dyDescent="0.25">
      <c r="B21" s="21" t="s">
        <v>229</v>
      </c>
      <c r="C21" s="25" t="s">
        <v>84</v>
      </c>
      <c r="D21" s="2">
        <v>976.7523193359375</v>
      </c>
      <c r="E21" s="2">
        <v>15854.796875</v>
      </c>
      <c r="F21" s="2">
        <v>15526.5966796875</v>
      </c>
      <c r="G21" s="2">
        <v>17498.0390625</v>
      </c>
      <c r="H21" s="2">
        <v>20248.16015625</v>
      </c>
      <c r="I21" s="28">
        <v>1.3564895391464233</v>
      </c>
      <c r="J21" s="28">
        <v>0.54501724243164062</v>
      </c>
      <c r="K21" s="28">
        <v>-0.10453344136476517</v>
      </c>
      <c r="L21" s="28">
        <v>1.0676974058151245</v>
      </c>
      <c r="M21" s="28">
        <v>2.9625380039215088</v>
      </c>
    </row>
    <row r="22" spans="2:13" ht="18" thickBot="1" x14ac:dyDescent="0.25">
      <c r="B22" s="21" t="s">
        <v>229</v>
      </c>
      <c r="C22" s="25" t="s">
        <v>80</v>
      </c>
      <c r="D22" s="2">
        <v>600.43572998046875</v>
      </c>
      <c r="E22" s="2">
        <v>6160.00341796875</v>
      </c>
      <c r="F22" s="2">
        <v>11588.759765625</v>
      </c>
      <c r="G22" s="2">
        <v>16560.623046875</v>
      </c>
      <c r="H22" s="2">
        <v>19354.29296875</v>
      </c>
      <c r="I22" s="28">
        <v>1.555536150932312</v>
      </c>
      <c r="J22" s="28">
        <v>2.5767199993133545</v>
      </c>
      <c r="K22" s="28">
        <v>3.210242748260498</v>
      </c>
      <c r="L22" s="28">
        <v>2.0727028846740723</v>
      </c>
      <c r="M22" s="28">
        <v>3.166839599609375</v>
      </c>
    </row>
    <row r="23" spans="2:13" ht="18" thickBot="1" x14ac:dyDescent="0.25">
      <c r="B23" s="21" t="s">
        <v>229</v>
      </c>
      <c r="C23" s="25" t="s">
        <v>100</v>
      </c>
      <c r="D23" s="2">
        <v>1052.4483642578125</v>
      </c>
      <c r="E23" s="2">
        <v>12415.9423828125</v>
      </c>
      <c r="F23" s="2">
        <v>13548.57421875</v>
      </c>
      <c r="G23" s="2">
        <v>11943.775390625</v>
      </c>
      <c r="H23" s="2">
        <v>13822.125</v>
      </c>
      <c r="I23" s="28">
        <v>1.1510863304138184</v>
      </c>
      <c r="J23" s="28">
        <v>0.23870505392551422</v>
      </c>
      <c r="K23" s="28">
        <v>0.43745434284210205</v>
      </c>
      <c r="L23" s="28">
        <v>7.9988822340965271E-2</v>
      </c>
      <c r="M23" s="28">
        <v>2.9642927646636963</v>
      </c>
    </row>
    <row r="24" spans="2:13" ht="18" thickBot="1" x14ac:dyDescent="0.25">
      <c r="B24" s="21" t="s">
        <v>229</v>
      </c>
      <c r="C24" s="25" t="s">
        <v>106</v>
      </c>
      <c r="D24" s="2">
        <v>722.03460693359375</v>
      </c>
      <c r="E24" s="2">
        <v>8915.9453125</v>
      </c>
      <c r="F24" s="2">
        <v>9569.779296875</v>
      </c>
      <c r="G24" s="2">
        <v>11504.802734375</v>
      </c>
      <c r="H24" s="2">
        <v>13109.8466796875</v>
      </c>
      <c r="I24" s="28">
        <v>1.2968013286590576</v>
      </c>
      <c r="J24" s="28">
        <v>0.86039650440216064</v>
      </c>
      <c r="K24" s="28">
        <v>0.3544708788394928</v>
      </c>
      <c r="L24" s="28">
        <v>1.2669727802276611</v>
      </c>
      <c r="M24" s="28">
        <v>2.6463923454284668</v>
      </c>
    </row>
    <row r="25" spans="2:13" ht="18" thickBot="1" x14ac:dyDescent="0.25">
      <c r="B25" s="21" t="s">
        <v>229</v>
      </c>
      <c r="C25" s="25" t="s">
        <v>107</v>
      </c>
      <c r="D25" s="2">
        <v>832.603515625</v>
      </c>
      <c r="E25" s="2">
        <v>6324.783203125</v>
      </c>
      <c r="F25" s="2">
        <v>7518.2021484375</v>
      </c>
      <c r="G25" s="2">
        <v>10805.2158203125</v>
      </c>
      <c r="H25" s="2">
        <v>12763.9267578125</v>
      </c>
      <c r="I25" s="28">
        <v>1.2206434011459351</v>
      </c>
      <c r="J25" s="28">
        <v>1.5725638866424561</v>
      </c>
      <c r="K25" s="28">
        <v>0.86800211668014526</v>
      </c>
      <c r="L25" s="28">
        <v>2.1397550106048584</v>
      </c>
      <c r="M25" s="28">
        <v>3.3880085945129395</v>
      </c>
    </row>
    <row r="26" spans="2:13" ht="18" thickBot="1" x14ac:dyDescent="0.25">
      <c r="B26" s="21" t="s">
        <v>229</v>
      </c>
      <c r="C26" s="25" t="s">
        <v>454</v>
      </c>
      <c r="D26" s="2">
        <v>544.885986328125</v>
      </c>
      <c r="E26" s="2">
        <v>6880.4140625</v>
      </c>
      <c r="F26" s="2">
        <v>6952.57666015625</v>
      </c>
      <c r="G26" s="2">
        <v>8655.69921875</v>
      </c>
      <c r="H26" s="2">
        <v>10159.310546875</v>
      </c>
      <c r="I26" s="28">
        <v>1.3087431192398071</v>
      </c>
      <c r="J26" s="28">
        <v>0.86978697776794434</v>
      </c>
      <c r="K26" s="28">
        <v>5.2180904895067215E-2</v>
      </c>
      <c r="L26" s="28">
        <v>1.5286797285079956</v>
      </c>
      <c r="M26" s="28">
        <v>3.2553162574768066</v>
      </c>
    </row>
    <row r="27" spans="2:13" ht="18" thickBot="1" x14ac:dyDescent="0.25">
      <c r="B27" s="21" t="s">
        <v>231</v>
      </c>
      <c r="C27" s="25" t="s">
        <v>21</v>
      </c>
      <c r="D27" s="2">
        <v>448.92169189453125</v>
      </c>
      <c r="E27" s="2">
        <v>122996.6328125</v>
      </c>
      <c r="F27" s="2">
        <v>65164.046875</v>
      </c>
      <c r="G27" s="2">
        <v>48366.5234375</v>
      </c>
      <c r="H27" s="2">
        <v>53645.61328125</v>
      </c>
      <c r="I27" s="28">
        <v>2.1486725807189941</v>
      </c>
      <c r="J27" s="28">
        <v>-1.8270092010498047</v>
      </c>
      <c r="K27" s="28">
        <v>-3.1263327598571777</v>
      </c>
      <c r="L27" s="28">
        <v>-0.77501398324966431</v>
      </c>
      <c r="M27" s="28">
        <v>2.0934464931488037</v>
      </c>
    </row>
    <row r="28" spans="2:13" ht="18" thickBot="1" x14ac:dyDescent="0.25">
      <c r="B28" s="21" t="s">
        <v>231</v>
      </c>
      <c r="C28" s="25" t="s">
        <v>36</v>
      </c>
      <c r="D28" s="2">
        <v>1031.3004150390625</v>
      </c>
      <c r="E28" s="2">
        <v>103553.7265625</v>
      </c>
      <c r="F28" s="2">
        <v>40415.0078125</v>
      </c>
      <c r="G28" s="2">
        <v>41351.00390625</v>
      </c>
      <c r="H28" s="2">
        <v>48625.1640625</v>
      </c>
      <c r="I28" s="28">
        <v>1.7273358106613159</v>
      </c>
      <c r="J28" s="28">
        <v>-1.6658560037612915</v>
      </c>
      <c r="K28" s="28">
        <v>-4.5955028533935547</v>
      </c>
      <c r="L28" s="28">
        <v>0.74250280857086182</v>
      </c>
      <c r="M28" s="28">
        <v>3.293978214263916</v>
      </c>
    </row>
    <row r="29" spans="2:13" ht="18" thickBot="1" x14ac:dyDescent="0.25">
      <c r="B29" s="21" t="s">
        <v>231</v>
      </c>
      <c r="C29" s="25" t="s">
        <v>69</v>
      </c>
      <c r="D29" s="2">
        <v>602.97613525390625</v>
      </c>
      <c r="E29" s="2">
        <v>6594.044921875</v>
      </c>
      <c r="F29" s="2">
        <v>9733.10546875</v>
      </c>
      <c r="G29" s="2">
        <v>18187.837890625</v>
      </c>
      <c r="H29" s="2">
        <v>24358.05078125</v>
      </c>
      <c r="I29" s="28">
        <v>1.6574705839157104</v>
      </c>
      <c r="J29" s="28">
        <v>2.9463381767272949</v>
      </c>
      <c r="K29" s="28">
        <v>1.965904712677002</v>
      </c>
      <c r="L29" s="28">
        <v>3.7374680042266846</v>
      </c>
      <c r="M29" s="28">
        <v>6.0162134170532227</v>
      </c>
    </row>
    <row r="30" spans="2:13" ht="18" thickBot="1" x14ac:dyDescent="0.25">
      <c r="B30" s="21" t="s">
        <v>231</v>
      </c>
      <c r="C30" s="25" t="s">
        <v>105</v>
      </c>
      <c r="D30" s="2">
        <v>804.677490234375</v>
      </c>
      <c r="E30" s="2">
        <v>4924.435546875</v>
      </c>
      <c r="F30" s="2">
        <v>8226.29296875</v>
      </c>
      <c r="G30" s="2">
        <v>11830.5224609375</v>
      </c>
      <c r="H30" s="2">
        <v>13136.6201171875</v>
      </c>
      <c r="I30" s="28">
        <v>1.2489427328109741</v>
      </c>
      <c r="J30" s="28">
        <v>2.2043766975402832</v>
      </c>
      <c r="K30" s="28">
        <v>2.5988249778747559</v>
      </c>
      <c r="L30" s="28">
        <v>1.8899099826812744</v>
      </c>
      <c r="M30" s="28">
        <v>2.1165056228637695</v>
      </c>
    </row>
    <row r="31" spans="2:13" ht="18" thickBot="1" x14ac:dyDescent="0.25">
      <c r="B31" s="21" t="s">
        <v>231</v>
      </c>
      <c r="C31" s="25" t="s">
        <v>125</v>
      </c>
      <c r="D31" s="2">
        <v>642.27850341796875</v>
      </c>
      <c r="E31" s="2">
        <v>7829.6884765625</v>
      </c>
      <c r="F31" s="2">
        <v>8054.2548828125</v>
      </c>
      <c r="G31" s="2">
        <v>9950.349609375</v>
      </c>
      <c r="H31" s="2">
        <v>11393.8486328125</v>
      </c>
      <c r="I31" s="28">
        <v>1.2863394021987915</v>
      </c>
      <c r="J31" s="28">
        <v>0.83715331554412842</v>
      </c>
      <c r="K31" s="28">
        <v>0.1414886862039566</v>
      </c>
      <c r="L31" s="28">
        <v>1.397162914276123</v>
      </c>
      <c r="M31" s="28">
        <v>2.7463538646697998</v>
      </c>
    </row>
    <row r="32" spans="2:13" ht="18" thickBot="1" x14ac:dyDescent="0.25">
      <c r="B32" s="21" t="s">
        <v>231</v>
      </c>
      <c r="C32" s="25" t="s">
        <v>455</v>
      </c>
      <c r="D32" s="2">
        <v>1014.0021362304688</v>
      </c>
      <c r="E32" s="2">
        <v>8818.67578125</v>
      </c>
      <c r="F32" s="2">
        <v>8632.3515625</v>
      </c>
      <c r="G32" s="2">
        <v>9742.66015625</v>
      </c>
      <c r="H32" s="2">
        <v>9848.6884765625</v>
      </c>
      <c r="I32" s="28">
        <v>1.0155366659164429</v>
      </c>
      <c r="J32" s="28">
        <v>0.24578274786472321</v>
      </c>
      <c r="K32" s="28">
        <v>-0.10671669989824295</v>
      </c>
      <c r="L32" s="28">
        <v>0.52867770195007324</v>
      </c>
      <c r="M32" s="28">
        <v>0.21671640872955322</v>
      </c>
    </row>
    <row r="33" spans="2:13" ht="18" thickBot="1" x14ac:dyDescent="0.25">
      <c r="B33" s="21" t="s">
        <v>231</v>
      </c>
      <c r="C33" s="25" t="s">
        <v>131</v>
      </c>
      <c r="D33" s="2">
        <v>502.86456298828125</v>
      </c>
      <c r="E33" s="2">
        <v>6538.2236328125</v>
      </c>
      <c r="F33" s="2">
        <v>6334.33154296875</v>
      </c>
      <c r="G33" s="2">
        <v>7443.27587890625</v>
      </c>
      <c r="H33" s="2">
        <v>9042.796875</v>
      </c>
      <c r="I33" s="28">
        <v>1.2924600839614868</v>
      </c>
      <c r="J33" s="28">
        <v>0.72327649593353271</v>
      </c>
      <c r="K33" s="28">
        <v>-0.15828065574169159</v>
      </c>
      <c r="L33" s="28">
        <v>1.434123158454895</v>
      </c>
      <c r="M33" s="28">
        <v>3.9699263572692871</v>
      </c>
    </row>
    <row r="34" spans="2:13" ht="18" thickBot="1" x14ac:dyDescent="0.25">
      <c r="B34" s="21" t="s">
        <v>231</v>
      </c>
      <c r="C34" s="25" t="s">
        <v>142</v>
      </c>
      <c r="D34" s="2">
        <v>505.735107421875</v>
      </c>
      <c r="E34" s="2">
        <v>2609.34033203125</v>
      </c>
      <c r="F34" s="2">
        <v>3288.470703125</v>
      </c>
      <c r="G34" s="2">
        <v>6066.078125</v>
      </c>
      <c r="H34" s="2">
        <v>7146.05126953125</v>
      </c>
      <c r="I34" s="28">
        <v>1.1839773654937744</v>
      </c>
      <c r="J34" s="28">
        <v>2.2640550136566162</v>
      </c>
      <c r="K34" s="28">
        <v>1.16334068775177</v>
      </c>
      <c r="L34" s="28">
        <v>3.1532430648803711</v>
      </c>
      <c r="M34" s="28">
        <v>3.3312366008758545</v>
      </c>
    </row>
    <row r="35" spans="2:13" ht="18" thickBot="1" x14ac:dyDescent="0.25">
      <c r="B35" s="21" t="s">
        <v>227</v>
      </c>
      <c r="C35" s="25" t="s">
        <v>22</v>
      </c>
      <c r="D35" s="2">
        <v>1777.0096435546875</v>
      </c>
      <c r="E35" s="2">
        <v>23764.224609375</v>
      </c>
      <c r="F35" s="2">
        <v>37661.98828125</v>
      </c>
      <c r="G35" s="2">
        <v>43821.82421875</v>
      </c>
      <c r="H35" s="2">
        <v>49940.43359375</v>
      </c>
      <c r="I35" s="28">
        <v>1.4936671257019043</v>
      </c>
      <c r="J35" s="28">
        <v>1.6640259027481079</v>
      </c>
      <c r="K35" s="28">
        <v>2.3290591239929199</v>
      </c>
      <c r="L35" s="28">
        <v>1.1351125240325928</v>
      </c>
      <c r="M35" s="28">
        <v>2.648444652557373</v>
      </c>
    </row>
    <row r="36" spans="2:13" ht="18" thickBot="1" x14ac:dyDescent="0.25">
      <c r="B36" s="21" t="s">
        <v>227</v>
      </c>
      <c r="C36" s="25" t="s">
        <v>35</v>
      </c>
      <c r="D36" s="2">
        <v>1000.884521484375</v>
      </c>
      <c r="E36" s="2">
        <v>23569.921875</v>
      </c>
      <c r="F36" s="2">
        <v>32637.423828125</v>
      </c>
      <c r="G36" s="2">
        <v>37533.62890625</v>
      </c>
      <c r="H36" s="2">
        <v>42166.83984375</v>
      </c>
      <c r="I36" s="28">
        <v>1.6764528751373291</v>
      </c>
      <c r="J36" s="28">
        <v>1.3009737730026245</v>
      </c>
      <c r="K36" s="28">
        <v>1.6407560110092163</v>
      </c>
      <c r="L36" s="28">
        <v>1.0299659967422485</v>
      </c>
      <c r="M36" s="28">
        <v>2.3552453517913818</v>
      </c>
    </row>
    <row r="37" spans="2:13" ht="18" thickBot="1" x14ac:dyDescent="0.25">
      <c r="B37" s="21" t="s">
        <v>227</v>
      </c>
      <c r="C37" s="25" t="s">
        <v>32</v>
      </c>
      <c r="D37" s="2">
        <v>847.40850830078125</v>
      </c>
      <c r="E37" s="2">
        <v>21172.515625</v>
      </c>
      <c r="F37" s="2">
        <v>30623.171875</v>
      </c>
      <c r="G37" s="2">
        <v>38907.6015625</v>
      </c>
      <c r="H37" s="2">
        <v>41639.90234375</v>
      </c>
      <c r="I37" s="28">
        <v>1.7460149526596069</v>
      </c>
      <c r="J37" s="28">
        <v>1.514363169670105</v>
      </c>
      <c r="K37" s="28">
        <v>1.8623957633972168</v>
      </c>
      <c r="L37" s="28">
        <v>1.2367935180664062</v>
      </c>
      <c r="M37" s="28">
        <v>1.3666396141052246</v>
      </c>
    </row>
    <row r="38" spans="2:13" ht="18" thickBot="1" x14ac:dyDescent="0.25">
      <c r="B38" s="21" t="s">
        <v>227</v>
      </c>
      <c r="C38" s="25" t="s">
        <v>51</v>
      </c>
      <c r="D38" s="2">
        <v>761.20263671875</v>
      </c>
      <c r="E38" s="2">
        <v>16853.34375</v>
      </c>
      <c r="F38" s="2">
        <v>20553.40625</v>
      </c>
      <c r="G38" s="2">
        <v>31809.3671875</v>
      </c>
      <c r="H38" s="2">
        <v>32442.962890625</v>
      </c>
      <c r="I38" s="28">
        <v>1.6816902160644531</v>
      </c>
      <c r="J38" s="28">
        <v>1.4660525321960449</v>
      </c>
      <c r="K38" s="28">
        <v>0.99732851982116699</v>
      </c>
      <c r="L38" s="28">
        <v>1.842597484588623</v>
      </c>
      <c r="M38" s="28">
        <v>0.39523336291313171</v>
      </c>
    </row>
    <row r="39" spans="2:13" ht="35" thickBot="1" x14ac:dyDescent="0.25">
      <c r="B39" s="21" t="s">
        <v>227</v>
      </c>
      <c r="C39" s="25" t="s">
        <v>456</v>
      </c>
      <c r="D39" s="2">
        <v>311.58297729492188</v>
      </c>
      <c r="E39" s="2">
        <v>4737.18701171875</v>
      </c>
      <c r="F39" s="2">
        <v>5402.97119140625</v>
      </c>
      <c r="G39" s="2">
        <v>4803.74609375</v>
      </c>
      <c r="H39" s="2">
        <v>4771.2919921875</v>
      </c>
      <c r="I39" s="28">
        <v>1.2201422452926636</v>
      </c>
      <c r="J39" s="28">
        <v>1.5942549332976341E-2</v>
      </c>
      <c r="K39" s="28">
        <v>0.65969359874725342</v>
      </c>
      <c r="L39" s="28">
        <v>-0.49609279632568359</v>
      </c>
      <c r="M39" s="28">
        <v>-0.1354861855506897</v>
      </c>
    </row>
    <row r="40" spans="2:13" ht="18" thickBot="1" x14ac:dyDescent="0.25">
      <c r="B40" s="21" t="s">
        <v>233</v>
      </c>
      <c r="C40" s="25" t="s">
        <v>56</v>
      </c>
      <c r="D40" s="2">
        <v>807.11578369140625</v>
      </c>
      <c r="E40" s="2">
        <v>13502.1845703125</v>
      </c>
      <c r="F40" s="2">
        <v>14894.99609375</v>
      </c>
      <c r="G40" s="2">
        <v>24669.294921875</v>
      </c>
      <c r="H40" s="2">
        <v>29058.408203125</v>
      </c>
      <c r="I40" s="28">
        <v>1.605460524559021</v>
      </c>
      <c r="J40" s="28">
        <v>1.7178241014480591</v>
      </c>
      <c r="K40" s="28">
        <v>0.49207594990730286</v>
      </c>
      <c r="L40" s="28">
        <v>2.7091786861419678</v>
      </c>
      <c r="M40" s="28">
        <v>3.3291869163513184</v>
      </c>
    </row>
    <row r="41" spans="2:13" ht="18" thickBot="1" x14ac:dyDescent="0.25">
      <c r="B41" s="21" t="s">
        <v>233</v>
      </c>
      <c r="C41" s="25" t="s">
        <v>457</v>
      </c>
      <c r="D41" s="2">
        <v>655.9759521484375</v>
      </c>
      <c r="E41" s="2">
        <v>9870.2080078125</v>
      </c>
      <c r="F41" s="2">
        <v>4965.7236328125</v>
      </c>
      <c r="G41" s="2">
        <v>10406.1474609375</v>
      </c>
      <c r="H41" s="2">
        <v>11971.240234375</v>
      </c>
      <c r="I41" s="28">
        <v>1.2990939617156982</v>
      </c>
      <c r="J41" s="28">
        <v>0.42977932095527649</v>
      </c>
      <c r="K41" s="28">
        <v>-3.3764891624450684</v>
      </c>
      <c r="L41" s="28">
        <v>3.582470178604126</v>
      </c>
      <c r="M41" s="28">
        <v>2.8418405055999756</v>
      </c>
    </row>
    <row r="42" spans="2:13" ht="18" thickBot="1" x14ac:dyDescent="0.25">
      <c r="B42" s="21" t="s">
        <v>228</v>
      </c>
      <c r="C42" s="25" t="s">
        <v>103</v>
      </c>
      <c r="D42" s="2">
        <v>791.96612548828125</v>
      </c>
      <c r="E42" s="2">
        <v>3928.219482421875</v>
      </c>
      <c r="F42" s="2">
        <v>8030.6611328125</v>
      </c>
      <c r="G42" s="2">
        <v>12422.2724609375</v>
      </c>
      <c r="H42" s="2">
        <v>14093.0517578125</v>
      </c>
      <c r="I42" s="28">
        <v>1.2877402305603027</v>
      </c>
      <c r="J42" s="28">
        <v>2.8795592784881592</v>
      </c>
      <c r="K42" s="28">
        <v>3.6400890350341797</v>
      </c>
      <c r="L42" s="28">
        <v>2.275155782699585</v>
      </c>
      <c r="M42" s="28">
        <v>2.5559344291687012</v>
      </c>
    </row>
    <row r="43" spans="2:13" ht="35" thickBot="1" x14ac:dyDescent="0.25">
      <c r="B43" s="21" t="s">
        <v>228</v>
      </c>
      <c r="C43" s="25" t="s">
        <v>458</v>
      </c>
      <c r="D43" s="2">
        <v>1532.63916015625</v>
      </c>
      <c r="E43" s="2">
        <v>3164.763427734375</v>
      </c>
      <c r="F43" s="2">
        <v>6242.54541015625</v>
      </c>
      <c r="G43" s="2">
        <v>10938.7109375</v>
      </c>
      <c r="H43" s="2">
        <v>12319.2705078125</v>
      </c>
      <c r="I43" s="28">
        <v>0.9306027889251709</v>
      </c>
      <c r="J43" s="28">
        <v>3.0662624835968018</v>
      </c>
      <c r="K43" s="28">
        <v>3.4548897743225098</v>
      </c>
      <c r="L43" s="28">
        <v>2.7564122676849365</v>
      </c>
      <c r="M43" s="28">
        <v>2.4056158065795898</v>
      </c>
    </row>
    <row r="44" spans="2:13" ht="18" thickBot="1" x14ac:dyDescent="0.25">
      <c r="B44" s="21" t="s">
        <v>228</v>
      </c>
      <c r="C44" s="25" t="s">
        <v>124</v>
      </c>
      <c r="D44" s="2">
        <v>636.47589111328125</v>
      </c>
      <c r="E44" s="2">
        <v>1012.6856079101562</v>
      </c>
      <c r="F44" s="2">
        <v>2379.1845703125</v>
      </c>
      <c r="G44" s="2">
        <v>7819.9560546875</v>
      </c>
      <c r="H44" s="2">
        <v>10207.1552734375</v>
      </c>
      <c r="I44" s="28">
        <v>1.2409242391586304</v>
      </c>
      <c r="J44" s="28">
        <v>5.2685027122497559</v>
      </c>
      <c r="K44" s="28">
        <v>4.3632688522338867</v>
      </c>
      <c r="L44" s="28">
        <v>5.9983396530151367</v>
      </c>
      <c r="M44" s="28">
        <v>5.4727039337158203</v>
      </c>
    </row>
    <row r="45" spans="2:13" ht="18" thickBot="1" x14ac:dyDescent="0.25">
      <c r="B45" s="21" t="s">
        <v>228</v>
      </c>
      <c r="C45" s="25" t="s">
        <v>133</v>
      </c>
      <c r="D45" s="2">
        <v>562.22857666015625</v>
      </c>
      <c r="E45" s="2">
        <v>2303.245361328125</v>
      </c>
      <c r="F45" s="2">
        <v>3999.53515625</v>
      </c>
      <c r="G45" s="2">
        <v>7654.759765625</v>
      </c>
      <c r="H45" s="2">
        <v>9755.3720703125</v>
      </c>
      <c r="I45" s="28">
        <v>1.2763724327087402</v>
      </c>
      <c r="J45" s="28">
        <v>3.2597789764404297</v>
      </c>
      <c r="K45" s="28">
        <v>2.7977159023284912</v>
      </c>
      <c r="L45" s="28">
        <v>3.6309244632720947</v>
      </c>
      <c r="M45" s="28">
        <v>4.9693365097045898</v>
      </c>
    </row>
    <row r="46" spans="2:13" ht="18" thickBot="1" x14ac:dyDescent="0.25">
      <c r="B46" s="21" t="s">
        <v>228</v>
      </c>
      <c r="C46" s="25" t="s">
        <v>138</v>
      </c>
      <c r="D46" s="2">
        <v>884.09906005859375</v>
      </c>
      <c r="E46" s="2">
        <v>3602.550537109375</v>
      </c>
      <c r="F46" s="2">
        <v>3469.63916015625</v>
      </c>
      <c r="G46" s="2">
        <v>5929.689453125</v>
      </c>
      <c r="H46" s="2">
        <v>7613.037109375</v>
      </c>
      <c r="I46" s="28">
        <v>0.96150338649749756</v>
      </c>
      <c r="J46" s="28">
        <v>1.6766113042831421</v>
      </c>
      <c r="K46" s="28">
        <v>-0.18778082728385925</v>
      </c>
      <c r="L46" s="28">
        <v>3.1931679248809814</v>
      </c>
      <c r="M46" s="28">
        <v>5.1248044967651367</v>
      </c>
    </row>
    <row r="47" spans="2:13" ht="18" thickBot="1" x14ac:dyDescent="0.25">
      <c r="B47" s="21" t="s">
        <v>228</v>
      </c>
      <c r="C47" s="25" t="s">
        <v>148</v>
      </c>
      <c r="D47" s="2">
        <v>810.9002685546875</v>
      </c>
      <c r="E47" s="2">
        <v>1145.1253662109375</v>
      </c>
      <c r="F47" s="2">
        <v>2146.0341796875</v>
      </c>
      <c r="G47" s="2">
        <v>5038.57080078125</v>
      </c>
      <c r="H47" s="2">
        <v>6995.49169921875</v>
      </c>
      <c r="I47" s="28">
        <v>0.96232354640960693</v>
      </c>
      <c r="J47" s="28">
        <v>4.1036348342895508</v>
      </c>
      <c r="K47" s="28">
        <v>3.1903719902038574</v>
      </c>
      <c r="L47" s="28">
        <v>4.8400611877441406</v>
      </c>
      <c r="M47" s="28">
        <v>6.783015251159668</v>
      </c>
    </row>
    <row r="48" spans="2:13" ht="18" thickBot="1" x14ac:dyDescent="0.25">
      <c r="B48" s="21" t="s">
        <v>228</v>
      </c>
      <c r="C48" s="25" t="s">
        <v>149</v>
      </c>
      <c r="D48" s="2">
        <v>1152.044921875</v>
      </c>
      <c r="E48" s="2">
        <v>1124.578369140625</v>
      </c>
      <c r="F48" s="2">
        <v>1703.977783203125</v>
      </c>
      <c r="G48" s="2">
        <v>5295.72119140625</v>
      </c>
      <c r="H48" s="2">
        <v>6363.2265625</v>
      </c>
      <c r="I48" s="28">
        <v>0.76244616508483887</v>
      </c>
      <c r="J48" s="28">
        <v>3.9265215396881104</v>
      </c>
      <c r="K48" s="28">
        <v>2.0995221138000488</v>
      </c>
      <c r="L48" s="28">
        <v>5.4116320610046387</v>
      </c>
      <c r="M48" s="28">
        <v>3.7410049438476562</v>
      </c>
    </row>
    <row r="49" spans="2:13" ht="18" thickBot="1" x14ac:dyDescent="0.25">
      <c r="B49" s="21" t="s">
        <v>228</v>
      </c>
      <c r="C49" s="25" t="s">
        <v>165</v>
      </c>
      <c r="D49" s="2">
        <v>908.58966064453125</v>
      </c>
      <c r="E49" s="2">
        <v>1588.6707763671875</v>
      </c>
      <c r="F49" s="2">
        <v>2696.251708984375</v>
      </c>
      <c r="G49" s="2">
        <v>4172.2099609375</v>
      </c>
      <c r="H49" s="2">
        <v>4349.15087890625</v>
      </c>
      <c r="I49" s="28">
        <v>0.69835716485977173</v>
      </c>
      <c r="J49" s="28">
        <v>2.2631921768188477</v>
      </c>
      <c r="K49" s="28">
        <v>2.680109977722168</v>
      </c>
      <c r="L49" s="28">
        <v>1.9308773279190063</v>
      </c>
      <c r="M49" s="28">
        <v>0.83415508270263672</v>
      </c>
    </row>
    <row r="50" spans="2:13" ht="18" thickBot="1" x14ac:dyDescent="0.25">
      <c r="B50" s="21" t="s">
        <v>228</v>
      </c>
      <c r="C50" s="25" t="s">
        <v>170</v>
      </c>
      <c r="D50" s="2">
        <v>320.7796630859375</v>
      </c>
      <c r="E50" s="2">
        <v>488.77899169921875</v>
      </c>
      <c r="F50" s="2">
        <v>829.04754638671875</v>
      </c>
      <c r="G50" s="2">
        <v>3658.47412109375</v>
      </c>
      <c r="H50" s="2">
        <v>3684.12353515625</v>
      </c>
      <c r="I50" s="28">
        <v>1.0908101797103882</v>
      </c>
      <c r="J50" s="28">
        <v>4.5908794403076172</v>
      </c>
      <c r="K50" s="28">
        <v>2.6770415306091309</v>
      </c>
      <c r="L50" s="28">
        <v>6.1476025581359863</v>
      </c>
      <c r="M50" s="28">
        <v>0.13982805609703064</v>
      </c>
    </row>
    <row r="51" spans="2:13" ht="18" thickBot="1" x14ac:dyDescent="0.25">
      <c r="B51" s="21" t="s">
        <v>232</v>
      </c>
      <c r="C51" s="25" t="s">
        <v>129</v>
      </c>
      <c r="D51" s="2">
        <v>2048.56689453125</v>
      </c>
      <c r="E51" s="2">
        <v>7733.71875</v>
      </c>
      <c r="F51" s="2">
        <v>7458.42529296875</v>
      </c>
      <c r="G51" s="2">
        <v>8826.0634765625</v>
      </c>
      <c r="H51" s="2">
        <v>9131.0029296875</v>
      </c>
      <c r="I51" s="28">
        <v>0.66644877195358276</v>
      </c>
      <c r="J51" s="28">
        <v>0.36976134777069092</v>
      </c>
      <c r="K51" s="28">
        <v>-0.18106348812580109</v>
      </c>
      <c r="L51" s="28">
        <v>0.81260889768600464</v>
      </c>
      <c r="M51" s="28">
        <v>0.68164151906967163</v>
      </c>
    </row>
    <row r="52" spans="2:13" ht="18" thickBot="1" x14ac:dyDescent="0.25">
      <c r="B52" s="21" t="s">
        <v>232</v>
      </c>
      <c r="C52" s="25" t="s">
        <v>166</v>
      </c>
      <c r="D52" s="2">
        <v>686.463623046875</v>
      </c>
      <c r="E52" s="2">
        <v>3303.63037109375</v>
      </c>
      <c r="F52" s="2">
        <v>2675.793701171875</v>
      </c>
      <c r="G52" s="2">
        <v>5559.00439453125</v>
      </c>
      <c r="H52" s="2">
        <v>5774.8232421875</v>
      </c>
      <c r="I52" s="28">
        <v>0.95103144645690918</v>
      </c>
      <c r="J52" s="28">
        <v>1.2488125562667847</v>
      </c>
      <c r="K52" s="28">
        <v>-1.048345685005188</v>
      </c>
      <c r="L52" s="28">
        <v>3.1248764991760254</v>
      </c>
      <c r="M52" s="28">
        <v>0.76468163728713989</v>
      </c>
    </row>
    <row r="53" spans="2:13" ht="18" thickBot="1" x14ac:dyDescent="0.25">
      <c r="B53" s="21" t="s">
        <v>232</v>
      </c>
      <c r="C53" s="25" t="s">
        <v>159</v>
      </c>
      <c r="D53" s="2">
        <v>627.019775390625</v>
      </c>
      <c r="E53" s="2">
        <v>3420.87158203125</v>
      </c>
      <c r="F53" s="2">
        <v>2455.57373046875</v>
      </c>
      <c r="G53" s="2">
        <v>4141.11328125</v>
      </c>
      <c r="H53" s="2">
        <v>4940.71875</v>
      </c>
      <c r="I53" s="28">
        <v>0.92168295383453369</v>
      </c>
      <c r="J53" s="28">
        <v>0.82026916742324829</v>
      </c>
      <c r="K53" s="28">
        <v>-1.6440109014511108</v>
      </c>
      <c r="L53" s="28">
        <v>2.836073637008667</v>
      </c>
      <c r="M53" s="28">
        <v>3.5940020084381104</v>
      </c>
    </row>
    <row r="54" spans="2:13" ht="18" thickBot="1" x14ac:dyDescent="0.25">
      <c r="B54" s="21" t="s">
        <v>232</v>
      </c>
      <c r="C54" s="25" t="s">
        <v>168</v>
      </c>
      <c r="D54" s="2">
        <v>729.568603515625</v>
      </c>
      <c r="E54" s="2">
        <v>2611.03857421875</v>
      </c>
      <c r="F54" s="2">
        <v>2477.746337890625</v>
      </c>
      <c r="G54" s="2">
        <v>3483.281982421875</v>
      </c>
      <c r="H54" s="2">
        <v>4177.35546875</v>
      </c>
      <c r="I54" s="28">
        <v>0.77856189012527466</v>
      </c>
      <c r="J54" s="28">
        <v>1.0497612953186035</v>
      </c>
      <c r="K54" s="28">
        <v>-0.26165026426315308</v>
      </c>
      <c r="L54" s="28">
        <v>2.1112947463989258</v>
      </c>
      <c r="M54" s="28">
        <v>3.7009079456329346</v>
      </c>
    </row>
    <row r="55" spans="2:13" ht="18" thickBot="1" x14ac:dyDescent="0.25">
      <c r="B55" s="21" t="s">
        <v>232</v>
      </c>
      <c r="C55" s="25" t="s">
        <v>459</v>
      </c>
      <c r="D55" s="2">
        <v>272.448974609375</v>
      </c>
      <c r="E55" s="2">
        <v>1609.8154296875</v>
      </c>
      <c r="F55" s="2">
        <v>2034.8101806640625</v>
      </c>
      <c r="G55" s="2">
        <v>2619.343505859375</v>
      </c>
      <c r="H55" s="2">
        <v>2886.677490234375</v>
      </c>
      <c r="I55" s="28">
        <v>1.0545932054519653</v>
      </c>
      <c r="J55" s="28">
        <v>1.3062055110931396</v>
      </c>
      <c r="K55" s="28">
        <v>1.1783030033111572</v>
      </c>
      <c r="L55" s="28">
        <v>1.4086438417434692</v>
      </c>
      <c r="M55" s="28">
        <v>1.9626619815826416</v>
      </c>
    </row>
    <row r="56" spans="2:13" ht="18" thickBot="1" x14ac:dyDescent="0.25">
      <c r="B56" s="21" t="s">
        <v>232</v>
      </c>
      <c r="C56" s="25" t="s">
        <v>184</v>
      </c>
      <c r="D56" s="2">
        <v>510.57070922851562</v>
      </c>
      <c r="E56" s="2">
        <v>677.525634765625</v>
      </c>
      <c r="F56" s="2">
        <v>691.02227783203125</v>
      </c>
      <c r="G56" s="2">
        <v>2076.276123046875</v>
      </c>
      <c r="H56" s="2">
        <v>2571.220703125</v>
      </c>
      <c r="I56" s="28">
        <v>0.72107934951782227</v>
      </c>
      <c r="J56" s="28">
        <v>3.0081090927124023</v>
      </c>
      <c r="K56" s="28">
        <v>9.8672375082969666E-2</v>
      </c>
      <c r="L56" s="28">
        <v>5.396428108215332</v>
      </c>
      <c r="M56" s="28">
        <v>4.3688397407531738</v>
      </c>
    </row>
    <row r="57" spans="2:13" ht="18" thickBot="1" x14ac:dyDescent="0.25">
      <c r="B57" s="21" t="s">
        <v>232</v>
      </c>
      <c r="C57" s="25" t="s">
        <v>185</v>
      </c>
      <c r="D57" s="2">
        <v>391.74356079101562</v>
      </c>
      <c r="E57" s="2">
        <v>799.6278076171875</v>
      </c>
      <c r="F57" s="2">
        <v>779.58038330078125</v>
      </c>
      <c r="G57" s="2">
        <v>1891.6796875</v>
      </c>
      <c r="H57" s="2">
        <v>2506.845703125</v>
      </c>
      <c r="I57" s="28">
        <v>0.82837802171707153</v>
      </c>
      <c r="J57" s="28">
        <v>2.5716991424560547</v>
      </c>
      <c r="K57" s="28">
        <v>-0.12687206268310547</v>
      </c>
      <c r="L57" s="28">
        <v>4.782961368560791</v>
      </c>
      <c r="M57" s="28">
        <v>5.7927732467651367</v>
      </c>
    </row>
    <row r="58" spans="2:13" ht="18" thickBot="1" x14ac:dyDescent="0.25">
      <c r="B58" s="21" t="s">
        <v>232</v>
      </c>
      <c r="C58" s="25" t="s">
        <v>198</v>
      </c>
      <c r="D58" s="2">
        <v>671.06805419921875</v>
      </c>
      <c r="E58" s="2">
        <v>1557.4854736328125</v>
      </c>
      <c r="F58" s="2">
        <v>1552.115234375</v>
      </c>
      <c r="G58" s="2">
        <v>1969.3359375</v>
      </c>
      <c r="H58" s="2">
        <v>2113.962646484375</v>
      </c>
      <c r="I58" s="28">
        <v>0.51127994060516357</v>
      </c>
      <c r="J58" s="28">
        <v>0.68117982149124146</v>
      </c>
      <c r="K58" s="28">
        <v>-1.7268281430006027E-2</v>
      </c>
      <c r="L58" s="28">
        <v>1.2434496879577637</v>
      </c>
      <c r="M58" s="28">
        <v>1.4274489879608154</v>
      </c>
    </row>
    <row r="59" spans="2:13" ht="18" thickBot="1" x14ac:dyDescent="0.25">
      <c r="B59" s="21" t="s">
        <v>232</v>
      </c>
      <c r="C59" s="25" t="s">
        <v>203</v>
      </c>
      <c r="D59" s="2">
        <v>659.458251953125</v>
      </c>
      <c r="E59" s="2">
        <v>1403.4547119140625</v>
      </c>
      <c r="F59" s="2">
        <v>847.75665283203125</v>
      </c>
      <c r="G59" s="2">
        <v>1131.4456787109375</v>
      </c>
      <c r="H59" s="2">
        <v>1268.6312255859375</v>
      </c>
      <c r="I59" s="28">
        <v>0.29121217131614685</v>
      </c>
      <c r="J59" s="28">
        <v>-0.22418899834156036</v>
      </c>
      <c r="K59" s="28">
        <v>-2.4889934062957764</v>
      </c>
      <c r="L59" s="28">
        <v>1.6254701614379883</v>
      </c>
      <c r="M59" s="28">
        <v>2.3152415752410889</v>
      </c>
    </row>
    <row r="60" spans="2:13" ht="18" thickBot="1" x14ac:dyDescent="0.25">
      <c r="B60" s="21" t="s">
        <v>232</v>
      </c>
      <c r="C60" s="25" t="s">
        <v>208</v>
      </c>
      <c r="D60" s="2">
        <v>905.353271484375</v>
      </c>
      <c r="E60" s="2">
        <v>2129.03955078125</v>
      </c>
      <c r="F60" s="2">
        <v>653.019287109375</v>
      </c>
      <c r="G60" s="2">
        <v>984.881591796875</v>
      </c>
      <c r="H60" s="2">
        <v>1174.989501953125</v>
      </c>
      <c r="I60" s="28">
        <v>0.11592906713485718</v>
      </c>
      <c r="J60" s="28">
        <v>-1.3122291564941406</v>
      </c>
      <c r="K60" s="28">
        <v>-5.7378993034362793</v>
      </c>
      <c r="L60" s="28">
        <v>2.3774528503417969</v>
      </c>
      <c r="M60" s="28">
        <v>3.5929007530212402</v>
      </c>
    </row>
    <row r="61" spans="2:13" ht="18" thickBot="1" x14ac:dyDescent="0.25">
      <c r="B61" s="21" t="s">
        <v>232</v>
      </c>
      <c r="C61" s="25" t="s">
        <v>214</v>
      </c>
      <c r="D61" s="2">
        <v>329.47674560546875</v>
      </c>
      <c r="E61" s="2">
        <v>856.55841064453125</v>
      </c>
      <c r="F61" s="2">
        <v>1827.5264892578125</v>
      </c>
      <c r="G61" s="2">
        <v>1690.2908935546875</v>
      </c>
      <c r="H61" s="2">
        <v>916.99810791015625</v>
      </c>
      <c r="I61" s="28">
        <v>0.45596957206726074</v>
      </c>
      <c r="J61" s="28">
        <v>0.15163235366344452</v>
      </c>
      <c r="K61" s="28">
        <v>3.861677885055542</v>
      </c>
      <c r="L61" s="28">
        <v>-2.7207551002502441</v>
      </c>
      <c r="M61" s="28">
        <v>-11.512607574462891</v>
      </c>
    </row>
    <row r="62" spans="2:13" ht="18" thickBot="1" x14ac:dyDescent="0.25">
      <c r="B62" s="21" t="s">
        <v>450</v>
      </c>
      <c r="C62" s="25" t="s">
        <v>450</v>
      </c>
      <c r="D62" s="2">
        <v>730.1724853515625</v>
      </c>
      <c r="E62" s="2">
        <v>7915.16943359375</v>
      </c>
      <c r="F62" s="2">
        <v>10036.2080078125</v>
      </c>
      <c r="G62" s="2">
        <v>12714.9208984375</v>
      </c>
      <c r="H62" s="2">
        <v>14588.1123046875</v>
      </c>
      <c r="I62" s="28">
        <v>1.3398663997650146</v>
      </c>
      <c r="J62" s="28">
        <v>1.3679968118667603</v>
      </c>
      <c r="K62" s="28">
        <v>1.1941653490066528</v>
      </c>
      <c r="L62" s="28">
        <v>1.5072770118713379</v>
      </c>
      <c r="M62" s="28">
        <v>2.7867393493652344</v>
      </c>
    </row>
  </sheetData>
  <mergeCells count="1">
    <mergeCell ref="B3:M3"/>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M13"/>
  <sheetViews>
    <sheetView workbookViewId="0">
      <selection activeCell="C3" sqref="C3:N3"/>
    </sheetView>
  </sheetViews>
  <sheetFormatPr baseColWidth="10" defaultColWidth="8.83203125" defaultRowHeight="15" x14ac:dyDescent="0.2"/>
  <cols>
    <col min="2" max="2" width="24.83203125" customWidth="1"/>
    <col min="3" max="3" width="14.5" customWidth="1"/>
    <col min="4" max="4" width="14.1640625" customWidth="1"/>
    <col min="5" max="5" width="13.6640625" customWidth="1"/>
    <col min="6" max="6" width="16.83203125" customWidth="1"/>
    <col min="7" max="7" width="15.1640625" customWidth="1"/>
    <col min="8" max="8" width="15.6640625" customWidth="1"/>
    <col min="9" max="9" width="17" customWidth="1"/>
    <col min="10" max="10" width="16.33203125" customWidth="1"/>
    <col min="11" max="11" width="16.5" customWidth="1"/>
    <col min="12" max="12" width="14.83203125" customWidth="1"/>
    <col min="13" max="13" width="17.1640625" customWidth="1"/>
  </cols>
  <sheetData>
    <row r="2" spans="2:13" ht="16" thickBot="1" x14ac:dyDescent="0.25"/>
    <row r="3" spans="2:13" ht="17" thickBot="1" x14ac:dyDescent="0.25">
      <c r="B3" s="138" t="s">
        <v>687</v>
      </c>
      <c r="C3" s="139"/>
      <c r="D3" s="139"/>
      <c r="E3" s="139"/>
      <c r="F3" s="139"/>
      <c r="G3" s="139"/>
      <c r="H3" s="139"/>
      <c r="I3" s="139"/>
      <c r="J3" s="139"/>
      <c r="K3" s="139"/>
      <c r="L3" s="139"/>
      <c r="M3" s="140"/>
    </row>
    <row r="4" spans="2:13" ht="52" thickBot="1" x14ac:dyDescent="0.25">
      <c r="B4" s="20"/>
      <c r="C4" s="1" t="s">
        <v>504</v>
      </c>
      <c r="D4" s="1" t="s">
        <v>615</v>
      </c>
      <c r="E4" s="1" t="s">
        <v>614</v>
      </c>
      <c r="F4" s="1" t="s">
        <v>613</v>
      </c>
      <c r="G4" s="1" t="s">
        <v>551</v>
      </c>
      <c r="H4" s="14" t="s">
        <v>552</v>
      </c>
      <c r="I4" s="14" t="s">
        <v>549</v>
      </c>
      <c r="J4" s="14" t="s">
        <v>655</v>
      </c>
      <c r="K4" s="14" t="s">
        <v>502</v>
      </c>
      <c r="L4" s="14" t="s">
        <v>550</v>
      </c>
      <c r="M4" s="14" t="s">
        <v>600</v>
      </c>
    </row>
    <row r="5" spans="2:13" ht="18" thickBot="1" x14ac:dyDescent="0.25">
      <c r="B5" s="21" t="s">
        <v>230</v>
      </c>
      <c r="C5" s="2">
        <v>400.53826904296875</v>
      </c>
      <c r="D5" s="2">
        <v>1182.8966064453125</v>
      </c>
      <c r="E5" s="28">
        <v>1498.9715576171875</v>
      </c>
      <c r="F5" s="28">
        <v>1665.532958984375</v>
      </c>
      <c r="G5" s="28">
        <v>1652.1856689453125</v>
      </c>
      <c r="H5" s="28">
        <v>4.124913215637207</v>
      </c>
      <c r="I5" s="28">
        <v>0.63178515434265137</v>
      </c>
      <c r="J5" s="28">
        <v>0.74528086185455322</v>
      </c>
      <c r="K5" s="28">
        <v>1.1911029815673828</v>
      </c>
      <c r="L5" s="28">
        <v>0.39003780484199524</v>
      </c>
      <c r="M5" s="28">
        <v>-0.16079363226890564</v>
      </c>
    </row>
    <row r="6" spans="2:13" ht="18" thickBot="1" x14ac:dyDescent="0.25">
      <c r="B6" s="21" t="s">
        <v>226</v>
      </c>
      <c r="C6" s="2">
        <v>145.62493896484375</v>
      </c>
      <c r="D6" s="2">
        <v>498.12008666992188</v>
      </c>
      <c r="E6" s="28">
        <v>524.720947265625</v>
      </c>
      <c r="F6" s="28">
        <v>552.56982421875</v>
      </c>
      <c r="G6" s="28">
        <v>555.98504638671875</v>
      </c>
      <c r="H6" s="28">
        <v>3.8179244995117188</v>
      </c>
      <c r="I6" s="28">
        <v>0.59720146656036377</v>
      </c>
      <c r="J6" s="28">
        <v>0.24452103674411774</v>
      </c>
      <c r="K6" s="28">
        <v>0.26046589016914368</v>
      </c>
      <c r="L6" s="28">
        <v>0.23176698386669159</v>
      </c>
      <c r="M6" s="28">
        <v>0.12330763787031174</v>
      </c>
    </row>
    <row r="7" spans="2:13" ht="18" thickBot="1" x14ac:dyDescent="0.25">
      <c r="B7" s="21" t="s">
        <v>229</v>
      </c>
      <c r="C7" s="2">
        <v>17.609682083129883</v>
      </c>
      <c r="D7" s="2">
        <v>359.65325927734375</v>
      </c>
      <c r="E7" s="28">
        <v>520.17303466796875</v>
      </c>
      <c r="F7" s="28">
        <v>645.54278564453125</v>
      </c>
      <c r="G7" s="28">
        <v>666.7366943359375</v>
      </c>
      <c r="H7" s="28">
        <v>37.8619384765625</v>
      </c>
      <c r="I7" s="28">
        <v>1.6282002925872803</v>
      </c>
      <c r="J7" s="28">
        <v>1.3811280727386475</v>
      </c>
      <c r="K7" s="28">
        <v>1.8622328042984009</v>
      </c>
      <c r="L7" s="28">
        <v>0.99788081645965576</v>
      </c>
      <c r="M7" s="28">
        <v>0.64816612005233765</v>
      </c>
    </row>
    <row r="8" spans="2:13" ht="18" thickBot="1" x14ac:dyDescent="0.25">
      <c r="B8" s="21" t="s">
        <v>231</v>
      </c>
      <c r="C8" s="2">
        <v>37.663642883300781</v>
      </c>
      <c r="D8" s="2">
        <v>229.966552734375</v>
      </c>
      <c r="E8" s="28">
        <v>384.2132568359375</v>
      </c>
      <c r="F8" s="28">
        <v>566.1634521484375</v>
      </c>
      <c r="G8" s="28">
        <v>612.22662353515625</v>
      </c>
      <c r="H8" s="28">
        <v>16.255107879638672</v>
      </c>
      <c r="I8" s="28">
        <v>1.2470031976699829</v>
      </c>
      <c r="J8" s="28">
        <v>2.1997764110565186</v>
      </c>
      <c r="K8" s="28">
        <v>2.5995328426361084</v>
      </c>
      <c r="L8" s="28">
        <v>1.88109290599823</v>
      </c>
      <c r="M8" s="28">
        <v>1.5766952037811279</v>
      </c>
    </row>
    <row r="9" spans="2:13" ht="18" thickBot="1" x14ac:dyDescent="0.25">
      <c r="B9" s="21" t="s">
        <v>227</v>
      </c>
      <c r="C9" s="2">
        <v>9.2114439010620117</v>
      </c>
      <c r="D9" s="2">
        <v>277.25616455078125</v>
      </c>
      <c r="E9" s="28">
        <v>343.52651977539062</v>
      </c>
      <c r="F9" s="28">
        <v>421.51687622070312</v>
      </c>
      <c r="G9" s="28">
        <v>433.84503173828125</v>
      </c>
      <c r="H9" s="28">
        <v>47.098480224609375</v>
      </c>
      <c r="I9" s="28">
        <v>1.7268475294113159</v>
      </c>
      <c r="J9" s="28">
        <v>0.99995648860931396</v>
      </c>
      <c r="K9" s="28">
        <v>1.0773744583129883</v>
      </c>
      <c r="L9" s="28">
        <v>0.9380648136138916</v>
      </c>
      <c r="M9" s="28">
        <v>0.5782170295715332</v>
      </c>
    </row>
    <row r="10" spans="2:13" ht="18" thickBot="1" x14ac:dyDescent="0.25">
      <c r="B10" s="21" t="s">
        <v>233</v>
      </c>
      <c r="C10" s="2">
        <v>42.272113800048828</v>
      </c>
      <c r="D10" s="2">
        <v>254.01832580566406</v>
      </c>
      <c r="E10" s="28">
        <v>278.07522583007812</v>
      </c>
      <c r="F10" s="28">
        <v>293.70242309570312</v>
      </c>
      <c r="G10" s="28">
        <v>292.72991943359375</v>
      </c>
      <c r="H10" s="28">
        <v>6.9248943328857422</v>
      </c>
      <c r="I10" s="28">
        <v>0.86376368999481201</v>
      </c>
      <c r="J10" s="28">
        <v>0.31570610404014587</v>
      </c>
      <c r="K10" s="28">
        <v>0.45345142483711243</v>
      </c>
      <c r="L10" s="28">
        <v>0.2056458592414856</v>
      </c>
      <c r="M10" s="28">
        <v>-6.6310696303844452E-2</v>
      </c>
    </row>
    <row r="11" spans="2:13" ht="18" thickBot="1" x14ac:dyDescent="0.25">
      <c r="B11" s="21" t="s">
        <v>228</v>
      </c>
      <c r="C11" s="2">
        <v>254.15353393554688</v>
      </c>
      <c r="D11" s="2">
        <v>1254.9410400390625</v>
      </c>
      <c r="E11" s="28">
        <v>1939.3189697265625</v>
      </c>
      <c r="F11" s="28">
        <v>2570.775390625</v>
      </c>
      <c r="G11" s="28">
        <v>2692.82177734375</v>
      </c>
      <c r="H11" s="28">
        <v>10.595255851745605</v>
      </c>
      <c r="I11" s="28">
        <v>1.0545915365219116</v>
      </c>
      <c r="J11" s="28">
        <v>1.7111442089080811</v>
      </c>
      <c r="K11" s="28">
        <v>2.2000942230224609</v>
      </c>
      <c r="L11" s="28">
        <v>1.3216689825057983</v>
      </c>
      <c r="M11" s="28">
        <v>0.93195652961730957</v>
      </c>
    </row>
    <row r="12" spans="2:13" ht="18" thickBot="1" x14ac:dyDescent="0.25">
      <c r="B12" s="21" t="s">
        <v>232</v>
      </c>
      <c r="C12" s="2">
        <v>99.954139709472656</v>
      </c>
      <c r="D12" s="2">
        <v>390.2762451171875</v>
      </c>
      <c r="E12" s="28">
        <v>681.90435791015625</v>
      </c>
      <c r="F12" s="28">
        <v>1170.15966796875</v>
      </c>
      <c r="G12" s="28">
        <v>1324.0028076171875</v>
      </c>
      <c r="H12" s="28">
        <v>13.246103286743164</v>
      </c>
      <c r="I12" s="28">
        <v>1.1549310684204102</v>
      </c>
      <c r="J12" s="28">
        <v>2.751758337020874</v>
      </c>
      <c r="K12" s="28">
        <v>2.829463005065918</v>
      </c>
      <c r="L12" s="28">
        <v>2.6896369457244873</v>
      </c>
      <c r="M12" s="28">
        <v>2.501154899597168</v>
      </c>
    </row>
    <row r="13" spans="2:13" ht="18" thickBot="1" x14ac:dyDescent="0.25">
      <c r="B13" s="22" t="s">
        <v>450</v>
      </c>
      <c r="C13" s="17">
        <v>1007.0277709960938</v>
      </c>
      <c r="D13" s="17">
        <v>4447.12841796875</v>
      </c>
      <c r="E13" s="29">
        <v>6170.90380859375</v>
      </c>
      <c r="F13" s="29">
        <v>7885.96337890625</v>
      </c>
      <c r="G13" s="29">
        <v>8230.533203125</v>
      </c>
      <c r="H13" s="29">
        <v>8.1730947494506836</v>
      </c>
      <c r="I13" s="29">
        <v>0.93808275461196899</v>
      </c>
      <c r="J13" s="29">
        <v>1.3773825168609619</v>
      </c>
      <c r="K13" s="29">
        <v>1.6514215469360352</v>
      </c>
      <c r="L13" s="29">
        <v>1.1586834192276001</v>
      </c>
      <c r="M13" s="29">
        <v>0.85899722576141357</v>
      </c>
    </row>
  </sheetData>
  <mergeCells count="1">
    <mergeCell ref="B3:M3"/>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L13"/>
  <sheetViews>
    <sheetView workbookViewId="0">
      <selection activeCell="C3" sqref="C3:N3"/>
    </sheetView>
  </sheetViews>
  <sheetFormatPr baseColWidth="10" defaultColWidth="8.83203125" defaultRowHeight="15" x14ac:dyDescent="0.2"/>
  <cols>
    <col min="2" max="2" width="25.1640625" customWidth="1"/>
    <col min="3" max="3" width="17.33203125" customWidth="1"/>
    <col min="4" max="4" width="18" customWidth="1"/>
    <col min="5" max="5" width="16.83203125" customWidth="1"/>
    <col min="6" max="6" width="16.5" customWidth="1"/>
    <col min="7" max="7" width="17.83203125" customWidth="1"/>
    <col min="8" max="8" width="15.5" customWidth="1"/>
    <col min="9" max="9" width="16.1640625" customWidth="1"/>
    <col min="10" max="10" width="16.33203125" customWidth="1"/>
    <col min="11" max="11" width="15.83203125" customWidth="1"/>
    <col min="12" max="12" width="16" customWidth="1"/>
  </cols>
  <sheetData>
    <row r="2" spans="2:12" ht="16" thickBot="1" x14ac:dyDescent="0.25"/>
    <row r="3" spans="2:12" ht="17" customHeight="1" thickBot="1" x14ac:dyDescent="0.25">
      <c r="B3" s="222" t="s">
        <v>688</v>
      </c>
      <c r="C3" s="223"/>
      <c r="D3" s="223"/>
      <c r="E3" s="223"/>
      <c r="F3" s="223"/>
      <c r="G3" s="223"/>
      <c r="H3" s="223"/>
      <c r="I3" s="223"/>
      <c r="J3" s="223"/>
      <c r="K3" s="223"/>
      <c r="L3" s="224"/>
    </row>
    <row r="4" spans="2:12" ht="52" thickBot="1" x14ac:dyDescent="0.25">
      <c r="B4" s="20"/>
      <c r="C4" s="1" t="s">
        <v>546</v>
      </c>
      <c r="D4" s="1" t="s">
        <v>547</v>
      </c>
      <c r="E4" s="1" t="s">
        <v>616</v>
      </c>
      <c r="F4" s="1" t="s">
        <v>617</v>
      </c>
      <c r="G4" s="1" t="s">
        <v>548</v>
      </c>
      <c r="H4" s="14" t="s">
        <v>549</v>
      </c>
      <c r="I4" s="14" t="s">
        <v>655</v>
      </c>
      <c r="J4" s="14" t="s">
        <v>502</v>
      </c>
      <c r="K4" s="14" t="s">
        <v>550</v>
      </c>
      <c r="L4" s="14" t="s">
        <v>600</v>
      </c>
    </row>
    <row r="5" spans="2:12" ht="18" thickBot="1" x14ac:dyDescent="0.25">
      <c r="B5" s="21" t="s">
        <v>230</v>
      </c>
      <c r="C5" s="32">
        <v>1.5700549120083451E-3</v>
      </c>
      <c r="D5" s="32">
        <v>0.29674822092056274</v>
      </c>
      <c r="E5" s="34">
        <v>0.57910627126693726</v>
      </c>
      <c r="F5" s="34">
        <v>0.83524191379547119</v>
      </c>
      <c r="G5" s="34">
        <v>1</v>
      </c>
      <c r="H5" s="28">
        <v>2.9111900329589844</v>
      </c>
      <c r="I5" s="28">
        <v>2.7364861965179443</v>
      </c>
      <c r="J5" s="28">
        <v>3.3995163440704346</v>
      </c>
      <c r="K5" s="28">
        <v>2.2091248035430908</v>
      </c>
      <c r="L5" s="28">
        <v>3.6662871837615967</v>
      </c>
    </row>
    <row r="6" spans="2:12" ht="18" thickBot="1" x14ac:dyDescent="0.25">
      <c r="B6" s="21" t="s">
        <v>226</v>
      </c>
      <c r="C6" s="32">
        <v>1.7174565000459552E-3</v>
      </c>
      <c r="D6" s="32">
        <v>0.30642175674438477</v>
      </c>
      <c r="E6" s="34">
        <v>0.60588580369949341</v>
      </c>
      <c r="F6" s="34">
        <v>0.83755868673324585</v>
      </c>
      <c r="G6" s="34">
        <v>1</v>
      </c>
      <c r="H6" s="28">
        <v>2.8701555728912354</v>
      </c>
      <c r="I6" s="28">
        <v>2.6632764339447021</v>
      </c>
      <c r="J6" s="28">
        <v>3.4674055576324463</v>
      </c>
      <c r="K6" s="28">
        <v>2.02447509765625</v>
      </c>
      <c r="L6" s="28">
        <v>3.6088731288909912</v>
      </c>
    </row>
    <row r="7" spans="2:12" ht="18" thickBot="1" x14ac:dyDescent="0.25">
      <c r="B7" s="21" t="s">
        <v>229</v>
      </c>
      <c r="C7" s="32">
        <v>1.6052589053288102E-3</v>
      </c>
      <c r="D7" s="32">
        <v>0.29722139239311218</v>
      </c>
      <c r="E7" s="34">
        <v>0.60075706243515015</v>
      </c>
      <c r="F7" s="34">
        <v>0.83682209253311157</v>
      </c>
      <c r="G7" s="34">
        <v>1</v>
      </c>
      <c r="H7" s="28">
        <v>2.9010484218597412</v>
      </c>
      <c r="I7" s="28">
        <v>2.7328488826751709</v>
      </c>
      <c r="J7" s="28">
        <v>3.5812005996704102</v>
      </c>
      <c r="K7" s="28">
        <v>2.0591728687286377</v>
      </c>
      <c r="L7" s="28">
        <v>3.6271066665649414</v>
      </c>
    </row>
    <row r="8" spans="2:12" ht="18" thickBot="1" x14ac:dyDescent="0.25">
      <c r="B8" s="21" t="s">
        <v>231</v>
      </c>
      <c r="C8" s="32">
        <v>1.6534499591216445E-3</v>
      </c>
      <c r="D8" s="32">
        <v>0.30088457465171814</v>
      </c>
      <c r="E8" s="34">
        <v>0.61785024404525757</v>
      </c>
      <c r="F8" s="34">
        <v>0.84192848205566406</v>
      </c>
      <c r="G8" s="34">
        <v>1</v>
      </c>
      <c r="H8" s="28">
        <v>2.8875217437744141</v>
      </c>
      <c r="I8" s="28">
        <v>2.704887866973877</v>
      </c>
      <c r="J8" s="28">
        <v>3.6630935668945312</v>
      </c>
      <c r="K8" s="28">
        <v>1.9447044134140015</v>
      </c>
      <c r="L8" s="28">
        <v>3.5010986328125</v>
      </c>
    </row>
    <row r="9" spans="2:12" ht="18" thickBot="1" x14ac:dyDescent="0.25">
      <c r="B9" s="21" t="s">
        <v>227</v>
      </c>
      <c r="C9" s="32">
        <v>1.5868580667302012E-3</v>
      </c>
      <c r="D9" s="32">
        <v>0.30529642105102539</v>
      </c>
      <c r="E9" s="34">
        <v>0.61371332406997681</v>
      </c>
      <c r="F9" s="34">
        <v>0.83985310792922974</v>
      </c>
      <c r="G9" s="34">
        <v>1</v>
      </c>
      <c r="H9" s="28">
        <v>2.9063212871551514</v>
      </c>
      <c r="I9" s="28">
        <v>2.67167067527771</v>
      </c>
      <c r="J9" s="28">
        <v>3.5528824329376221</v>
      </c>
      <c r="K9" s="28">
        <v>1.972103476524353</v>
      </c>
      <c r="L9" s="28">
        <v>3.5522007942199707</v>
      </c>
    </row>
    <row r="10" spans="2:12" ht="18" thickBot="1" x14ac:dyDescent="0.25">
      <c r="B10" s="21" t="s">
        <v>233</v>
      </c>
      <c r="C10" s="32">
        <v>1.8250471912324429E-3</v>
      </c>
      <c r="D10" s="32">
        <v>0.31163203716278076</v>
      </c>
      <c r="E10" s="34">
        <v>0.60996890068054199</v>
      </c>
      <c r="F10" s="34">
        <v>0.84124565124511719</v>
      </c>
      <c r="G10" s="34">
        <v>1</v>
      </c>
      <c r="H10" s="28">
        <v>2.842379093170166</v>
      </c>
      <c r="I10" s="28">
        <v>2.6248176097869873</v>
      </c>
      <c r="J10" s="28">
        <v>3.4149389266967773</v>
      </c>
      <c r="K10" s="28">
        <v>1.9970691204071045</v>
      </c>
      <c r="L10" s="28">
        <v>3.5178952217102051</v>
      </c>
    </row>
    <row r="11" spans="2:12" ht="18" thickBot="1" x14ac:dyDescent="0.25">
      <c r="B11" s="21" t="s">
        <v>228</v>
      </c>
      <c r="C11" s="32">
        <v>1.5574421267956495E-3</v>
      </c>
      <c r="D11" s="32">
        <v>0.29865169525146484</v>
      </c>
      <c r="E11" s="34">
        <v>0.59456914663314819</v>
      </c>
      <c r="F11" s="34">
        <v>0.83105099201202393</v>
      </c>
      <c r="G11" s="34">
        <v>1</v>
      </c>
      <c r="H11" s="28">
        <v>2.914879322052002</v>
      </c>
      <c r="I11" s="28">
        <v>2.7218897342681885</v>
      </c>
      <c r="J11" s="28">
        <v>3.5027453899383545</v>
      </c>
      <c r="K11" s="28">
        <v>2.1014490127563477</v>
      </c>
      <c r="L11" s="28">
        <v>3.7706329822540283</v>
      </c>
    </row>
    <row r="12" spans="2:12" ht="18" thickBot="1" x14ac:dyDescent="0.25">
      <c r="B12" s="21" t="s">
        <v>232</v>
      </c>
      <c r="C12" s="32">
        <v>1.9503631629049778E-3</v>
      </c>
      <c r="D12" s="32">
        <v>0.29437461495399475</v>
      </c>
      <c r="E12" s="34">
        <v>0.49222594499588013</v>
      </c>
      <c r="F12" s="34">
        <v>0.80471205711364746</v>
      </c>
      <c r="G12" s="34">
        <v>1</v>
      </c>
      <c r="H12" s="28">
        <v>2.8120293617248535</v>
      </c>
      <c r="I12" s="28">
        <v>2.7548227310180664</v>
      </c>
      <c r="J12" s="28">
        <v>2.6037437915802002</v>
      </c>
      <c r="K12" s="28">
        <v>2.8758461475372314</v>
      </c>
      <c r="L12" s="28">
        <v>4.4412107467651367</v>
      </c>
    </row>
    <row r="13" spans="2:12" ht="18" thickBot="1" x14ac:dyDescent="0.25">
      <c r="B13" s="22" t="s">
        <v>450</v>
      </c>
      <c r="C13" s="33">
        <v>1.628259546123445E-3</v>
      </c>
      <c r="D13" s="33">
        <v>0.2837778627872467</v>
      </c>
      <c r="E13" s="35">
        <v>0.53426247835159302</v>
      </c>
      <c r="F13" s="35">
        <v>0.82272088527679443</v>
      </c>
      <c r="G13" s="35">
        <v>1</v>
      </c>
      <c r="H13" s="29">
        <v>2.8945422172546387</v>
      </c>
      <c r="I13" s="29">
        <v>2.8385708332061768</v>
      </c>
      <c r="J13" s="29">
        <v>3.2140471935272217</v>
      </c>
      <c r="K13" s="29">
        <v>2.5391736030578613</v>
      </c>
      <c r="L13" s="29">
        <v>3.9799239635467529</v>
      </c>
    </row>
  </sheetData>
  <mergeCells count="1">
    <mergeCell ref="B3:L3"/>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L13"/>
  <sheetViews>
    <sheetView workbookViewId="0">
      <selection activeCell="C3" sqref="C3:N3"/>
    </sheetView>
  </sheetViews>
  <sheetFormatPr baseColWidth="10" defaultColWidth="8.83203125" defaultRowHeight="15" x14ac:dyDescent="0.2"/>
  <cols>
    <col min="2" max="2" width="24.83203125" customWidth="1"/>
    <col min="3" max="3" width="17.6640625" customWidth="1"/>
    <col min="4" max="5" width="17" customWidth="1"/>
    <col min="6" max="6" width="17.5" customWidth="1"/>
    <col min="7" max="7" width="17.1640625" customWidth="1"/>
    <col min="8" max="8" width="15.1640625" customWidth="1"/>
    <col min="9" max="9" width="16.6640625" customWidth="1"/>
    <col min="10" max="10" width="15.5" customWidth="1"/>
    <col min="11" max="11" width="15.6640625" customWidth="1"/>
    <col min="12" max="12" width="13.33203125" customWidth="1"/>
  </cols>
  <sheetData>
    <row r="2" spans="2:12" ht="16" thickBot="1" x14ac:dyDescent="0.25"/>
    <row r="3" spans="2:12" ht="17" thickBot="1" x14ac:dyDescent="0.25">
      <c r="B3" s="138" t="s">
        <v>689</v>
      </c>
      <c r="C3" s="139"/>
      <c r="D3" s="139"/>
      <c r="E3" s="139"/>
      <c r="F3" s="139"/>
      <c r="G3" s="139"/>
      <c r="H3" s="139"/>
      <c r="I3" s="139"/>
      <c r="J3" s="139"/>
      <c r="K3" s="139"/>
      <c r="L3" s="140"/>
    </row>
    <row r="4" spans="2:12" ht="52" thickBot="1" x14ac:dyDescent="0.25">
      <c r="B4" s="20"/>
      <c r="C4" s="1" t="s">
        <v>618</v>
      </c>
      <c r="D4" s="1" t="s">
        <v>619</v>
      </c>
      <c r="E4" s="1" t="s">
        <v>620</v>
      </c>
      <c r="F4" s="1" t="s">
        <v>621</v>
      </c>
      <c r="G4" s="1" t="s">
        <v>622</v>
      </c>
      <c r="H4" s="14" t="s">
        <v>549</v>
      </c>
      <c r="I4" s="14" t="s">
        <v>655</v>
      </c>
      <c r="J4" s="14" t="s">
        <v>502</v>
      </c>
      <c r="K4" s="14" t="s">
        <v>550</v>
      </c>
      <c r="L4" s="14" t="s">
        <v>600</v>
      </c>
    </row>
    <row r="5" spans="2:12" ht="18" thickBot="1" x14ac:dyDescent="0.25">
      <c r="B5" s="21" t="s">
        <v>230</v>
      </c>
      <c r="C5" s="32">
        <v>2.2628206759691238E-2</v>
      </c>
      <c r="D5" s="32">
        <v>0.29683178663253784</v>
      </c>
      <c r="E5" s="34">
        <v>0.5313873291015625</v>
      </c>
      <c r="F5" s="34">
        <v>0.81249302625656128</v>
      </c>
      <c r="G5" s="34">
        <v>1</v>
      </c>
      <c r="H5" s="28">
        <v>1.6980594396591187</v>
      </c>
      <c r="I5" s="28">
        <v>2.7358434200286865</v>
      </c>
      <c r="J5" s="28">
        <v>2.954430103302002</v>
      </c>
      <c r="K5" s="28">
        <v>2.5613083839416504</v>
      </c>
      <c r="L5" s="28">
        <v>4.2404007911682129</v>
      </c>
    </row>
    <row r="6" spans="2:12" ht="18" thickBot="1" x14ac:dyDescent="0.25">
      <c r="B6" s="21" t="s">
        <v>226</v>
      </c>
      <c r="C6" s="32">
        <v>2.475261315703392E-2</v>
      </c>
      <c r="D6" s="32">
        <v>0.30650812387466431</v>
      </c>
      <c r="E6" s="34">
        <v>0.55596017837524414</v>
      </c>
      <c r="F6" s="34">
        <v>0.81474661827087402</v>
      </c>
      <c r="G6" s="34">
        <v>1</v>
      </c>
      <c r="H6" s="28">
        <v>1.6575086116790771</v>
      </c>
      <c r="I6" s="28">
        <v>2.6626334190368652</v>
      </c>
      <c r="J6" s="28">
        <v>3.0220255851745605</v>
      </c>
      <c r="K6" s="28">
        <v>2.3760225772857666</v>
      </c>
      <c r="L6" s="28">
        <v>4.1826705932617188</v>
      </c>
    </row>
    <row r="7" spans="2:12" ht="18" thickBot="1" x14ac:dyDescent="0.25">
      <c r="B7" s="21" t="s">
        <v>229</v>
      </c>
      <c r="C7" s="32">
        <v>2.3135578259825706E-2</v>
      </c>
      <c r="D7" s="32">
        <v>0.29730513691902161</v>
      </c>
      <c r="E7" s="34">
        <v>0.55125409364700317</v>
      </c>
      <c r="F7" s="34">
        <v>0.81403011083602905</v>
      </c>
      <c r="G7" s="34">
        <v>1</v>
      </c>
      <c r="H7" s="28">
        <v>1.6880372762680054</v>
      </c>
      <c r="I7" s="28">
        <v>2.732205867767334</v>
      </c>
      <c r="J7" s="28">
        <v>3.1353318691253662</v>
      </c>
      <c r="K7" s="28">
        <v>2.4108395576477051</v>
      </c>
      <c r="L7" s="28">
        <v>4.2010045051574707</v>
      </c>
    </row>
    <row r="8" spans="2:12" ht="18" thickBot="1" x14ac:dyDescent="0.25">
      <c r="B8" s="21" t="s">
        <v>231</v>
      </c>
      <c r="C8" s="32">
        <v>2.3830128833651543E-2</v>
      </c>
      <c r="D8" s="32">
        <v>0.30096933245658875</v>
      </c>
      <c r="E8" s="34">
        <v>0.56693869829177856</v>
      </c>
      <c r="F8" s="34">
        <v>0.81899738311767578</v>
      </c>
      <c r="G8" s="34">
        <v>1</v>
      </c>
      <c r="H8" s="28">
        <v>1.6746699810028076</v>
      </c>
      <c r="I8" s="28">
        <v>2.7042450904846191</v>
      </c>
      <c r="J8" s="28">
        <v>3.2168717384338379</v>
      </c>
      <c r="K8" s="28">
        <v>2.2959773540496826</v>
      </c>
      <c r="L8" s="28">
        <v>4.0742998123168945</v>
      </c>
    </row>
    <row r="9" spans="2:12" ht="18" thickBot="1" x14ac:dyDescent="0.25">
      <c r="B9" s="21" t="s">
        <v>227</v>
      </c>
      <c r="C9" s="32">
        <v>2.2870384156703949E-2</v>
      </c>
      <c r="D9" s="32">
        <v>0.30538246035575867</v>
      </c>
      <c r="E9" s="34">
        <v>0.56314271688461304</v>
      </c>
      <c r="F9" s="34">
        <v>0.8169785737991333</v>
      </c>
      <c r="G9" s="34">
        <v>1</v>
      </c>
      <c r="H9" s="28">
        <v>1.69324791431427</v>
      </c>
      <c r="I9" s="28">
        <v>2.671027660369873</v>
      </c>
      <c r="J9" s="28">
        <v>3.1071348190307617</v>
      </c>
      <c r="K9" s="28">
        <v>2.3234703540802002</v>
      </c>
      <c r="L9" s="28">
        <v>4.1256837844848633</v>
      </c>
    </row>
    <row r="10" spans="2:12" ht="18" thickBot="1" x14ac:dyDescent="0.25">
      <c r="B10" s="21" t="s">
        <v>233</v>
      </c>
      <c r="C10" s="32">
        <v>2.6303248479962349E-2</v>
      </c>
      <c r="D10" s="32">
        <v>0.31171983480453491</v>
      </c>
      <c r="E10" s="34">
        <v>0.55970680713653564</v>
      </c>
      <c r="F10" s="34">
        <v>0.81833332777023315</v>
      </c>
      <c r="G10" s="34">
        <v>1</v>
      </c>
      <c r="H10" s="28">
        <v>1.6300595998764038</v>
      </c>
      <c r="I10" s="28">
        <v>2.6241750717163086</v>
      </c>
      <c r="J10" s="28">
        <v>2.9697854518890381</v>
      </c>
      <c r="K10" s="28">
        <v>2.3485221862792969</v>
      </c>
      <c r="L10" s="28">
        <v>4.0911850929260254</v>
      </c>
    </row>
    <row r="11" spans="2:12" ht="18" thickBot="1" x14ac:dyDescent="0.25">
      <c r="B11" s="21" t="s">
        <v>228</v>
      </c>
      <c r="C11" s="32">
        <v>2.2446427494287491E-2</v>
      </c>
      <c r="D11" s="32">
        <v>0.2987358570098877</v>
      </c>
      <c r="E11" s="34">
        <v>0.54557597637176514</v>
      </c>
      <c r="F11" s="34">
        <v>0.80841624736785889</v>
      </c>
      <c r="G11" s="34">
        <v>1</v>
      </c>
      <c r="H11" s="28">
        <v>1.7017052173614502</v>
      </c>
      <c r="I11" s="28">
        <v>2.7212464809417725</v>
      </c>
      <c r="J11" s="28">
        <v>3.0572130680084229</v>
      </c>
      <c r="K11" s="28">
        <v>2.4532620906829834</v>
      </c>
      <c r="L11" s="28">
        <v>4.3453245162963867</v>
      </c>
    </row>
    <row r="12" spans="2:12" ht="18" thickBot="1" x14ac:dyDescent="0.25">
      <c r="B12" s="21" t="s">
        <v>232</v>
      </c>
      <c r="C12" s="32">
        <v>2.8109347447752953E-2</v>
      </c>
      <c r="D12" s="32">
        <v>0.29445752501487732</v>
      </c>
      <c r="E12" s="34">
        <v>0.45166602730751038</v>
      </c>
      <c r="F12" s="34">
        <v>0.78279465436935425</v>
      </c>
      <c r="G12" s="34">
        <v>1</v>
      </c>
      <c r="H12" s="28">
        <v>1.6000674962997437</v>
      </c>
      <c r="I12" s="28">
        <v>2.7541797161102295</v>
      </c>
      <c r="J12" s="28">
        <v>2.1620829105377197</v>
      </c>
      <c r="K12" s="28">
        <v>3.2303268909454346</v>
      </c>
      <c r="L12" s="28">
        <v>5.0196170806884766</v>
      </c>
    </row>
    <row r="13" spans="2:12" ht="18" thickBot="1" x14ac:dyDescent="0.25">
      <c r="B13" s="22" t="s">
        <v>450</v>
      </c>
      <c r="C13" s="33">
        <v>2.3467075079679489E-2</v>
      </c>
      <c r="D13" s="33">
        <v>0.2838577926158905</v>
      </c>
      <c r="E13" s="35">
        <v>0.4902387261390686</v>
      </c>
      <c r="F13" s="35">
        <v>0.80031305551528931</v>
      </c>
      <c r="G13" s="35">
        <v>1</v>
      </c>
      <c r="H13" s="29">
        <v>1.681607723236084</v>
      </c>
      <c r="I13" s="29">
        <v>2.8379273414611816</v>
      </c>
      <c r="J13" s="29">
        <v>2.7697594165802002</v>
      </c>
      <c r="K13" s="29">
        <v>2.8924942016601562</v>
      </c>
      <c r="L13" s="29">
        <v>4.5557737350463867</v>
      </c>
    </row>
  </sheetData>
  <mergeCells count="1">
    <mergeCell ref="B3:L3"/>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L13"/>
  <sheetViews>
    <sheetView workbookViewId="0">
      <selection activeCell="C3" sqref="C3:N3"/>
    </sheetView>
  </sheetViews>
  <sheetFormatPr baseColWidth="10" defaultColWidth="15.83203125" defaultRowHeight="15" x14ac:dyDescent="0.2"/>
  <cols>
    <col min="1" max="1" width="9.83203125" customWidth="1"/>
    <col min="2" max="2" width="25.5" customWidth="1"/>
    <col min="3" max="3" width="16.83203125" customWidth="1"/>
    <col min="4" max="4" width="16.5" customWidth="1"/>
    <col min="5" max="5" width="17.1640625" customWidth="1"/>
    <col min="6" max="7" width="17" customWidth="1"/>
  </cols>
  <sheetData>
    <row r="2" spans="2:12" ht="16" thickBot="1" x14ac:dyDescent="0.25"/>
    <row r="3" spans="2:12" ht="17" thickBot="1" x14ac:dyDescent="0.25">
      <c r="B3" s="189" t="s">
        <v>743</v>
      </c>
      <c r="C3" s="190"/>
      <c r="D3" s="190"/>
      <c r="E3" s="190"/>
      <c r="F3" s="190"/>
      <c r="G3" s="190"/>
      <c r="H3" s="190"/>
      <c r="I3" s="190"/>
      <c r="J3" s="190"/>
      <c r="K3" s="190"/>
      <c r="L3" s="225"/>
    </row>
    <row r="4" spans="2:12" ht="35" thickBot="1" x14ac:dyDescent="0.25">
      <c r="B4" s="36"/>
      <c r="C4" s="1" t="s">
        <v>506</v>
      </c>
      <c r="D4" s="1" t="s">
        <v>505</v>
      </c>
      <c r="E4" s="1" t="s">
        <v>623</v>
      </c>
      <c r="F4" s="1" t="s">
        <v>624</v>
      </c>
      <c r="G4" s="1" t="s">
        <v>625</v>
      </c>
      <c r="H4" s="14" t="s">
        <v>549</v>
      </c>
      <c r="I4" s="14" t="s">
        <v>655</v>
      </c>
      <c r="J4" s="14" t="s">
        <v>502</v>
      </c>
      <c r="K4" s="14" t="s">
        <v>550</v>
      </c>
      <c r="L4" s="14" t="s">
        <v>600</v>
      </c>
    </row>
    <row r="5" spans="2:12" ht="18" thickBot="1" x14ac:dyDescent="0.25">
      <c r="B5" s="25" t="s">
        <v>230</v>
      </c>
      <c r="C5" s="32">
        <v>1.3899103505536914E-3</v>
      </c>
      <c r="D5" s="32">
        <v>0.38338977098464966</v>
      </c>
      <c r="E5" s="34">
        <v>1.0778210163116455</v>
      </c>
      <c r="F5" s="34">
        <v>1.06227707862854</v>
      </c>
      <c r="G5" s="34">
        <v>1</v>
      </c>
      <c r="H5" s="28">
        <v>2.966947078704834</v>
      </c>
      <c r="I5" s="28">
        <v>2.1533074378967285</v>
      </c>
      <c r="J5" s="28">
        <v>5.3041062355041504</v>
      </c>
      <c r="K5" s="28">
        <v>-0.29931685328483582</v>
      </c>
      <c r="L5" s="28">
        <v>-1.2010252475738525</v>
      </c>
    </row>
    <row r="6" spans="2:12" ht="18" thickBot="1" x14ac:dyDescent="0.25">
      <c r="B6" s="25" t="s">
        <v>226</v>
      </c>
      <c r="C6" s="32">
        <v>1.9370096269994974E-3</v>
      </c>
      <c r="D6" s="32">
        <v>0.27626633644104004</v>
      </c>
      <c r="E6" s="34">
        <v>0.61933755874633789</v>
      </c>
      <c r="F6" s="34">
        <v>0.81865954399108887</v>
      </c>
      <c r="G6" s="34">
        <v>1</v>
      </c>
      <c r="H6" s="28">
        <v>2.8151686191558838</v>
      </c>
      <c r="I6" s="28">
        <v>2.8998956680297852</v>
      </c>
      <c r="J6" s="28">
        <v>4.1189961433410645</v>
      </c>
      <c r="K6" s="28">
        <v>1.9349005222320557</v>
      </c>
      <c r="L6" s="28">
        <v>4.082888126373291</v>
      </c>
    </row>
    <row r="7" spans="2:12" ht="18" thickBot="1" x14ac:dyDescent="0.25">
      <c r="B7" s="25" t="s">
        <v>229</v>
      </c>
      <c r="C7" s="32">
        <v>1.884993864223361E-3</v>
      </c>
      <c r="D7" s="32">
        <v>0.277261883020401</v>
      </c>
      <c r="E7" s="34">
        <v>0.66564851999282837</v>
      </c>
      <c r="F7" s="34">
        <v>0.74560314416885376</v>
      </c>
      <c r="G7" s="34">
        <v>1</v>
      </c>
      <c r="H7" s="28">
        <v>2.8276081085205078</v>
      </c>
      <c r="I7" s="28">
        <v>2.8916704654693604</v>
      </c>
      <c r="J7" s="28">
        <v>4.4762892723083496</v>
      </c>
      <c r="K7" s="28">
        <v>1.6412976980209351</v>
      </c>
      <c r="L7" s="28">
        <v>6.0470161437988281</v>
      </c>
    </row>
    <row r="8" spans="2:12" ht="18" thickBot="1" x14ac:dyDescent="0.25">
      <c r="B8" s="25" t="s">
        <v>231</v>
      </c>
      <c r="C8" s="32">
        <v>1.8162756459787488E-3</v>
      </c>
      <c r="D8" s="32">
        <v>0.33761245012283325</v>
      </c>
      <c r="E8" s="34">
        <v>0.59566515684127808</v>
      </c>
      <c r="F8" s="34">
        <v>0.77855211496353149</v>
      </c>
      <c r="G8" s="34">
        <v>1</v>
      </c>
      <c r="H8" s="28">
        <v>2.8445813655853271</v>
      </c>
      <c r="I8" s="28">
        <v>2.4423635005950928</v>
      </c>
      <c r="J8" s="28">
        <v>2.8795809745788574</v>
      </c>
      <c r="K8" s="28">
        <v>2.0939276218414307</v>
      </c>
      <c r="L8" s="28">
        <v>5.133824348449707</v>
      </c>
    </row>
    <row r="9" spans="2:12" ht="18" thickBot="1" x14ac:dyDescent="0.25">
      <c r="B9" s="25" t="s">
        <v>227</v>
      </c>
      <c r="C9" s="32">
        <v>1.858807634562254E-3</v>
      </c>
      <c r="D9" s="32">
        <v>0.25418952107429504</v>
      </c>
      <c r="E9" s="34">
        <v>0.70405852794647217</v>
      </c>
      <c r="F9" s="34">
        <v>0.84505873918533325</v>
      </c>
      <c r="G9" s="34">
        <v>1</v>
      </c>
      <c r="H9" s="28">
        <v>2.8340015411376953</v>
      </c>
      <c r="I9" s="28">
        <v>3.0905172824859619</v>
      </c>
      <c r="J9" s="28">
        <v>5.2258772850036621</v>
      </c>
      <c r="K9" s="28">
        <v>1.4134715795516968</v>
      </c>
      <c r="L9" s="28">
        <v>3.4243073463439941</v>
      </c>
    </row>
    <row r="10" spans="2:12" ht="18" thickBot="1" x14ac:dyDescent="0.25">
      <c r="B10" s="25" t="s">
        <v>233</v>
      </c>
      <c r="C10" s="32">
        <v>3.2267612405121326E-3</v>
      </c>
      <c r="D10" s="32">
        <v>0.3867591917514801</v>
      </c>
      <c r="E10" s="34">
        <v>0.26038262248039246</v>
      </c>
      <c r="F10" s="34">
        <v>0.66072994470596313</v>
      </c>
      <c r="G10" s="34">
        <v>1</v>
      </c>
      <c r="H10" s="28">
        <v>2.5822327136993408</v>
      </c>
      <c r="I10" s="28">
        <v>2.1334459781646729</v>
      </c>
      <c r="J10" s="28">
        <v>-1.9588114023208618</v>
      </c>
      <c r="K10" s="28">
        <v>5.5298986434936523</v>
      </c>
      <c r="L10" s="28">
        <v>8.641362190246582</v>
      </c>
    </row>
    <row r="11" spans="2:12" ht="18" thickBot="1" x14ac:dyDescent="0.25">
      <c r="B11" s="25" t="s">
        <v>228</v>
      </c>
      <c r="C11" s="32">
        <v>3.0061097349971533E-3</v>
      </c>
      <c r="D11" s="32">
        <v>0.41356217861175537</v>
      </c>
      <c r="E11" s="34">
        <v>0.63543277978897095</v>
      </c>
      <c r="F11" s="34">
        <v>0.94979619979858398</v>
      </c>
      <c r="G11" s="34">
        <v>1</v>
      </c>
      <c r="H11" s="28">
        <v>2.6145317554473877</v>
      </c>
      <c r="I11" s="28">
        <v>1.9814811944961548</v>
      </c>
      <c r="J11" s="28">
        <v>2.1707167625427246</v>
      </c>
      <c r="K11" s="28">
        <v>1.8303450345993042</v>
      </c>
      <c r="L11" s="28">
        <v>1.0354812145233154</v>
      </c>
    </row>
    <row r="12" spans="2:12" ht="18" thickBot="1" x14ac:dyDescent="0.25">
      <c r="B12" s="25" t="s">
        <v>232</v>
      </c>
      <c r="C12" s="32">
        <v>2.2162515670061111E-3</v>
      </c>
      <c r="D12" s="32">
        <v>0.6863706111907959</v>
      </c>
      <c r="E12" s="34">
        <v>0.49866372346878052</v>
      </c>
      <c r="F12" s="34">
        <v>0.83866405487060547</v>
      </c>
      <c r="G12" s="34">
        <v>1</v>
      </c>
      <c r="H12" s="28">
        <v>2.7536478042602539</v>
      </c>
      <c r="I12" s="28">
        <v>0.83981245756149292</v>
      </c>
      <c r="J12" s="28">
        <v>-1.5847375392913818</v>
      </c>
      <c r="K12" s="28">
        <v>2.8223886489868164</v>
      </c>
      <c r="L12" s="28">
        <v>3.5815472602844238</v>
      </c>
    </row>
    <row r="13" spans="2:12" ht="18" thickBot="1" x14ac:dyDescent="0.25">
      <c r="B13" s="27" t="s">
        <v>450</v>
      </c>
      <c r="C13" s="33">
        <v>1.9296241225674748E-3</v>
      </c>
      <c r="D13" s="33">
        <v>0.3160499632358551</v>
      </c>
      <c r="E13" s="35">
        <v>0.69861245155334473</v>
      </c>
      <c r="F13" s="35">
        <v>0.87662148475646973</v>
      </c>
      <c r="G13" s="35">
        <v>1</v>
      </c>
      <c r="H13" s="29">
        <v>2.8169143199920654</v>
      </c>
      <c r="I13" s="29">
        <v>2.5927188396453857</v>
      </c>
      <c r="J13" s="29">
        <v>4.0456743240356445</v>
      </c>
      <c r="K13" s="29">
        <v>1.444976806640625</v>
      </c>
      <c r="L13" s="29">
        <v>2.6685853004455566</v>
      </c>
    </row>
  </sheetData>
  <mergeCells count="1">
    <mergeCell ref="B3:L3"/>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L13"/>
  <sheetViews>
    <sheetView workbookViewId="0">
      <selection activeCell="C3" sqref="C3:N3"/>
    </sheetView>
  </sheetViews>
  <sheetFormatPr baseColWidth="10" defaultColWidth="16.1640625" defaultRowHeight="15" x14ac:dyDescent="0.2"/>
  <cols>
    <col min="1" max="1" width="11.33203125" customWidth="1"/>
    <col min="2" max="2" width="27" customWidth="1"/>
    <col min="3" max="3" width="16.6640625" customWidth="1"/>
    <col min="4" max="4" width="16.33203125" customWidth="1"/>
    <col min="5" max="5" width="19.33203125" customWidth="1"/>
    <col min="6" max="6" width="18.33203125" customWidth="1"/>
    <col min="7" max="7" width="17.33203125" customWidth="1"/>
  </cols>
  <sheetData>
    <row r="2" spans="2:12" ht="16" thickBot="1" x14ac:dyDescent="0.25"/>
    <row r="3" spans="2:12" ht="17" thickBot="1" x14ac:dyDescent="0.25">
      <c r="B3" s="189" t="s">
        <v>744</v>
      </c>
      <c r="C3" s="190"/>
      <c r="D3" s="190"/>
      <c r="E3" s="190"/>
      <c r="F3" s="190"/>
      <c r="G3" s="190"/>
      <c r="H3" s="190"/>
      <c r="I3" s="190"/>
      <c r="J3" s="190"/>
      <c r="K3" s="225"/>
      <c r="L3" s="82"/>
    </row>
    <row r="4" spans="2:12" ht="35" thickBot="1" x14ac:dyDescent="0.25">
      <c r="B4" s="36"/>
      <c r="C4" s="1" t="s">
        <v>507</v>
      </c>
      <c r="D4" s="1" t="s">
        <v>508</v>
      </c>
      <c r="E4" s="1" t="s">
        <v>628</v>
      </c>
      <c r="F4" s="1" t="s">
        <v>627</v>
      </c>
      <c r="G4" s="1" t="s">
        <v>626</v>
      </c>
      <c r="H4" s="14" t="s">
        <v>549</v>
      </c>
      <c r="I4" s="14" t="s">
        <v>655</v>
      </c>
      <c r="J4" s="14" t="s">
        <v>502</v>
      </c>
      <c r="K4" s="14" t="s">
        <v>550</v>
      </c>
      <c r="L4" s="14" t="s">
        <v>600</v>
      </c>
    </row>
    <row r="5" spans="2:12" ht="18" thickBot="1" x14ac:dyDescent="0.25">
      <c r="B5" s="25" t="s">
        <v>230</v>
      </c>
      <c r="C5" s="32">
        <v>1.8200267106294632E-2</v>
      </c>
      <c r="D5" s="32">
        <v>0.46355652809143066</v>
      </c>
      <c r="E5" s="34">
        <v>0.84461069107055664</v>
      </c>
      <c r="F5" s="28">
        <v>1.0294343233108521</v>
      </c>
      <c r="G5" s="28">
        <v>1</v>
      </c>
      <c r="H5" s="28">
        <v>1.7965332269668579</v>
      </c>
      <c r="I5" s="28">
        <v>1.7231826782226562</v>
      </c>
      <c r="J5" s="28">
        <v>3.0451827049255371</v>
      </c>
      <c r="K5" s="28">
        <v>0.67780470848083496</v>
      </c>
      <c r="L5" s="28">
        <v>-0.57850915193557739</v>
      </c>
    </row>
    <row r="6" spans="2:12" ht="18" thickBot="1" x14ac:dyDescent="0.25">
      <c r="B6" s="25" t="s">
        <v>226</v>
      </c>
      <c r="C6" s="32">
        <v>2.5364294648170471E-2</v>
      </c>
      <c r="D6" s="32">
        <v>0.33403357863426208</v>
      </c>
      <c r="E6" s="34">
        <v>0.48533019423484802</v>
      </c>
      <c r="F6" s="28">
        <v>0.79334813356399536</v>
      </c>
      <c r="G6" s="28">
        <v>1</v>
      </c>
      <c r="H6" s="28">
        <v>1.6464798450469971</v>
      </c>
      <c r="I6" s="28">
        <v>2.4666273593902588</v>
      </c>
      <c r="J6" s="28">
        <v>1.8854948282241821</v>
      </c>
      <c r="K6" s="28">
        <v>2.9339189529418945</v>
      </c>
      <c r="L6" s="28">
        <v>4.7387142181396484</v>
      </c>
    </row>
    <row r="7" spans="2:12" ht="18" thickBot="1" x14ac:dyDescent="0.25">
      <c r="B7" s="25" t="s">
        <v>229</v>
      </c>
      <c r="C7" s="32">
        <v>2.4683171883225441E-2</v>
      </c>
      <c r="D7" s="32">
        <v>0.3352372944355011</v>
      </c>
      <c r="E7" s="34">
        <v>0.52162081003189087</v>
      </c>
      <c r="F7" s="28">
        <v>0.72255104780197144</v>
      </c>
      <c r="G7" s="28">
        <v>1</v>
      </c>
      <c r="H7" s="28">
        <v>1.6587779521942139</v>
      </c>
      <c r="I7" s="28">
        <v>2.4584369659423828</v>
      </c>
      <c r="J7" s="28">
        <v>2.2351243495941162</v>
      </c>
      <c r="K7" s="28">
        <v>2.6374382972717285</v>
      </c>
      <c r="L7" s="28">
        <v>6.7152023315429688</v>
      </c>
    </row>
    <row r="8" spans="2:12" ht="18" thickBot="1" x14ac:dyDescent="0.25">
      <c r="B8" s="25" t="s">
        <v>231</v>
      </c>
      <c r="C8" s="32">
        <v>2.3783335462212563E-2</v>
      </c>
      <c r="D8" s="32">
        <v>0.40820714831352234</v>
      </c>
      <c r="E8" s="34">
        <v>0.46677982807159424</v>
      </c>
      <c r="F8" s="28">
        <v>0.75448137521743774</v>
      </c>
      <c r="G8" s="28">
        <v>1</v>
      </c>
      <c r="H8" s="28">
        <v>1.6755582094192505</v>
      </c>
      <c r="I8" s="28">
        <v>2.0110218524932861</v>
      </c>
      <c r="J8" s="28">
        <v>0.67266690731048584</v>
      </c>
      <c r="K8" s="28">
        <v>3.0945048332214355</v>
      </c>
      <c r="L8" s="28">
        <v>5.7962551116943359</v>
      </c>
    </row>
    <row r="9" spans="2:12" ht="18" thickBot="1" x14ac:dyDescent="0.25">
      <c r="B9" s="25" t="s">
        <v>227</v>
      </c>
      <c r="C9" s="32">
        <v>2.4340273812413216E-2</v>
      </c>
      <c r="D9" s="32">
        <v>0.30734053254127502</v>
      </c>
      <c r="E9" s="34">
        <v>0.55171990394592285</v>
      </c>
      <c r="F9" s="28">
        <v>0.81893175840377808</v>
      </c>
      <c r="G9" s="28">
        <v>1</v>
      </c>
      <c r="H9" s="28">
        <v>1.6650987863540649</v>
      </c>
      <c r="I9" s="28">
        <v>2.6564462184906006</v>
      </c>
      <c r="J9" s="28">
        <v>2.9686315059661865</v>
      </c>
      <c r="K9" s="28">
        <v>2.4073796272277832</v>
      </c>
      <c r="L9" s="28">
        <v>4.0759677886962891</v>
      </c>
    </row>
    <row r="10" spans="2:12" ht="18" thickBot="1" x14ac:dyDescent="0.25">
      <c r="B10" s="25" t="s">
        <v>233</v>
      </c>
      <c r="C10" s="32">
        <v>4.2253028601408005E-2</v>
      </c>
      <c r="D10" s="32">
        <v>0.46763047575950623</v>
      </c>
      <c r="E10" s="34">
        <v>0.20404312014579773</v>
      </c>
      <c r="F10" s="28">
        <v>0.64030182361602783</v>
      </c>
      <c r="G10" s="28">
        <v>1</v>
      </c>
      <c r="H10" s="28">
        <v>1.4161916971206665</v>
      </c>
      <c r="I10" s="28">
        <v>1.7034050226211548</v>
      </c>
      <c r="J10" s="28">
        <v>-4.0619344711303711</v>
      </c>
      <c r="K10" s="28">
        <v>6.5641493797302246</v>
      </c>
      <c r="L10" s="28">
        <v>9.3258981704711914</v>
      </c>
    </row>
    <row r="11" spans="2:12" ht="18" thickBot="1" x14ac:dyDescent="0.25">
      <c r="B11" s="25" t="s">
        <v>228</v>
      </c>
      <c r="C11" s="32">
        <v>3.9363693445920944E-2</v>
      </c>
      <c r="D11" s="32">
        <v>0.5000380277633667</v>
      </c>
      <c r="E11" s="34">
        <v>0.49794283509254456</v>
      </c>
      <c r="F11" s="28">
        <v>0.92043101787567139</v>
      </c>
      <c r="G11" s="28">
        <v>1</v>
      </c>
      <c r="H11" s="28">
        <v>1.448123574256897</v>
      </c>
      <c r="I11" s="28">
        <v>1.5520796775817871</v>
      </c>
      <c r="J11" s="28">
        <v>-2.099214494228363E-2</v>
      </c>
      <c r="K11" s="28">
        <v>2.8283388614654541</v>
      </c>
      <c r="L11" s="28">
        <v>1.6720899343490601</v>
      </c>
    </row>
    <row r="12" spans="2:12" ht="18" thickBot="1" x14ac:dyDescent="0.25">
      <c r="B12" s="25" t="s">
        <v>232</v>
      </c>
      <c r="C12" s="32">
        <v>2.9020845890045166E-2</v>
      </c>
      <c r="D12" s="32">
        <v>0.82989060878753662</v>
      </c>
      <c r="E12" s="34">
        <v>0.39076685905456543</v>
      </c>
      <c r="F12" s="28">
        <v>0.81273472309112549</v>
      </c>
      <c r="G12" s="28">
        <v>1</v>
      </c>
      <c r="H12" s="28">
        <v>1.5856584310531616</v>
      </c>
      <c r="I12" s="28">
        <v>0.4152182936668396</v>
      </c>
      <c r="J12" s="28">
        <v>-3.695885181427002</v>
      </c>
      <c r="K12" s="28">
        <v>3.8301045894622803</v>
      </c>
      <c r="L12" s="28">
        <v>4.2342000007629395</v>
      </c>
    </row>
    <row r="13" spans="2:12" ht="18" thickBot="1" x14ac:dyDescent="0.25">
      <c r="B13" s="27" t="s">
        <v>450</v>
      </c>
      <c r="C13" s="33">
        <v>2.5267582386732101E-2</v>
      </c>
      <c r="D13" s="33">
        <v>0.38213598728179932</v>
      </c>
      <c r="E13" s="35">
        <v>0.54745227098464966</v>
      </c>
      <c r="F13" s="29">
        <v>0.84951841831207275</v>
      </c>
      <c r="G13" s="29">
        <v>1</v>
      </c>
      <c r="H13" s="29">
        <v>1.6482057571411133</v>
      </c>
      <c r="I13" s="29">
        <v>2.1607437133789062</v>
      </c>
      <c r="J13" s="29">
        <v>1.8137458562850952</v>
      </c>
      <c r="K13" s="29">
        <v>2.4391932487487793</v>
      </c>
      <c r="L13" s="29">
        <v>3.3154900074005127</v>
      </c>
    </row>
  </sheetData>
  <mergeCells count="1">
    <mergeCell ref="B3:K3"/>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M62"/>
  <sheetViews>
    <sheetView zoomScaleNormal="100" workbookViewId="0">
      <selection activeCell="C3" sqref="C3:N3"/>
    </sheetView>
  </sheetViews>
  <sheetFormatPr baseColWidth="10" defaultColWidth="15.83203125" defaultRowHeight="15" x14ac:dyDescent="0.2"/>
  <cols>
    <col min="2" max="2" width="27" customWidth="1"/>
    <col min="3" max="3" width="27.5" customWidth="1"/>
    <col min="4" max="6" width="12.33203125" bestFit="1" customWidth="1"/>
  </cols>
  <sheetData>
    <row r="2" spans="2:13" ht="16" thickBot="1" x14ac:dyDescent="0.25"/>
    <row r="3" spans="2:13" ht="17" thickBot="1" x14ac:dyDescent="0.25">
      <c r="B3" s="138" t="s">
        <v>690</v>
      </c>
      <c r="C3" s="139"/>
      <c r="D3" s="139"/>
      <c r="E3" s="139"/>
      <c r="F3" s="139"/>
      <c r="G3" s="139"/>
      <c r="H3" s="139"/>
      <c r="I3" s="139"/>
      <c r="J3" s="139"/>
      <c r="K3" s="139"/>
      <c r="L3" s="139"/>
      <c r="M3" s="140"/>
    </row>
    <row r="4" spans="2:13" ht="35" thickBot="1" x14ac:dyDescent="0.25">
      <c r="B4" s="1" t="s">
        <v>462</v>
      </c>
      <c r="C4" s="1" t="s">
        <v>503</v>
      </c>
      <c r="D4" s="37" t="s">
        <v>506</v>
      </c>
      <c r="E4" s="38" t="s">
        <v>505</v>
      </c>
      <c r="F4" s="38" t="s">
        <v>623</v>
      </c>
      <c r="G4" s="38" t="s">
        <v>624</v>
      </c>
      <c r="H4" s="38" t="s">
        <v>625</v>
      </c>
      <c r="I4" s="14" t="s">
        <v>549</v>
      </c>
      <c r="J4" s="14" t="s">
        <v>655</v>
      </c>
      <c r="K4" s="14" t="s">
        <v>502</v>
      </c>
      <c r="L4" s="14" t="s">
        <v>550</v>
      </c>
      <c r="M4" s="14" t="s">
        <v>600</v>
      </c>
    </row>
    <row r="5" spans="2:13" ht="18" thickBot="1" x14ac:dyDescent="0.25">
      <c r="B5" s="21" t="s">
        <v>230</v>
      </c>
      <c r="C5" s="2" t="s">
        <v>18</v>
      </c>
      <c r="D5" s="2">
        <v>1.5830443007871509E-3</v>
      </c>
      <c r="E5" s="28">
        <v>0.3051515519618988</v>
      </c>
      <c r="F5" s="28">
        <v>0.61442852020263672</v>
      </c>
      <c r="G5" s="28">
        <v>0.83984190225601196</v>
      </c>
      <c r="H5" s="28">
        <v>1</v>
      </c>
      <c r="I5" s="28">
        <v>2.9074218273162842</v>
      </c>
      <c r="J5" s="28">
        <v>2.6727535724639893</v>
      </c>
      <c r="K5" s="28">
        <v>3.5613706111907959</v>
      </c>
      <c r="L5" s="28">
        <v>1.9673529863357544</v>
      </c>
      <c r="M5" s="28">
        <v>3.5524771213531494</v>
      </c>
    </row>
    <row r="6" spans="2:13" ht="18" thickBot="1" x14ac:dyDescent="0.25">
      <c r="B6" s="21" t="s">
        <v>230</v>
      </c>
      <c r="C6" s="2" t="s">
        <v>451</v>
      </c>
      <c r="D6" s="2">
        <v>1.5510251978412271E-3</v>
      </c>
      <c r="E6" s="28">
        <v>0.94521433115005493</v>
      </c>
      <c r="F6" s="28">
        <v>0.91182869672775269</v>
      </c>
      <c r="G6" s="28">
        <v>0.88764339685440063</v>
      </c>
      <c r="H6" s="28">
        <v>1</v>
      </c>
      <c r="I6" s="28">
        <v>2.9167678356170654</v>
      </c>
      <c r="J6" s="28">
        <v>0.12528635561466217</v>
      </c>
      <c r="K6" s="28">
        <v>-0.17963629961013794</v>
      </c>
      <c r="L6" s="28">
        <v>0.36989498138427734</v>
      </c>
      <c r="M6" s="28">
        <v>2.4123413562774658</v>
      </c>
    </row>
    <row r="7" spans="2:13" ht="18" thickBot="1" x14ac:dyDescent="0.25">
      <c r="B7" s="21" t="s">
        <v>230</v>
      </c>
      <c r="C7" s="2" t="s">
        <v>50</v>
      </c>
      <c r="D7" s="2">
        <v>1.5956746647134423E-3</v>
      </c>
      <c r="E7" s="28">
        <v>0.30515158176422119</v>
      </c>
      <c r="F7" s="28">
        <v>0.61442852020263672</v>
      </c>
      <c r="G7" s="28">
        <v>0.83984196186065674</v>
      </c>
      <c r="H7" s="28">
        <v>1</v>
      </c>
      <c r="I7" s="28">
        <v>2.9037871360778809</v>
      </c>
      <c r="J7" s="28">
        <v>2.6727533340454102</v>
      </c>
      <c r="K7" s="28">
        <v>3.5613698959350586</v>
      </c>
      <c r="L7" s="28">
        <v>1.9673529863357544</v>
      </c>
      <c r="M7" s="28">
        <v>3.5524756908416748</v>
      </c>
    </row>
    <row r="8" spans="2:13" ht="18" thickBot="1" x14ac:dyDescent="0.25">
      <c r="B8" s="21" t="s">
        <v>230</v>
      </c>
      <c r="C8" s="2" t="s">
        <v>45</v>
      </c>
      <c r="D8" s="2">
        <v>1.5910996589809656E-3</v>
      </c>
      <c r="E8" s="28">
        <v>0.3051515519618988</v>
      </c>
      <c r="F8" s="28">
        <v>0.61442857980728149</v>
      </c>
      <c r="G8" s="28">
        <v>0.83984190225601196</v>
      </c>
      <c r="H8" s="28">
        <v>1</v>
      </c>
      <c r="I8" s="28">
        <v>2.9051003456115723</v>
      </c>
      <c r="J8" s="28">
        <v>2.6727535724639893</v>
      </c>
      <c r="K8" s="28">
        <v>3.5613710880279541</v>
      </c>
      <c r="L8" s="28">
        <v>1.9673526287078857</v>
      </c>
      <c r="M8" s="28">
        <v>3.5524771213531494</v>
      </c>
    </row>
    <row r="9" spans="2:13" ht="18" thickBot="1" x14ac:dyDescent="0.25">
      <c r="B9" s="21" t="s">
        <v>230</v>
      </c>
      <c r="C9" s="2" t="s">
        <v>94</v>
      </c>
      <c r="D9" s="2">
        <v>1.5273578464984894E-3</v>
      </c>
      <c r="E9" s="28">
        <v>0.3051515519618988</v>
      </c>
      <c r="F9" s="28">
        <v>0.61442852020263672</v>
      </c>
      <c r="G9" s="28">
        <v>0.83984196186065674</v>
      </c>
      <c r="H9" s="28">
        <v>1</v>
      </c>
      <c r="I9" s="28">
        <v>2.9238014221191406</v>
      </c>
      <c r="J9" s="28">
        <v>2.6727535724639893</v>
      </c>
      <c r="K9" s="28">
        <v>3.5613706111907959</v>
      </c>
      <c r="L9" s="28">
        <v>1.9673529863357544</v>
      </c>
      <c r="M9" s="28">
        <v>3.5524756908416748</v>
      </c>
    </row>
    <row r="10" spans="2:13" ht="18" thickBot="1" x14ac:dyDescent="0.25">
      <c r="B10" s="21" t="s">
        <v>226</v>
      </c>
      <c r="C10" s="2" t="s">
        <v>17</v>
      </c>
      <c r="D10" s="2">
        <v>1.5665789833292365E-3</v>
      </c>
      <c r="E10" s="28">
        <v>0.30515152215957642</v>
      </c>
      <c r="F10" s="28">
        <v>0.61442857980728149</v>
      </c>
      <c r="G10" s="28">
        <v>0.83984196186065674</v>
      </c>
      <c r="H10" s="28">
        <v>1</v>
      </c>
      <c r="I10" s="28">
        <v>2.9122037887573242</v>
      </c>
      <c r="J10" s="28">
        <v>2.6727538108825684</v>
      </c>
      <c r="K10" s="28">
        <v>3.5613715648651123</v>
      </c>
      <c r="L10" s="28">
        <v>1.9673526287078857</v>
      </c>
      <c r="M10" s="28">
        <v>3.5524756908416748</v>
      </c>
    </row>
    <row r="11" spans="2:13" ht="18" thickBot="1" x14ac:dyDescent="0.25">
      <c r="B11" s="21" t="s">
        <v>226</v>
      </c>
      <c r="C11" s="2" t="s">
        <v>42</v>
      </c>
      <c r="D11" s="2">
        <v>1.6001269686967134E-3</v>
      </c>
      <c r="E11" s="28">
        <v>0.3051515519618988</v>
      </c>
      <c r="F11" s="28">
        <v>0.61442857980728149</v>
      </c>
      <c r="G11" s="28">
        <v>0.83984196186065674</v>
      </c>
      <c r="H11" s="28">
        <v>1</v>
      </c>
      <c r="I11" s="28">
        <v>2.902512788772583</v>
      </c>
      <c r="J11" s="28">
        <v>2.6727535724639893</v>
      </c>
      <c r="K11" s="28">
        <v>3.5613710880279541</v>
      </c>
      <c r="L11" s="28">
        <v>1.9673526287078857</v>
      </c>
      <c r="M11" s="28">
        <v>3.5524756908416748</v>
      </c>
    </row>
    <row r="12" spans="2:13" ht="18" thickBot="1" x14ac:dyDescent="0.25">
      <c r="B12" s="21" t="s">
        <v>226</v>
      </c>
      <c r="C12" s="2" t="s">
        <v>25</v>
      </c>
      <c r="D12" s="2">
        <v>1.5919351717457175E-3</v>
      </c>
      <c r="E12" s="28">
        <v>0.30515158176422119</v>
      </c>
      <c r="F12" s="28">
        <v>0.61442857980728149</v>
      </c>
      <c r="G12" s="28">
        <v>0.83984202146530151</v>
      </c>
      <c r="H12" s="28">
        <v>1</v>
      </c>
      <c r="I12" s="28">
        <v>2.904860258102417</v>
      </c>
      <c r="J12" s="28">
        <v>2.6727533340454102</v>
      </c>
      <c r="K12" s="28">
        <v>3.5613706111907959</v>
      </c>
      <c r="L12" s="28">
        <v>1.9673526287078857</v>
      </c>
      <c r="M12" s="28">
        <v>3.5524742603302002</v>
      </c>
    </row>
    <row r="13" spans="2:13" ht="18" thickBot="1" x14ac:dyDescent="0.25">
      <c r="B13" s="21" t="s">
        <v>226</v>
      </c>
      <c r="C13" s="2" t="s">
        <v>452</v>
      </c>
      <c r="D13" s="2">
        <v>1.7223377944901586E-3</v>
      </c>
      <c r="E13" s="28">
        <v>0.30867776274681091</v>
      </c>
      <c r="F13" s="28">
        <v>0.62191909551620483</v>
      </c>
      <c r="G13" s="28">
        <v>0.83551514148712158</v>
      </c>
      <c r="H13" s="28">
        <v>1</v>
      </c>
      <c r="I13" s="28">
        <v>2.8688580989837646</v>
      </c>
      <c r="J13" s="28">
        <v>2.6465425491333008</v>
      </c>
      <c r="K13" s="28">
        <v>3.5646226406097412</v>
      </c>
      <c r="L13" s="28">
        <v>1.917941689491272</v>
      </c>
      <c r="M13" s="28">
        <v>3.65950608253479</v>
      </c>
    </row>
    <row r="14" spans="2:13" ht="18" thickBot="1" x14ac:dyDescent="0.25">
      <c r="B14" s="21" t="s">
        <v>226</v>
      </c>
      <c r="C14" s="2" t="s">
        <v>453</v>
      </c>
      <c r="D14" s="2">
        <v>1.7007744172587991E-3</v>
      </c>
      <c r="E14" s="28">
        <v>0.30026364326477051</v>
      </c>
      <c r="F14" s="28">
        <v>0.60869985818862915</v>
      </c>
      <c r="G14" s="28">
        <v>0.83655232191085815</v>
      </c>
      <c r="H14" s="28">
        <v>1</v>
      </c>
      <c r="I14" s="28">
        <v>2.8746182918548584</v>
      </c>
      <c r="J14" s="28">
        <v>2.7096028327941895</v>
      </c>
      <c r="K14" s="28">
        <v>3.5964856147766113</v>
      </c>
      <c r="L14" s="28">
        <v>2.0055663585662842</v>
      </c>
      <c r="M14" s="28">
        <v>3.6337893009185791</v>
      </c>
    </row>
    <row r="15" spans="2:13" ht="18" thickBot="1" x14ac:dyDescent="0.25">
      <c r="B15" s="21" t="s">
        <v>226</v>
      </c>
      <c r="C15" s="2" t="s">
        <v>30</v>
      </c>
      <c r="D15" s="2">
        <v>1.5892994124442339E-3</v>
      </c>
      <c r="E15" s="28">
        <v>0.30515152215957642</v>
      </c>
      <c r="F15" s="28">
        <v>0.61442846059799194</v>
      </c>
      <c r="G15" s="28">
        <v>0.83984196186065674</v>
      </c>
      <c r="H15" s="28">
        <v>1</v>
      </c>
      <c r="I15" s="28">
        <v>2.9056181907653809</v>
      </c>
      <c r="J15" s="28">
        <v>2.6727538108825684</v>
      </c>
      <c r="K15" s="28">
        <v>3.5613706111907959</v>
      </c>
      <c r="L15" s="28">
        <v>1.967353343963623</v>
      </c>
      <c r="M15" s="28">
        <v>3.5524756908416748</v>
      </c>
    </row>
    <row r="16" spans="2:13" ht="18" thickBot="1" x14ac:dyDescent="0.25">
      <c r="B16" s="21" t="s">
        <v>226</v>
      </c>
      <c r="C16" s="2" t="s">
        <v>12</v>
      </c>
      <c r="D16" s="2">
        <v>1.5646460233256221E-3</v>
      </c>
      <c r="E16" s="28">
        <v>0.3051515519618988</v>
      </c>
      <c r="F16" s="28">
        <v>0.61442852020263672</v>
      </c>
      <c r="G16" s="28">
        <v>0.83984190225601196</v>
      </c>
      <c r="H16" s="28">
        <v>1</v>
      </c>
      <c r="I16" s="28">
        <v>2.9127686023712158</v>
      </c>
      <c r="J16" s="28">
        <v>2.6727535724639893</v>
      </c>
      <c r="K16" s="28">
        <v>3.5613706111907959</v>
      </c>
      <c r="L16" s="28">
        <v>1.9673529863357544</v>
      </c>
      <c r="M16" s="28">
        <v>3.5524771213531494</v>
      </c>
    </row>
    <row r="17" spans="2:13" ht="18" thickBot="1" x14ac:dyDescent="0.25">
      <c r="B17" s="21" t="s">
        <v>226</v>
      </c>
      <c r="C17" s="2" t="s">
        <v>26</v>
      </c>
      <c r="D17" s="2">
        <v>1.561846467666328E-3</v>
      </c>
      <c r="E17" s="28">
        <v>0.3051515519618988</v>
      </c>
      <c r="F17" s="28">
        <v>0.61442857980728149</v>
      </c>
      <c r="G17" s="28">
        <v>0.83984196186065674</v>
      </c>
      <c r="H17" s="28">
        <v>1</v>
      </c>
      <c r="I17" s="28">
        <v>2.9135878086090088</v>
      </c>
      <c r="J17" s="28">
        <v>2.6727535724639893</v>
      </c>
      <c r="K17" s="28">
        <v>3.5613710880279541</v>
      </c>
      <c r="L17" s="28">
        <v>1.9673526287078857</v>
      </c>
      <c r="M17" s="28">
        <v>3.5524756908416748</v>
      </c>
    </row>
    <row r="18" spans="2:13" ht="18" thickBot="1" x14ac:dyDescent="0.25">
      <c r="B18" s="21" t="s">
        <v>226</v>
      </c>
      <c r="C18" s="2" t="s">
        <v>39</v>
      </c>
      <c r="D18" s="2">
        <v>1.5609944239258766E-3</v>
      </c>
      <c r="E18" s="28">
        <v>0.30515158176422119</v>
      </c>
      <c r="F18" s="28">
        <v>0.61442857980728149</v>
      </c>
      <c r="G18" s="28">
        <v>0.83984202146530151</v>
      </c>
      <c r="H18" s="28">
        <v>1</v>
      </c>
      <c r="I18" s="28">
        <v>2.913837194442749</v>
      </c>
      <c r="J18" s="28">
        <v>2.6727533340454102</v>
      </c>
      <c r="K18" s="28">
        <v>3.5613706111907959</v>
      </c>
      <c r="L18" s="28">
        <v>1.9673526287078857</v>
      </c>
      <c r="M18" s="28">
        <v>3.5524742603302002</v>
      </c>
    </row>
    <row r="19" spans="2:13" ht="18" thickBot="1" x14ac:dyDescent="0.25">
      <c r="B19" s="21" t="s">
        <v>226</v>
      </c>
      <c r="C19" s="2" t="s">
        <v>44</v>
      </c>
      <c r="D19" s="2">
        <v>1.5736367786303163E-3</v>
      </c>
      <c r="E19" s="28">
        <v>0.3051515519618988</v>
      </c>
      <c r="F19" s="28">
        <v>0.61442852020263672</v>
      </c>
      <c r="G19" s="28">
        <v>0.83984196186065674</v>
      </c>
      <c r="H19" s="28">
        <v>1</v>
      </c>
      <c r="I19" s="28">
        <v>2.9101479053497314</v>
      </c>
      <c r="J19" s="28">
        <v>2.6727535724639893</v>
      </c>
      <c r="K19" s="28">
        <v>3.5613706111907959</v>
      </c>
      <c r="L19" s="28">
        <v>1.9673529863357544</v>
      </c>
      <c r="M19" s="28">
        <v>3.5524756908416748</v>
      </c>
    </row>
    <row r="20" spans="2:13" ht="18" thickBot="1" x14ac:dyDescent="0.25">
      <c r="B20" s="21" t="s">
        <v>226</v>
      </c>
      <c r="C20" s="2" t="s">
        <v>49</v>
      </c>
      <c r="D20" s="2">
        <v>1.5874695964157581E-3</v>
      </c>
      <c r="E20" s="28">
        <v>0.30515158176422119</v>
      </c>
      <c r="F20" s="28">
        <v>0.61442857980728149</v>
      </c>
      <c r="G20" s="28">
        <v>0.83984202146530151</v>
      </c>
      <c r="H20" s="28">
        <v>1</v>
      </c>
      <c r="I20" s="28">
        <v>2.9061450958251953</v>
      </c>
      <c r="J20" s="28">
        <v>2.6727533340454102</v>
      </c>
      <c r="K20" s="28">
        <v>3.5613706111907959</v>
      </c>
      <c r="L20" s="28">
        <v>1.9673526287078857</v>
      </c>
      <c r="M20" s="28">
        <v>3.5524742603302002</v>
      </c>
    </row>
    <row r="21" spans="2:13" ht="18" thickBot="1" x14ac:dyDescent="0.25">
      <c r="B21" s="21" t="s">
        <v>229</v>
      </c>
      <c r="C21" s="2" t="s">
        <v>100</v>
      </c>
      <c r="D21" s="2">
        <v>1.6143149696290493E-3</v>
      </c>
      <c r="E21" s="28">
        <v>0.3051515519618988</v>
      </c>
      <c r="F21" s="28">
        <v>0.61442852020263672</v>
      </c>
      <c r="G21" s="28">
        <v>0.83984190225601196</v>
      </c>
      <c r="H21" s="28">
        <v>1</v>
      </c>
      <c r="I21" s="28">
        <v>2.8984756469726562</v>
      </c>
      <c r="J21" s="28">
        <v>2.6727535724639893</v>
      </c>
      <c r="K21" s="28">
        <v>3.5613706111907959</v>
      </c>
      <c r="L21" s="28">
        <v>1.9673529863357544</v>
      </c>
      <c r="M21" s="28">
        <v>3.5524771213531494</v>
      </c>
    </row>
    <row r="22" spans="2:13" ht="18" thickBot="1" x14ac:dyDescent="0.25">
      <c r="B22" s="21" t="s">
        <v>229</v>
      </c>
      <c r="C22" s="2" t="s">
        <v>106</v>
      </c>
      <c r="D22" s="2">
        <v>1.6312360530719161E-3</v>
      </c>
      <c r="E22" s="28">
        <v>0.3051515519618988</v>
      </c>
      <c r="F22" s="28">
        <v>0.61442852020263672</v>
      </c>
      <c r="G22" s="28">
        <v>0.83984190225601196</v>
      </c>
      <c r="H22" s="28">
        <v>1</v>
      </c>
      <c r="I22" s="28">
        <v>2.8937070369720459</v>
      </c>
      <c r="J22" s="28">
        <v>2.6727535724639893</v>
      </c>
      <c r="K22" s="28">
        <v>3.5613706111907959</v>
      </c>
      <c r="L22" s="28">
        <v>1.9673529863357544</v>
      </c>
      <c r="M22" s="28">
        <v>3.5524771213531494</v>
      </c>
    </row>
    <row r="23" spans="2:13" ht="18" thickBot="1" x14ac:dyDescent="0.25">
      <c r="B23" s="21" t="s">
        <v>229</v>
      </c>
      <c r="C23" s="2" t="s">
        <v>80</v>
      </c>
      <c r="D23" s="2">
        <v>1.6360345762223005E-3</v>
      </c>
      <c r="E23" s="28">
        <v>0.3051515519618988</v>
      </c>
      <c r="F23" s="28">
        <v>0.61442852020263672</v>
      </c>
      <c r="G23" s="28">
        <v>0.83984190225601196</v>
      </c>
      <c r="H23" s="28">
        <v>1</v>
      </c>
      <c r="I23" s="28">
        <v>2.8923637866973877</v>
      </c>
      <c r="J23" s="28">
        <v>2.6727535724639893</v>
      </c>
      <c r="K23" s="28">
        <v>3.5613706111907959</v>
      </c>
      <c r="L23" s="28">
        <v>1.9673529863357544</v>
      </c>
      <c r="M23" s="28">
        <v>3.5524771213531494</v>
      </c>
    </row>
    <row r="24" spans="2:13" ht="18" thickBot="1" x14ac:dyDescent="0.25">
      <c r="B24" s="21" t="s">
        <v>229</v>
      </c>
      <c r="C24" s="2" t="s">
        <v>454</v>
      </c>
      <c r="D24" s="2">
        <v>1.5958268195390701E-3</v>
      </c>
      <c r="E24" s="28">
        <v>0.27937924861907959</v>
      </c>
      <c r="F24" s="28">
        <v>0.5718768835067749</v>
      </c>
      <c r="G24" s="28">
        <v>0.82461261749267578</v>
      </c>
      <c r="H24" s="28">
        <v>1</v>
      </c>
      <c r="I24" s="28">
        <v>2.9037435054779053</v>
      </c>
      <c r="J24" s="28">
        <v>2.8742771148681641</v>
      </c>
      <c r="K24" s="28">
        <v>3.6466858386993408</v>
      </c>
      <c r="L24" s="28">
        <v>2.2604968547821045</v>
      </c>
      <c r="M24" s="28">
        <v>3.9321722984313965</v>
      </c>
    </row>
    <row r="25" spans="2:13" ht="18" thickBot="1" x14ac:dyDescent="0.25">
      <c r="B25" s="21" t="s">
        <v>229</v>
      </c>
      <c r="C25" s="2" t="s">
        <v>84</v>
      </c>
      <c r="D25" s="2">
        <v>2.1459544077515602E-3</v>
      </c>
      <c r="E25" s="28">
        <v>0.3051515519618988</v>
      </c>
      <c r="F25" s="28">
        <v>0.61442863941192627</v>
      </c>
      <c r="G25" s="28">
        <v>0.83984190225601196</v>
      </c>
      <c r="H25" s="28">
        <v>1</v>
      </c>
      <c r="I25" s="28">
        <v>2.768369197845459</v>
      </c>
      <c r="J25" s="28">
        <v>2.6727535724639893</v>
      </c>
      <c r="K25" s="28">
        <v>3.5613715648651123</v>
      </c>
      <c r="L25" s="28">
        <v>1.9673521518707275</v>
      </c>
      <c r="M25" s="28">
        <v>3.5524771213531494</v>
      </c>
    </row>
    <row r="26" spans="2:13" ht="18" thickBot="1" x14ac:dyDescent="0.25">
      <c r="B26" s="21" t="s">
        <v>229</v>
      </c>
      <c r="C26" s="2" t="s">
        <v>107</v>
      </c>
      <c r="D26" s="2">
        <v>1.6265356680378318E-3</v>
      </c>
      <c r="E26" s="28">
        <v>0.30515158176422119</v>
      </c>
      <c r="F26" s="28">
        <v>0.61442857980728149</v>
      </c>
      <c r="G26" s="28">
        <v>0.83984196186065674</v>
      </c>
      <c r="H26" s="28">
        <v>1</v>
      </c>
      <c r="I26" s="28">
        <v>2.895026683807373</v>
      </c>
      <c r="J26" s="28">
        <v>2.6727533340454102</v>
      </c>
      <c r="K26" s="28">
        <v>3.5613706111907959</v>
      </c>
      <c r="L26" s="28">
        <v>1.9673526287078857</v>
      </c>
      <c r="M26" s="28">
        <v>3.5524756908416748</v>
      </c>
    </row>
    <row r="27" spans="2:13" ht="18" thickBot="1" x14ac:dyDescent="0.25">
      <c r="B27" s="21" t="s">
        <v>231</v>
      </c>
      <c r="C27" s="2" t="s">
        <v>21</v>
      </c>
      <c r="D27" s="2">
        <v>1.5092360554262996E-3</v>
      </c>
      <c r="E27" s="28">
        <v>0.30515152215957642</v>
      </c>
      <c r="F27" s="28">
        <v>0.61442852020263672</v>
      </c>
      <c r="G27" s="28">
        <v>0.83984178304672241</v>
      </c>
      <c r="H27" s="28">
        <v>1</v>
      </c>
      <c r="I27" s="28">
        <v>2.9292614459991455</v>
      </c>
      <c r="J27" s="28">
        <v>2.6727538108825684</v>
      </c>
      <c r="K27" s="28">
        <v>3.5613710880279541</v>
      </c>
      <c r="L27" s="28">
        <v>1.9673529863357544</v>
      </c>
      <c r="M27" s="28">
        <v>3.5524799823760986</v>
      </c>
    </row>
    <row r="28" spans="2:13" ht="18" thickBot="1" x14ac:dyDescent="0.25">
      <c r="B28" s="21" t="s">
        <v>231</v>
      </c>
      <c r="C28" s="2" t="s">
        <v>36</v>
      </c>
      <c r="D28" s="2">
        <v>1.5032439259812236E-3</v>
      </c>
      <c r="E28" s="28">
        <v>0.3051515519618988</v>
      </c>
      <c r="F28" s="28">
        <v>0.61442852020263672</v>
      </c>
      <c r="G28" s="28">
        <v>0.83984190225601196</v>
      </c>
      <c r="H28" s="28">
        <v>1</v>
      </c>
      <c r="I28" s="28">
        <v>2.9310815334320068</v>
      </c>
      <c r="J28" s="28">
        <v>2.6727535724639893</v>
      </c>
      <c r="K28" s="28">
        <v>3.5613706111907959</v>
      </c>
      <c r="L28" s="28">
        <v>1.9673529863357544</v>
      </c>
      <c r="M28" s="28">
        <v>3.5524771213531494</v>
      </c>
    </row>
    <row r="29" spans="2:13" ht="18" thickBot="1" x14ac:dyDescent="0.25">
      <c r="B29" s="21" t="s">
        <v>231</v>
      </c>
      <c r="C29" s="2" t="s">
        <v>125</v>
      </c>
      <c r="D29" s="2">
        <v>1.5457540284842253E-3</v>
      </c>
      <c r="E29" s="28">
        <v>0.30515158176422119</v>
      </c>
      <c r="F29" s="28">
        <v>0.61442852020263672</v>
      </c>
      <c r="G29" s="28">
        <v>0.83984202146530151</v>
      </c>
      <c r="H29" s="28">
        <v>1</v>
      </c>
      <c r="I29" s="28">
        <v>2.9183249473571777</v>
      </c>
      <c r="J29" s="28">
        <v>2.6727533340454102</v>
      </c>
      <c r="K29" s="28">
        <v>3.5613698959350586</v>
      </c>
      <c r="L29" s="28">
        <v>1.9673529863357544</v>
      </c>
      <c r="M29" s="28">
        <v>3.5524742603302002</v>
      </c>
    </row>
    <row r="30" spans="2:13" ht="18" thickBot="1" x14ac:dyDescent="0.25">
      <c r="B30" s="21" t="s">
        <v>231</v>
      </c>
      <c r="C30" s="2" t="s">
        <v>142</v>
      </c>
      <c r="D30" s="2">
        <v>1.5725244302302599E-3</v>
      </c>
      <c r="E30" s="28">
        <v>0.30515158176422119</v>
      </c>
      <c r="F30" s="28">
        <v>0.61442857980728149</v>
      </c>
      <c r="G30" s="28">
        <v>0.83984196186065674</v>
      </c>
      <c r="H30" s="28">
        <v>1</v>
      </c>
      <c r="I30" s="28">
        <v>2.9104712009429932</v>
      </c>
      <c r="J30" s="28">
        <v>2.6727533340454102</v>
      </c>
      <c r="K30" s="28">
        <v>3.5613706111907959</v>
      </c>
      <c r="L30" s="28">
        <v>1.9673526287078857</v>
      </c>
      <c r="M30" s="28">
        <v>3.5524756908416748</v>
      </c>
    </row>
    <row r="31" spans="2:13" ht="18" thickBot="1" x14ac:dyDescent="0.25">
      <c r="B31" s="21" t="s">
        <v>231</v>
      </c>
      <c r="C31" s="2" t="s">
        <v>131</v>
      </c>
      <c r="D31" s="2">
        <v>2.3055972997099161E-3</v>
      </c>
      <c r="E31" s="28">
        <v>0.30515158176422119</v>
      </c>
      <c r="F31" s="28">
        <v>0.61442863941192627</v>
      </c>
      <c r="G31" s="28">
        <v>0.83984202146530151</v>
      </c>
      <c r="H31" s="28">
        <v>1</v>
      </c>
      <c r="I31" s="28">
        <v>2.7356002330780029</v>
      </c>
      <c r="J31" s="28">
        <v>2.6727533340454102</v>
      </c>
      <c r="K31" s="28">
        <v>3.5613710880279541</v>
      </c>
      <c r="L31" s="28">
        <v>1.9673521518707275</v>
      </c>
      <c r="M31" s="28">
        <v>3.5524742603302002</v>
      </c>
    </row>
    <row r="32" spans="2:13" ht="18" thickBot="1" x14ac:dyDescent="0.25">
      <c r="B32" s="21" t="s">
        <v>231</v>
      </c>
      <c r="C32" s="2" t="s">
        <v>105</v>
      </c>
      <c r="D32" s="2">
        <v>1.928027137182653E-3</v>
      </c>
      <c r="E32" s="28">
        <v>0.3051515519618988</v>
      </c>
      <c r="F32" s="28">
        <v>0.61442857980728149</v>
      </c>
      <c r="G32" s="28">
        <v>0.83984196186065674</v>
      </c>
      <c r="H32" s="28">
        <v>1</v>
      </c>
      <c r="I32" s="28">
        <v>2.8172926902770996</v>
      </c>
      <c r="J32" s="28">
        <v>2.6727535724639893</v>
      </c>
      <c r="K32" s="28">
        <v>3.5613710880279541</v>
      </c>
      <c r="L32" s="28">
        <v>1.9673526287078857</v>
      </c>
      <c r="M32" s="28">
        <v>3.5524756908416748</v>
      </c>
    </row>
    <row r="33" spans="2:13" ht="18" thickBot="1" x14ac:dyDescent="0.25">
      <c r="B33" s="21" t="s">
        <v>231</v>
      </c>
      <c r="C33" s="2" t="s">
        <v>455</v>
      </c>
      <c r="D33" s="2">
        <v>1.5898804413154721E-3</v>
      </c>
      <c r="E33" s="28">
        <v>0.36086258292198181</v>
      </c>
      <c r="F33" s="28">
        <v>0.65877103805541992</v>
      </c>
      <c r="G33" s="28">
        <v>0.84996521472930908</v>
      </c>
      <c r="H33" s="28">
        <v>1</v>
      </c>
      <c r="I33" s="28">
        <v>2.9054510593414307</v>
      </c>
      <c r="J33" s="28">
        <v>2.2908642292022705</v>
      </c>
      <c r="K33" s="28">
        <v>3.0551340579986572</v>
      </c>
      <c r="L33" s="28">
        <v>1.6835312843322754</v>
      </c>
      <c r="M33" s="28">
        <v>3.3046259880065918</v>
      </c>
    </row>
    <row r="34" spans="2:13" ht="18" thickBot="1" x14ac:dyDescent="0.25">
      <c r="B34" s="21" t="s">
        <v>231</v>
      </c>
      <c r="C34" s="2" t="s">
        <v>69</v>
      </c>
      <c r="D34" s="2">
        <v>2.1048614289611578E-3</v>
      </c>
      <c r="E34" s="28">
        <v>0.30515158176422119</v>
      </c>
      <c r="F34" s="28">
        <v>0.61442863941192627</v>
      </c>
      <c r="G34" s="28">
        <v>0.83984202146530151</v>
      </c>
      <c r="H34" s="28">
        <v>1</v>
      </c>
      <c r="I34" s="28">
        <v>2.7772006988525391</v>
      </c>
      <c r="J34" s="28">
        <v>2.6727533340454102</v>
      </c>
      <c r="K34" s="28">
        <v>3.5613710880279541</v>
      </c>
      <c r="L34" s="28">
        <v>1.9673521518707275</v>
      </c>
      <c r="M34" s="28">
        <v>3.5524742603302002</v>
      </c>
    </row>
    <row r="35" spans="2:13" ht="18" thickBot="1" x14ac:dyDescent="0.25">
      <c r="B35" s="21" t="s">
        <v>227</v>
      </c>
      <c r="C35" s="2" t="s">
        <v>32</v>
      </c>
      <c r="D35" s="2">
        <v>1.5843040309846401E-3</v>
      </c>
      <c r="E35" s="28">
        <v>0.30515152215957642</v>
      </c>
      <c r="F35" s="28">
        <v>0.61442852020263672</v>
      </c>
      <c r="G35" s="28">
        <v>0.83984196186065674</v>
      </c>
      <c r="H35" s="28">
        <v>1</v>
      </c>
      <c r="I35" s="28">
        <v>2.9070580005645752</v>
      </c>
      <c r="J35" s="28">
        <v>2.6727538108825684</v>
      </c>
      <c r="K35" s="28">
        <v>3.5613710880279541</v>
      </c>
      <c r="L35" s="28">
        <v>1.9673529863357544</v>
      </c>
      <c r="M35" s="28">
        <v>3.5524756908416748</v>
      </c>
    </row>
    <row r="36" spans="2:13" ht="18" thickBot="1" x14ac:dyDescent="0.25">
      <c r="B36" s="21" t="s">
        <v>227</v>
      </c>
      <c r="C36" s="2" t="s">
        <v>22</v>
      </c>
      <c r="D36" s="2">
        <v>1.5866351313889027E-3</v>
      </c>
      <c r="E36" s="28">
        <v>0.3051515519618988</v>
      </c>
      <c r="F36" s="28">
        <v>0.61442857980728149</v>
      </c>
      <c r="G36" s="28">
        <v>0.83984196186065674</v>
      </c>
      <c r="H36" s="28">
        <v>1</v>
      </c>
      <c r="I36" s="28">
        <v>2.9063854217529297</v>
      </c>
      <c r="J36" s="28">
        <v>2.6727535724639893</v>
      </c>
      <c r="K36" s="28">
        <v>3.5613710880279541</v>
      </c>
      <c r="L36" s="28">
        <v>1.9673526287078857</v>
      </c>
      <c r="M36" s="28">
        <v>3.5524756908416748</v>
      </c>
    </row>
    <row r="37" spans="2:13" ht="18" thickBot="1" x14ac:dyDescent="0.25">
      <c r="B37" s="21" t="s">
        <v>227</v>
      </c>
      <c r="C37" s="2" t="s">
        <v>51</v>
      </c>
      <c r="D37" s="2">
        <v>1.6032565617933869E-3</v>
      </c>
      <c r="E37" s="28">
        <v>0.30515158176422119</v>
      </c>
      <c r="F37" s="28">
        <v>0.61442857980728149</v>
      </c>
      <c r="G37" s="28">
        <v>0.83984196186065674</v>
      </c>
      <c r="H37" s="28">
        <v>1</v>
      </c>
      <c r="I37" s="28">
        <v>2.9016191959381104</v>
      </c>
      <c r="J37" s="28">
        <v>2.6727533340454102</v>
      </c>
      <c r="K37" s="28">
        <v>3.5613706111907959</v>
      </c>
      <c r="L37" s="28">
        <v>1.9673526287078857</v>
      </c>
      <c r="M37" s="28">
        <v>3.5524756908416748</v>
      </c>
    </row>
    <row r="38" spans="2:13" ht="18" thickBot="1" x14ac:dyDescent="0.25">
      <c r="B38" s="21" t="s">
        <v>227</v>
      </c>
      <c r="C38" s="2" t="s">
        <v>35</v>
      </c>
      <c r="D38" s="2">
        <v>1.5822590794414282E-3</v>
      </c>
      <c r="E38" s="28">
        <v>0.30515152215957642</v>
      </c>
      <c r="F38" s="28">
        <v>0.61442857980728149</v>
      </c>
      <c r="G38" s="28">
        <v>0.83984190225601196</v>
      </c>
      <c r="H38" s="28">
        <v>1</v>
      </c>
      <c r="I38" s="28">
        <v>2.9076485633850098</v>
      </c>
      <c r="J38" s="28">
        <v>2.6727538108825684</v>
      </c>
      <c r="K38" s="28">
        <v>3.5613715648651123</v>
      </c>
      <c r="L38" s="28">
        <v>1.9673526287078857</v>
      </c>
      <c r="M38" s="28">
        <v>3.5524771213531494</v>
      </c>
    </row>
    <row r="39" spans="2:13" ht="35" thickBot="1" x14ac:dyDescent="0.25">
      <c r="B39" s="21" t="s">
        <v>227</v>
      </c>
      <c r="C39" s="2" t="s">
        <v>456</v>
      </c>
      <c r="D39" s="2">
        <v>1.5928191132843494E-3</v>
      </c>
      <c r="E39" s="28">
        <v>0.28733617067337036</v>
      </c>
      <c r="F39" s="28">
        <v>0.56538957357406616</v>
      </c>
      <c r="G39" s="28">
        <v>0.8153766393661499</v>
      </c>
      <c r="H39" s="28">
        <v>1</v>
      </c>
      <c r="I39" s="28">
        <v>2.9046063423156738</v>
      </c>
      <c r="J39" s="28">
        <v>2.8100974559783936</v>
      </c>
      <c r="K39" s="28">
        <v>3.4422299861907959</v>
      </c>
      <c r="L39" s="28">
        <v>2.3071739673614502</v>
      </c>
      <c r="M39" s="28">
        <v>4.1665658950805664</v>
      </c>
    </row>
    <row r="40" spans="2:13" ht="18" thickBot="1" x14ac:dyDescent="0.25">
      <c r="B40" s="21" t="s">
        <v>233</v>
      </c>
      <c r="C40" s="2" t="s">
        <v>56</v>
      </c>
      <c r="D40" s="2">
        <v>1.6124194953590631E-3</v>
      </c>
      <c r="E40" s="28">
        <v>0.3051515519618988</v>
      </c>
      <c r="F40" s="28">
        <v>0.61442863941192627</v>
      </c>
      <c r="G40" s="28">
        <v>0.83984196186065674</v>
      </c>
      <c r="H40" s="28">
        <v>1</v>
      </c>
      <c r="I40" s="28">
        <v>2.8990128040313721</v>
      </c>
      <c r="J40" s="28">
        <v>2.6727535724639893</v>
      </c>
      <c r="K40" s="28">
        <v>3.5613715648651123</v>
      </c>
      <c r="L40" s="28">
        <v>1.9673521518707275</v>
      </c>
      <c r="M40" s="28">
        <v>3.5524756908416748</v>
      </c>
    </row>
    <row r="41" spans="2:13" ht="18" thickBot="1" x14ac:dyDescent="0.25">
      <c r="B41" s="21" t="s">
        <v>233</v>
      </c>
      <c r="C41" s="2" t="s">
        <v>457</v>
      </c>
      <c r="D41" s="2">
        <v>1.6215186333283782E-3</v>
      </c>
      <c r="E41" s="28">
        <v>0.31158331036567688</v>
      </c>
      <c r="F41" s="28">
        <v>0.62458509206771851</v>
      </c>
      <c r="G41" s="28">
        <v>0.8447607159614563</v>
      </c>
      <c r="H41" s="28">
        <v>1</v>
      </c>
      <c r="I41" s="28">
        <v>2.8964393138885498</v>
      </c>
      <c r="J41" s="28">
        <v>2.6251740455627441</v>
      </c>
      <c r="K41" s="28">
        <v>3.5382621288299561</v>
      </c>
      <c r="L41" s="28">
        <v>1.9005048274993896</v>
      </c>
      <c r="M41" s="28">
        <v>3.4316036701202393</v>
      </c>
    </row>
    <row r="42" spans="2:13" ht="18" thickBot="1" x14ac:dyDescent="0.25">
      <c r="B42" s="21" t="s">
        <v>228</v>
      </c>
      <c r="C42" s="2" t="s">
        <v>165</v>
      </c>
      <c r="D42" s="2">
        <v>1.6180804232135415E-3</v>
      </c>
      <c r="E42" s="28">
        <v>0.30515158176422119</v>
      </c>
      <c r="F42" s="28">
        <v>0.61442857980728149</v>
      </c>
      <c r="G42" s="28">
        <v>0.83984196186065674</v>
      </c>
      <c r="H42" s="28">
        <v>1</v>
      </c>
      <c r="I42" s="28">
        <v>2.8974101543426514</v>
      </c>
      <c r="J42" s="28">
        <v>2.6727533340454102</v>
      </c>
      <c r="K42" s="28">
        <v>3.5613706111907959</v>
      </c>
      <c r="L42" s="28">
        <v>1.9673526287078857</v>
      </c>
      <c r="M42" s="28">
        <v>3.5524756908416748</v>
      </c>
    </row>
    <row r="43" spans="2:13" ht="18" thickBot="1" x14ac:dyDescent="0.25">
      <c r="B43" s="21" t="s">
        <v>228</v>
      </c>
      <c r="C43" s="2" t="s">
        <v>124</v>
      </c>
      <c r="D43" s="2">
        <v>1.5942724421620369E-3</v>
      </c>
      <c r="E43" s="28">
        <v>0.30515152215957642</v>
      </c>
      <c r="F43" s="28">
        <v>0.61442857980728149</v>
      </c>
      <c r="G43" s="28">
        <v>0.83984196186065674</v>
      </c>
      <c r="H43" s="28">
        <v>1</v>
      </c>
      <c r="I43" s="28">
        <v>2.9041893482208252</v>
      </c>
      <c r="J43" s="28">
        <v>2.6727538108825684</v>
      </c>
      <c r="K43" s="28">
        <v>3.5613715648651123</v>
      </c>
      <c r="L43" s="28">
        <v>1.9673526287078857</v>
      </c>
      <c r="M43" s="28">
        <v>3.5524756908416748</v>
      </c>
    </row>
    <row r="44" spans="2:13" ht="18" thickBot="1" x14ac:dyDescent="0.25">
      <c r="B44" s="21" t="s">
        <v>228</v>
      </c>
      <c r="C44" s="2" t="s">
        <v>149</v>
      </c>
      <c r="D44" s="2">
        <v>1.6435246216133237E-3</v>
      </c>
      <c r="E44" s="28">
        <v>0.30515158176422119</v>
      </c>
      <c r="F44" s="28">
        <v>0.61442857980728149</v>
      </c>
      <c r="G44" s="28">
        <v>0.83984202146530151</v>
      </c>
      <c r="H44" s="28">
        <v>1</v>
      </c>
      <c r="I44" s="28">
        <v>2.8902750015258789</v>
      </c>
      <c r="J44" s="28">
        <v>2.6727533340454102</v>
      </c>
      <c r="K44" s="28">
        <v>3.5613706111907959</v>
      </c>
      <c r="L44" s="28">
        <v>1.9673526287078857</v>
      </c>
      <c r="M44" s="28">
        <v>3.5524742603302002</v>
      </c>
    </row>
    <row r="45" spans="2:13" ht="18" thickBot="1" x14ac:dyDescent="0.25">
      <c r="B45" s="21" t="s">
        <v>228</v>
      </c>
      <c r="C45" s="2" t="s">
        <v>133</v>
      </c>
      <c r="D45" s="2">
        <v>1.5794177306815982E-3</v>
      </c>
      <c r="E45" s="28">
        <v>0.3051515519618988</v>
      </c>
      <c r="F45" s="28">
        <v>0.61442857980728149</v>
      </c>
      <c r="G45" s="28">
        <v>0.83984202146530151</v>
      </c>
      <c r="H45" s="28">
        <v>1</v>
      </c>
      <c r="I45" s="28">
        <v>2.908470630645752</v>
      </c>
      <c r="J45" s="28">
        <v>2.6727535724639893</v>
      </c>
      <c r="K45" s="28">
        <v>3.5613710880279541</v>
      </c>
      <c r="L45" s="28">
        <v>1.9673526287078857</v>
      </c>
      <c r="M45" s="28">
        <v>3.5524742603302002</v>
      </c>
    </row>
    <row r="46" spans="2:13" ht="18" thickBot="1" x14ac:dyDescent="0.25">
      <c r="B46" s="21" t="s">
        <v>228</v>
      </c>
      <c r="C46" s="2" t="s">
        <v>138</v>
      </c>
      <c r="D46" s="2">
        <v>1.5654101734980941E-3</v>
      </c>
      <c r="E46" s="28">
        <v>0.3051515519618988</v>
      </c>
      <c r="F46" s="28">
        <v>0.61442863941192627</v>
      </c>
      <c r="G46" s="28">
        <v>0.83984202146530151</v>
      </c>
      <c r="H46" s="28">
        <v>1</v>
      </c>
      <c r="I46" s="28">
        <v>2.9125452041625977</v>
      </c>
      <c r="J46" s="28">
        <v>2.6727535724639893</v>
      </c>
      <c r="K46" s="28">
        <v>3.5613715648651123</v>
      </c>
      <c r="L46" s="28">
        <v>1.9673521518707275</v>
      </c>
      <c r="M46" s="28">
        <v>3.5524742603302002</v>
      </c>
    </row>
    <row r="47" spans="2:13" ht="18" thickBot="1" x14ac:dyDescent="0.25">
      <c r="B47" s="21" t="s">
        <v>228</v>
      </c>
      <c r="C47" s="2" t="s">
        <v>103</v>
      </c>
      <c r="D47" s="2">
        <v>1.5298952348530293E-3</v>
      </c>
      <c r="E47" s="28">
        <v>0.3051515519618988</v>
      </c>
      <c r="F47" s="28">
        <v>0.61442852020263672</v>
      </c>
      <c r="G47" s="28">
        <v>0.83984202146530151</v>
      </c>
      <c r="H47" s="28">
        <v>1</v>
      </c>
      <c r="I47" s="28">
        <v>2.9230422973632812</v>
      </c>
      <c r="J47" s="28">
        <v>2.6727535724639893</v>
      </c>
      <c r="K47" s="28">
        <v>3.5613706111907959</v>
      </c>
      <c r="L47" s="28">
        <v>1.9673529863357544</v>
      </c>
      <c r="M47" s="28">
        <v>3.5524742603302002</v>
      </c>
    </row>
    <row r="48" spans="2:13" ht="35" thickBot="1" x14ac:dyDescent="0.25">
      <c r="B48" s="21" t="s">
        <v>228</v>
      </c>
      <c r="C48" s="2" t="s">
        <v>458</v>
      </c>
      <c r="D48" s="2">
        <v>1.6182649414986372E-3</v>
      </c>
      <c r="E48" s="28">
        <v>0.34603416919708252</v>
      </c>
      <c r="F48" s="28">
        <v>0.60797756910324097</v>
      </c>
      <c r="G48" s="28">
        <v>0.83605450391769409</v>
      </c>
      <c r="H48" s="28">
        <v>1</v>
      </c>
      <c r="I48" s="28">
        <v>2.8973579406738281</v>
      </c>
      <c r="J48" s="28">
        <v>2.3862886428833008</v>
      </c>
      <c r="K48" s="28">
        <v>2.8580837249755859</v>
      </c>
      <c r="L48" s="28">
        <v>2.0104110240936279</v>
      </c>
      <c r="M48" s="28">
        <v>3.6461279392242432</v>
      </c>
    </row>
    <row r="49" spans="2:13" ht="18" thickBot="1" x14ac:dyDescent="0.25">
      <c r="B49" s="21" t="s">
        <v>228</v>
      </c>
      <c r="C49" s="2" t="s">
        <v>148</v>
      </c>
      <c r="D49" s="2">
        <v>1.5618226025253534E-3</v>
      </c>
      <c r="E49" s="28">
        <v>0.30515158176422119</v>
      </c>
      <c r="F49" s="28">
        <v>0.61442857980728149</v>
      </c>
      <c r="G49" s="28">
        <v>0.83984196186065674</v>
      </c>
      <c r="H49" s="28">
        <v>1</v>
      </c>
      <c r="I49" s="28">
        <v>2.9135947227478027</v>
      </c>
      <c r="J49" s="28">
        <v>2.6727533340454102</v>
      </c>
      <c r="K49" s="28">
        <v>3.5613706111907959</v>
      </c>
      <c r="L49" s="28">
        <v>1.9673526287078857</v>
      </c>
      <c r="M49" s="28">
        <v>3.5524756908416748</v>
      </c>
    </row>
    <row r="50" spans="2:13" ht="18" thickBot="1" x14ac:dyDescent="0.25">
      <c r="B50" s="21" t="s">
        <v>228</v>
      </c>
      <c r="C50" s="2" t="s">
        <v>170</v>
      </c>
      <c r="D50" s="2">
        <v>1.6894431319087744E-3</v>
      </c>
      <c r="E50" s="28">
        <v>0.3051515519618988</v>
      </c>
      <c r="F50" s="28">
        <v>0.61442857980728149</v>
      </c>
      <c r="G50" s="28">
        <v>0.83984190225601196</v>
      </c>
      <c r="H50" s="28">
        <v>1</v>
      </c>
      <c r="I50" s="28">
        <v>2.8776748180389404</v>
      </c>
      <c r="J50" s="28">
        <v>2.6727535724639893</v>
      </c>
      <c r="K50" s="28">
        <v>3.5613710880279541</v>
      </c>
      <c r="L50" s="28">
        <v>1.9673526287078857</v>
      </c>
      <c r="M50" s="28">
        <v>3.5524771213531494</v>
      </c>
    </row>
    <row r="51" spans="2:13" ht="18" thickBot="1" x14ac:dyDescent="0.25">
      <c r="B51" s="21" t="s">
        <v>232</v>
      </c>
      <c r="C51" s="2" t="s">
        <v>459</v>
      </c>
      <c r="D51" s="2">
        <v>2.2855103015899658E-3</v>
      </c>
      <c r="E51" s="28">
        <v>0.3252570629119873</v>
      </c>
      <c r="F51" s="28">
        <v>0.51476478576660156</v>
      </c>
      <c r="G51" s="28">
        <v>0.80061638355255127</v>
      </c>
      <c r="H51" s="28">
        <v>1</v>
      </c>
      <c r="I51" s="28">
        <v>2.7395956516265869</v>
      </c>
      <c r="J51" s="28">
        <v>2.5272729396820068</v>
      </c>
      <c r="K51" s="28">
        <v>2.3220198154449463</v>
      </c>
      <c r="L51" s="28">
        <v>2.6917717456817627</v>
      </c>
      <c r="M51" s="28">
        <v>4.5478496551513672</v>
      </c>
    </row>
    <row r="52" spans="2:13" ht="18" thickBot="1" x14ac:dyDescent="0.25">
      <c r="B52" s="21" t="s">
        <v>232</v>
      </c>
      <c r="C52" s="2" t="s">
        <v>203</v>
      </c>
      <c r="D52" s="2">
        <v>1.5199847985059023E-3</v>
      </c>
      <c r="E52" s="28">
        <v>0.3051515519618988</v>
      </c>
      <c r="F52" s="28">
        <v>0.61442852020263672</v>
      </c>
      <c r="G52" s="28">
        <v>0.83984196186065674</v>
      </c>
      <c r="H52" s="28">
        <v>1</v>
      </c>
      <c r="I52" s="28">
        <v>2.9260151386260986</v>
      </c>
      <c r="J52" s="28">
        <v>2.6727535724639893</v>
      </c>
      <c r="K52" s="28">
        <v>3.5613706111907959</v>
      </c>
      <c r="L52" s="28">
        <v>1.9673529863357544</v>
      </c>
      <c r="M52" s="28">
        <v>3.5524756908416748</v>
      </c>
    </row>
    <row r="53" spans="2:13" ht="18" thickBot="1" x14ac:dyDescent="0.25">
      <c r="B53" s="21" t="s">
        <v>232</v>
      </c>
      <c r="C53" s="2" t="s">
        <v>208</v>
      </c>
      <c r="D53" s="2">
        <v>1.6739633865654469E-3</v>
      </c>
      <c r="E53" s="28">
        <v>0.3051515519618988</v>
      </c>
      <c r="F53" s="28">
        <v>0.61442857980728149</v>
      </c>
      <c r="G53" s="28">
        <v>0.83984190225601196</v>
      </c>
      <c r="H53" s="28">
        <v>1</v>
      </c>
      <c r="I53" s="28">
        <v>2.8818836212158203</v>
      </c>
      <c r="J53" s="28">
        <v>2.6727535724639893</v>
      </c>
      <c r="K53" s="28">
        <v>3.5613710880279541</v>
      </c>
      <c r="L53" s="28">
        <v>1.9673526287078857</v>
      </c>
      <c r="M53" s="28">
        <v>3.5524771213531494</v>
      </c>
    </row>
    <row r="54" spans="2:13" ht="18" thickBot="1" x14ac:dyDescent="0.25">
      <c r="B54" s="21" t="s">
        <v>232</v>
      </c>
      <c r="C54" s="2" t="s">
        <v>129</v>
      </c>
      <c r="D54" s="2">
        <v>1.5859086997807026E-3</v>
      </c>
      <c r="E54" s="28">
        <v>0.3051515519618988</v>
      </c>
      <c r="F54" s="28">
        <v>0.61442857980728149</v>
      </c>
      <c r="G54" s="28">
        <v>0.83984196186065674</v>
      </c>
      <c r="H54" s="28">
        <v>1</v>
      </c>
      <c r="I54" s="28">
        <v>2.90659499168396</v>
      </c>
      <c r="J54" s="28">
        <v>2.6727535724639893</v>
      </c>
      <c r="K54" s="28">
        <v>3.5613710880279541</v>
      </c>
      <c r="L54" s="28">
        <v>1.9673526287078857</v>
      </c>
      <c r="M54" s="28">
        <v>3.5524756908416748</v>
      </c>
    </row>
    <row r="55" spans="2:13" ht="18" thickBot="1" x14ac:dyDescent="0.25">
      <c r="B55" s="21" t="s">
        <v>232</v>
      </c>
      <c r="C55" s="2" t="s">
        <v>185</v>
      </c>
      <c r="D55" s="2">
        <v>1.6521401703357697E-3</v>
      </c>
      <c r="E55" s="28">
        <v>0.30515158176422119</v>
      </c>
      <c r="F55" s="28">
        <v>0.61442852020263672</v>
      </c>
      <c r="G55" s="28">
        <v>0.83984196186065674</v>
      </c>
      <c r="H55" s="28">
        <v>1</v>
      </c>
      <c r="I55" s="28">
        <v>2.8878841400146484</v>
      </c>
      <c r="J55" s="28">
        <v>2.6727533340454102</v>
      </c>
      <c r="K55" s="28">
        <v>3.5613698959350586</v>
      </c>
      <c r="L55" s="28">
        <v>1.9673529863357544</v>
      </c>
      <c r="M55" s="28">
        <v>3.5524756908416748</v>
      </c>
    </row>
    <row r="56" spans="2:13" ht="18" thickBot="1" x14ac:dyDescent="0.25">
      <c r="B56" s="21" t="s">
        <v>232</v>
      </c>
      <c r="C56" s="2" t="s">
        <v>168</v>
      </c>
      <c r="D56" s="2">
        <v>1.5992993721738458E-3</v>
      </c>
      <c r="E56" s="28">
        <v>0.30515152215957642</v>
      </c>
      <c r="F56" s="28">
        <v>0.61442852020263672</v>
      </c>
      <c r="G56" s="28">
        <v>0.83984190225601196</v>
      </c>
      <c r="H56" s="28">
        <v>1</v>
      </c>
      <c r="I56" s="28">
        <v>2.9027495384216309</v>
      </c>
      <c r="J56" s="28">
        <v>2.6727538108825684</v>
      </c>
      <c r="K56" s="28">
        <v>3.5613710880279541</v>
      </c>
      <c r="L56" s="28">
        <v>1.9673529863357544</v>
      </c>
      <c r="M56" s="28">
        <v>3.5524771213531494</v>
      </c>
    </row>
    <row r="57" spans="2:13" ht="18" thickBot="1" x14ac:dyDescent="0.25">
      <c r="B57" s="21" t="s">
        <v>232</v>
      </c>
      <c r="C57" s="2" t="s">
        <v>214</v>
      </c>
      <c r="D57" s="2">
        <v>3.1430607195943594E-3</v>
      </c>
      <c r="E57" s="28">
        <v>0.30515158176422119</v>
      </c>
      <c r="F57" s="28">
        <v>0.61442857980728149</v>
      </c>
      <c r="G57" s="28">
        <v>0.83984196186065674</v>
      </c>
      <c r="H57" s="28">
        <v>1</v>
      </c>
      <c r="I57" s="28">
        <v>2.5942158699035645</v>
      </c>
      <c r="J57" s="28">
        <v>2.6727533340454102</v>
      </c>
      <c r="K57" s="28">
        <v>3.5613706111907959</v>
      </c>
      <c r="L57" s="28">
        <v>1.9673526287078857</v>
      </c>
      <c r="M57" s="28">
        <v>3.5524756908416748</v>
      </c>
    </row>
    <row r="58" spans="2:13" ht="18" thickBot="1" x14ac:dyDescent="0.25">
      <c r="B58" s="21" t="s">
        <v>232</v>
      </c>
      <c r="C58" s="2" t="s">
        <v>184</v>
      </c>
      <c r="D58" s="2">
        <v>1.8155100988224149E-3</v>
      </c>
      <c r="E58" s="28">
        <v>0.3051515519618988</v>
      </c>
      <c r="F58" s="28">
        <v>0.61442863941192627</v>
      </c>
      <c r="G58" s="28">
        <v>0.83984190225601196</v>
      </c>
      <c r="H58" s="28">
        <v>1</v>
      </c>
      <c r="I58" s="28">
        <v>2.8447740077972412</v>
      </c>
      <c r="J58" s="28">
        <v>2.6727535724639893</v>
      </c>
      <c r="K58" s="28">
        <v>3.5613715648651123</v>
      </c>
      <c r="L58" s="28">
        <v>1.9673521518707275</v>
      </c>
      <c r="M58" s="28">
        <v>3.5524771213531494</v>
      </c>
    </row>
    <row r="59" spans="2:13" ht="18" thickBot="1" x14ac:dyDescent="0.25">
      <c r="B59" s="21" t="s">
        <v>232</v>
      </c>
      <c r="C59" s="2" t="s">
        <v>159</v>
      </c>
      <c r="D59" s="2">
        <v>1.5752627514302731E-3</v>
      </c>
      <c r="E59" s="28">
        <v>0.30515158176422119</v>
      </c>
      <c r="F59" s="28">
        <v>0.61442852020263672</v>
      </c>
      <c r="G59" s="28">
        <v>0.83984190225601196</v>
      </c>
      <c r="H59" s="28">
        <v>1</v>
      </c>
      <c r="I59" s="28">
        <v>2.9096755981445312</v>
      </c>
      <c r="J59" s="28">
        <v>2.6727533340454102</v>
      </c>
      <c r="K59" s="28">
        <v>3.5613698959350586</v>
      </c>
      <c r="L59" s="28">
        <v>1.9673529863357544</v>
      </c>
      <c r="M59" s="28">
        <v>3.5524771213531494</v>
      </c>
    </row>
    <row r="60" spans="2:13" ht="18" thickBot="1" x14ac:dyDescent="0.25">
      <c r="B60" s="21" t="s">
        <v>232</v>
      </c>
      <c r="C60" s="2" t="s">
        <v>198</v>
      </c>
      <c r="D60" s="2">
        <v>1.5814343933016062E-3</v>
      </c>
      <c r="E60" s="28">
        <v>0.3051515519618988</v>
      </c>
      <c r="F60" s="28">
        <v>0.61442857980728149</v>
      </c>
      <c r="G60" s="28">
        <v>0.83984196186065674</v>
      </c>
      <c r="H60" s="28">
        <v>1</v>
      </c>
      <c r="I60" s="28">
        <v>2.9078872203826904</v>
      </c>
      <c r="J60" s="28">
        <v>2.6727535724639893</v>
      </c>
      <c r="K60" s="28">
        <v>3.5613710880279541</v>
      </c>
      <c r="L60" s="28">
        <v>1.9673526287078857</v>
      </c>
      <c r="M60" s="28">
        <v>3.5524756908416748</v>
      </c>
    </row>
    <row r="61" spans="2:13" ht="18" thickBot="1" x14ac:dyDescent="0.25">
      <c r="B61" s="21" t="s">
        <v>232</v>
      </c>
      <c r="C61" s="2" t="s">
        <v>166</v>
      </c>
      <c r="D61" s="2">
        <v>1.7566742608323693E-3</v>
      </c>
      <c r="E61" s="28">
        <v>0.30515158176422119</v>
      </c>
      <c r="F61" s="28">
        <v>0.61442857980728149</v>
      </c>
      <c r="G61" s="28">
        <v>0.83984196186065674</v>
      </c>
      <c r="H61" s="28">
        <v>1</v>
      </c>
      <c r="I61" s="28">
        <v>2.8598334789276123</v>
      </c>
      <c r="J61" s="28">
        <v>2.6727533340454102</v>
      </c>
      <c r="K61" s="28">
        <v>3.5613706111907959</v>
      </c>
      <c r="L61" s="28">
        <v>1.9673526287078857</v>
      </c>
      <c r="M61" s="28">
        <v>3.5524756908416748</v>
      </c>
    </row>
    <row r="62" spans="2:13" ht="18" thickBot="1" x14ac:dyDescent="0.25">
      <c r="B62" s="21" t="s">
        <v>450</v>
      </c>
      <c r="C62" s="2" t="s">
        <v>450</v>
      </c>
      <c r="D62" s="2">
        <v>1.628259546123445E-3</v>
      </c>
      <c r="E62" s="28">
        <v>0.2837778627872467</v>
      </c>
      <c r="F62" s="28">
        <v>0.53426247835159302</v>
      </c>
      <c r="G62" s="28">
        <v>0.82272088527679443</v>
      </c>
      <c r="H62" s="28">
        <v>1</v>
      </c>
      <c r="I62" s="28">
        <v>2.8945422172546387</v>
      </c>
      <c r="J62" s="28">
        <v>2.8385708332061768</v>
      </c>
      <c r="K62" s="28">
        <v>3.2140471935272217</v>
      </c>
      <c r="L62" s="28">
        <v>2.5391736030578613</v>
      </c>
      <c r="M62" s="28">
        <v>3.9799239635467529</v>
      </c>
    </row>
  </sheetData>
  <mergeCells count="1">
    <mergeCell ref="B3:M3"/>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N24"/>
  <sheetViews>
    <sheetView zoomScale="75" workbookViewId="0">
      <selection activeCell="C3" sqref="C3:N3"/>
    </sheetView>
  </sheetViews>
  <sheetFormatPr baseColWidth="10" defaultColWidth="18.33203125" defaultRowHeight="15" x14ac:dyDescent="0.2"/>
  <cols>
    <col min="2" max="2" width="5.6640625" customWidth="1"/>
  </cols>
  <sheetData>
    <row r="2" spans="2:14" ht="16" thickBot="1" x14ac:dyDescent="0.25"/>
    <row r="3" spans="2:14" ht="17" thickBot="1" x14ac:dyDescent="0.25">
      <c r="B3" s="138" t="s">
        <v>691</v>
      </c>
      <c r="C3" s="139"/>
      <c r="D3" s="139"/>
      <c r="E3" s="139"/>
      <c r="F3" s="139"/>
      <c r="G3" s="139"/>
      <c r="H3" s="139"/>
      <c r="I3" s="139"/>
      <c r="J3" s="139"/>
      <c r="K3" s="139"/>
      <c r="L3" s="139"/>
      <c r="M3" s="139"/>
      <c r="N3" s="140"/>
    </row>
    <row r="4" spans="2:14" ht="120" thickBot="1" x14ac:dyDescent="0.25">
      <c r="B4" s="20"/>
      <c r="C4" s="1" t="s">
        <v>460</v>
      </c>
      <c r="D4" s="1" t="s">
        <v>572</v>
      </c>
      <c r="E4" s="1" t="s">
        <v>509</v>
      </c>
      <c r="F4" s="14" t="s">
        <v>510</v>
      </c>
      <c r="G4" s="14" t="s">
        <v>511</v>
      </c>
      <c r="H4" s="14" t="s">
        <v>579</v>
      </c>
      <c r="I4" s="1" t="s">
        <v>512</v>
      </c>
      <c r="J4" s="1" t="s">
        <v>578</v>
      </c>
      <c r="K4" s="1" t="s">
        <v>513</v>
      </c>
      <c r="L4" s="14" t="s">
        <v>514</v>
      </c>
      <c r="M4" s="31" t="s">
        <v>515</v>
      </c>
      <c r="N4" s="14" t="s">
        <v>580</v>
      </c>
    </row>
    <row r="5" spans="2:14" ht="18" thickBot="1" x14ac:dyDescent="0.25">
      <c r="B5" s="21">
        <v>1</v>
      </c>
      <c r="C5" s="15" t="s">
        <v>0</v>
      </c>
      <c r="D5" s="2">
        <v>169163.171875</v>
      </c>
      <c r="E5" s="2">
        <v>38341</v>
      </c>
      <c r="F5" s="34">
        <v>-0.28889778256416321</v>
      </c>
      <c r="G5" s="34">
        <v>0.99974638223648071</v>
      </c>
      <c r="H5" s="15">
        <v>10.960053443908691</v>
      </c>
      <c r="I5" s="2" t="s">
        <v>18</v>
      </c>
      <c r="J5" s="2">
        <v>55286.77734375</v>
      </c>
      <c r="K5" s="34">
        <v>23112793</v>
      </c>
      <c r="L5" s="26">
        <v>5.9912707656621933E-2</v>
      </c>
      <c r="M5" s="34">
        <v>0.58458113670349121</v>
      </c>
      <c r="N5" s="34">
        <v>2.0169506072998047</v>
      </c>
    </row>
    <row r="6" spans="2:14" ht="35" thickBot="1" x14ac:dyDescent="0.25">
      <c r="B6" s="21">
        <v>2</v>
      </c>
      <c r="C6" s="15" t="s">
        <v>1</v>
      </c>
      <c r="D6" s="2">
        <v>147878.453125</v>
      </c>
      <c r="E6" s="2">
        <v>40128</v>
      </c>
      <c r="F6" s="34">
        <v>0.23186711966991425</v>
      </c>
      <c r="G6" s="34">
        <v>1.4142367839813232</v>
      </c>
      <c r="H6" s="15">
        <v>14.356439590454102</v>
      </c>
      <c r="I6" s="2" t="s">
        <v>21</v>
      </c>
      <c r="J6" s="2">
        <v>53645.61328125</v>
      </c>
      <c r="K6" s="34">
        <v>11346000</v>
      </c>
      <c r="L6" s="26">
        <v>4.2752936482429504E-2</v>
      </c>
      <c r="M6" s="34">
        <v>0.75419008731842041</v>
      </c>
      <c r="N6" s="34">
        <v>2.7793922424316406</v>
      </c>
    </row>
    <row r="7" spans="2:14" ht="18" thickBot="1" x14ac:dyDescent="0.25">
      <c r="B7" s="21">
        <v>3</v>
      </c>
      <c r="C7" s="15" t="s">
        <v>2</v>
      </c>
      <c r="D7" s="2">
        <v>127784.8515625</v>
      </c>
      <c r="E7" s="2">
        <v>680453</v>
      </c>
      <c r="F7" s="34">
        <v>0.47231429815292358</v>
      </c>
      <c r="G7" s="34">
        <v>1.2885355949401855</v>
      </c>
      <c r="H7" s="15">
        <v>6.8448987007141113</v>
      </c>
      <c r="I7" s="2" t="s">
        <v>22</v>
      </c>
      <c r="J7" s="2">
        <v>49940.43359375</v>
      </c>
      <c r="K7" s="34">
        <v>347275807</v>
      </c>
      <c r="L7" s="26">
        <v>-6.5918167820200324E-4</v>
      </c>
      <c r="M7" s="34">
        <v>1.2513744831085205</v>
      </c>
      <c r="N7" s="34">
        <v>-1.0439835786819458</v>
      </c>
    </row>
    <row r="8" spans="2:14" ht="18" thickBot="1" x14ac:dyDescent="0.25">
      <c r="B8" s="21">
        <v>4</v>
      </c>
      <c r="C8" s="15" t="s">
        <v>4</v>
      </c>
      <c r="D8" s="2">
        <v>126080.4609375</v>
      </c>
      <c r="E8" s="2">
        <v>64555</v>
      </c>
      <c r="F8" s="34">
        <v>0.58675259351730347</v>
      </c>
      <c r="G8" s="34">
        <v>1.4313023090362549</v>
      </c>
      <c r="H8" s="15">
        <v>50.688442230224609</v>
      </c>
      <c r="I8" s="2" t="s">
        <v>36</v>
      </c>
      <c r="J8" s="2">
        <v>48625.1640625</v>
      </c>
      <c r="K8" s="34">
        <v>34566328</v>
      </c>
      <c r="L8" s="26">
        <v>3.5969710443168879E-3</v>
      </c>
      <c r="M8" s="34">
        <v>0.58542263507843018</v>
      </c>
      <c r="N8" s="34">
        <v>1.5154331922531128</v>
      </c>
    </row>
    <row r="9" spans="2:14" ht="18" thickBot="1" x14ac:dyDescent="0.25">
      <c r="B9" s="21">
        <v>5</v>
      </c>
      <c r="C9" s="15" t="s">
        <v>3</v>
      </c>
      <c r="D9" s="2">
        <v>125533.953125</v>
      </c>
      <c r="E9" s="2">
        <v>64477</v>
      </c>
      <c r="F9" s="34">
        <v>0.92716485261917114</v>
      </c>
      <c r="G9" s="34">
        <v>1.1858710050582886</v>
      </c>
      <c r="H9" s="15">
        <v>32.579826354980469</v>
      </c>
      <c r="I9" s="2" t="s">
        <v>25</v>
      </c>
      <c r="J9" s="2">
        <v>47551.421875</v>
      </c>
      <c r="K9" s="34">
        <v>18346819</v>
      </c>
      <c r="L9" s="26">
        <v>2.0829034969210625E-2</v>
      </c>
      <c r="M9" s="34">
        <v>1.1503193378448486</v>
      </c>
      <c r="N9" s="34">
        <v>1.14823317527771</v>
      </c>
    </row>
    <row r="10" spans="2:14" ht="18" thickBot="1" x14ac:dyDescent="0.25">
      <c r="B10" s="21">
        <v>6</v>
      </c>
      <c r="C10" s="15" t="s">
        <v>5</v>
      </c>
      <c r="D10" s="2">
        <v>121734.2421875</v>
      </c>
      <c r="E10" s="2">
        <v>103989</v>
      </c>
      <c r="F10" s="34">
        <v>0.89299792051315308</v>
      </c>
      <c r="G10" s="34">
        <v>1.1858710050582886</v>
      </c>
      <c r="H10" s="15">
        <v>21.811874389648438</v>
      </c>
      <c r="I10" s="2" t="s">
        <v>26</v>
      </c>
      <c r="J10" s="2">
        <v>45180.1484375</v>
      </c>
      <c r="K10" s="34">
        <v>10656633</v>
      </c>
      <c r="L10" s="26">
        <v>9.2048801481723785E-2</v>
      </c>
      <c r="M10" s="34">
        <v>1.1068054437637329</v>
      </c>
      <c r="N10" s="34">
        <v>0.81506252288818359</v>
      </c>
    </row>
    <row r="11" spans="2:14" ht="18" thickBot="1" x14ac:dyDescent="0.25">
      <c r="B11" s="21">
        <v>7</v>
      </c>
      <c r="C11" s="15" t="s">
        <v>6</v>
      </c>
      <c r="D11" s="2">
        <v>107491.484375</v>
      </c>
      <c r="E11" s="2">
        <v>5870750</v>
      </c>
      <c r="F11" s="34">
        <v>0.11871433258056641</v>
      </c>
      <c r="G11" s="34">
        <v>0.75498580932617188</v>
      </c>
      <c r="H11" s="15">
        <v>2.2225155830383301</v>
      </c>
      <c r="I11" s="2" t="s">
        <v>35</v>
      </c>
      <c r="J11" s="2">
        <v>42166.83984375</v>
      </c>
      <c r="K11" s="34">
        <v>40126723</v>
      </c>
      <c r="L11" s="26">
        <v>3.0414273962378502E-2</v>
      </c>
      <c r="M11" s="34">
        <v>1.0549725294113159</v>
      </c>
      <c r="N11" s="34">
        <v>0.8632122278213501</v>
      </c>
    </row>
    <row r="12" spans="2:14" ht="18" thickBot="1" x14ac:dyDescent="0.25">
      <c r="B12" s="21">
        <v>8</v>
      </c>
      <c r="C12" s="15" t="s">
        <v>7</v>
      </c>
      <c r="D12" s="2">
        <v>101096.9296875</v>
      </c>
      <c r="E12" s="2">
        <v>75844</v>
      </c>
      <c r="F12" s="34">
        <v>0.69490140676498413</v>
      </c>
      <c r="G12" s="34">
        <v>1.4001543521881104</v>
      </c>
      <c r="H12" s="15">
        <v>-68.204185485839844</v>
      </c>
      <c r="I12" s="2" t="s">
        <v>29</v>
      </c>
      <c r="J12" s="2">
        <v>42067.3671875</v>
      </c>
      <c r="K12" s="34">
        <v>11758603</v>
      </c>
      <c r="L12" s="26">
        <v>2.8689658269286156E-2</v>
      </c>
      <c r="M12" s="34">
        <v>1.0582047700881958</v>
      </c>
      <c r="N12" s="34">
        <v>0.79132294654846191</v>
      </c>
    </row>
    <row r="13" spans="2:14" ht="18" thickBot="1" x14ac:dyDescent="0.25">
      <c r="B13" s="21">
        <v>9</v>
      </c>
      <c r="C13" s="15" t="s">
        <v>10</v>
      </c>
      <c r="D13" s="2">
        <v>86012.515625</v>
      </c>
      <c r="E13" s="2">
        <v>40126</v>
      </c>
      <c r="F13" s="34">
        <v>0.37179815769195557</v>
      </c>
      <c r="G13" s="34">
        <v>1.1858710050582886</v>
      </c>
      <c r="H13" s="15">
        <v>8.1169557571411133</v>
      </c>
      <c r="I13" s="2" t="s">
        <v>30</v>
      </c>
      <c r="J13" s="2">
        <v>41797.828125</v>
      </c>
      <c r="K13" s="34">
        <v>84075075</v>
      </c>
      <c r="L13" s="26">
        <v>4.6689584851264954E-2</v>
      </c>
      <c r="M13" s="34">
        <v>1.0649185180664062</v>
      </c>
      <c r="N13" s="34">
        <v>0.88065731525421143</v>
      </c>
    </row>
    <row r="14" spans="2:14" ht="18" thickBot="1" x14ac:dyDescent="0.25">
      <c r="B14" s="21">
        <v>10</v>
      </c>
      <c r="C14" s="15" t="s">
        <v>8</v>
      </c>
      <c r="D14" s="2">
        <v>78176.765625</v>
      </c>
      <c r="E14" s="2">
        <v>722007</v>
      </c>
      <c r="F14" s="34">
        <v>5.4944336414337158E-2</v>
      </c>
      <c r="G14" s="34">
        <v>0.68804359436035156</v>
      </c>
      <c r="H14" s="15">
        <v>4.0976324081420898</v>
      </c>
      <c r="I14" s="2" t="s">
        <v>32</v>
      </c>
      <c r="J14" s="2">
        <v>41639.90234375</v>
      </c>
      <c r="K14" s="34">
        <v>26974026</v>
      </c>
      <c r="L14" s="26">
        <v>-1.3718719594180584E-2</v>
      </c>
      <c r="M14" s="34">
        <v>1.1546171903610229</v>
      </c>
      <c r="N14" s="34">
        <v>-0.21116961538791656</v>
      </c>
    </row>
    <row r="15" spans="2:14" ht="18" thickBot="1" x14ac:dyDescent="0.25">
      <c r="B15" s="21">
        <v>11</v>
      </c>
      <c r="C15" s="15" t="s">
        <v>9</v>
      </c>
      <c r="D15" s="2">
        <v>73980.734375</v>
      </c>
      <c r="E15" s="2">
        <v>14728</v>
      </c>
      <c r="F15" s="34">
        <v>-3.3290822058916092E-2</v>
      </c>
      <c r="G15" s="34">
        <v>0.30965298414230347</v>
      </c>
      <c r="H15" s="15">
        <v>-1.6904958486557007</v>
      </c>
      <c r="I15" s="2" t="s">
        <v>42</v>
      </c>
      <c r="J15" s="2">
        <v>38013.4453125</v>
      </c>
      <c r="K15" s="34">
        <v>69551332</v>
      </c>
      <c r="L15" s="26">
        <v>1.5832845121622086E-2</v>
      </c>
      <c r="M15" s="34">
        <v>1.1858707666397095</v>
      </c>
      <c r="N15" s="34">
        <v>5.2646949887275696E-2</v>
      </c>
    </row>
    <row r="16" spans="2:14" ht="18" thickBot="1" x14ac:dyDescent="0.25">
      <c r="B16" s="21">
        <v>12</v>
      </c>
      <c r="C16" s="15" t="s">
        <v>12</v>
      </c>
      <c r="D16" s="2">
        <v>70146.875</v>
      </c>
      <c r="E16" s="2">
        <v>5623071</v>
      </c>
      <c r="F16" s="34">
        <v>0.16000695526599884</v>
      </c>
      <c r="G16" s="34">
        <v>1.1006633043289185</v>
      </c>
      <c r="H16" s="15">
        <v>4.0930852890014648</v>
      </c>
      <c r="I16" s="2" t="s">
        <v>39</v>
      </c>
      <c r="J16" s="2">
        <v>37176.40234375</v>
      </c>
      <c r="K16" s="34">
        <v>68898112</v>
      </c>
      <c r="L16" s="26">
        <v>3.7949465215206146E-2</v>
      </c>
      <c r="M16" s="34">
        <v>0.99082261323928833</v>
      </c>
      <c r="N16" s="34">
        <v>-0.23334269225597382</v>
      </c>
    </row>
    <row r="17" spans="2:14" ht="18" thickBot="1" x14ac:dyDescent="0.25">
      <c r="B17" s="21">
        <v>13</v>
      </c>
      <c r="C17" s="15" t="s">
        <v>13</v>
      </c>
      <c r="D17" s="2">
        <v>69266.0625</v>
      </c>
      <c r="E17" s="2">
        <v>3115889</v>
      </c>
      <c r="F17" s="34">
        <v>-2.9187716543674469E-2</v>
      </c>
      <c r="G17" s="34">
        <v>0.72564476728439331</v>
      </c>
      <c r="H17" s="15">
        <v>3.4581706523895264</v>
      </c>
      <c r="I17" s="2" t="s">
        <v>45</v>
      </c>
      <c r="J17" s="2">
        <v>35047.8359375</v>
      </c>
      <c r="K17" s="34">
        <v>51667029</v>
      </c>
      <c r="L17" s="26">
        <v>1.0052783414721489E-2</v>
      </c>
      <c r="M17" s="34">
        <v>0.73212629556655884</v>
      </c>
      <c r="N17" s="34">
        <v>0.77019166946411133</v>
      </c>
    </row>
    <row r="18" spans="2:14" ht="18" thickBot="1" x14ac:dyDescent="0.25">
      <c r="B18" s="21">
        <v>14</v>
      </c>
      <c r="C18" s="15" t="s">
        <v>11</v>
      </c>
      <c r="D18" s="2">
        <v>67616.46875</v>
      </c>
      <c r="E18" s="2">
        <v>84118</v>
      </c>
      <c r="F18" s="34">
        <v>3.5405192524194717E-2</v>
      </c>
      <c r="G18" s="34">
        <v>1.2242245674133301</v>
      </c>
      <c r="H18" s="15">
        <v>1.7848591804504395</v>
      </c>
      <c r="I18" s="2" t="s">
        <v>44</v>
      </c>
      <c r="J18" s="2">
        <v>34700.1328125</v>
      </c>
      <c r="K18" s="34">
        <v>59146260</v>
      </c>
      <c r="L18" s="26">
        <v>-9.6027139807119966E-4</v>
      </c>
      <c r="M18" s="34">
        <v>0.90017372369766235</v>
      </c>
      <c r="N18" s="34">
        <v>0.10818072408437729</v>
      </c>
    </row>
    <row r="19" spans="2:14" ht="18" thickBot="1" x14ac:dyDescent="0.25">
      <c r="B19" s="21">
        <v>15</v>
      </c>
      <c r="C19" s="15" t="s">
        <v>19</v>
      </c>
      <c r="D19" s="2">
        <v>60793.3125</v>
      </c>
      <c r="E19" s="2">
        <v>5308039</v>
      </c>
      <c r="F19" s="34">
        <v>-0.25263944268226624</v>
      </c>
      <c r="G19" s="34">
        <v>1.0893610715866089</v>
      </c>
      <c r="H19" s="15">
        <v>-0.40784290432929993</v>
      </c>
      <c r="I19" s="2" t="s">
        <v>49</v>
      </c>
      <c r="J19" s="2">
        <v>33533.7109375</v>
      </c>
      <c r="K19" s="34">
        <v>47889958</v>
      </c>
      <c r="L19" s="26">
        <v>-2.1940383594483137E-3</v>
      </c>
      <c r="M19" s="34">
        <v>0.87393653392791748</v>
      </c>
      <c r="N19" s="34">
        <v>-0.35259202122688293</v>
      </c>
    </row>
    <row r="20" spans="2:14" ht="18" thickBot="1" x14ac:dyDescent="0.25">
      <c r="B20" s="21">
        <v>16</v>
      </c>
      <c r="C20" s="46" t="s">
        <v>16</v>
      </c>
      <c r="D20" s="2">
        <v>56006.68359375</v>
      </c>
      <c r="E20" s="2">
        <v>7396076</v>
      </c>
      <c r="F20" s="34">
        <v>0.19516621530056</v>
      </c>
      <c r="G20" s="34">
        <v>0.8775554895401001</v>
      </c>
      <c r="H20" s="15">
        <v>6.7546801567077637</v>
      </c>
      <c r="I20" s="2" t="s">
        <v>50</v>
      </c>
      <c r="J20" s="2">
        <v>30128.634765625</v>
      </c>
      <c r="K20" s="34">
        <v>123103479</v>
      </c>
      <c r="L20" s="26">
        <v>8.8244929909706116E-2</v>
      </c>
      <c r="M20" s="34">
        <v>0.81981241703033447</v>
      </c>
      <c r="N20" s="34">
        <v>1.0297107696533203</v>
      </c>
    </row>
    <row r="21" spans="2:14" ht="18" thickBot="1" x14ac:dyDescent="0.25">
      <c r="B21" s="21">
        <v>17</v>
      </c>
      <c r="C21" s="15" t="s">
        <v>18</v>
      </c>
      <c r="D21" s="2">
        <v>55286.77734375</v>
      </c>
      <c r="E21" s="2">
        <v>23112793</v>
      </c>
      <c r="F21" s="34">
        <v>5.9912707656621933E-2</v>
      </c>
      <c r="G21" s="34">
        <v>0.58458113670349121</v>
      </c>
      <c r="H21" s="15">
        <v>2.0169506072998047</v>
      </c>
      <c r="I21" s="2" t="s">
        <v>55</v>
      </c>
      <c r="J21" s="2">
        <v>29576.16796875</v>
      </c>
      <c r="K21" s="34">
        <v>38140910</v>
      </c>
      <c r="L21" s="26">
        <v>-5.2898112684488297E-2</v>
      </c>
      <c r="M21" s="34">
        <v>0.61017483472824097</v>
      </c>
      <c r="N21" s="34">
        <v>-0.31963521242141724</v>
      </c>
    </row>
    <row r="22" spans="2:14" ht="35" thickBot="1" x14ac:dyDescent="0.25">
      <c r="B22" s="21">
        <v>18</v>
      </c>
      <c r="C22" s="15" t="s">
        <v>21</v>
      </c>
      <c r="D22" s="2">
        <v>53645.61328125</v>
      </c>
      <c r="E22" s="2">
        <v>11346000</v>
      </c>
      <c r="F22" s="34">
        <v>4.2752936482429504E-2</v>
      </c>
      <c r="G22" s="34">
        <v>0.75419008731842041</v>
      </c>
      <c r="H22" s="15">
        <v>2.7793922424316406</v>
      </c>
      <c r="I22" s="2" t="s">
        <v>57</v>
      </c>
      <c r="J22" s="2">
        <v>29224.78125</v>
      </c>
      <c r="K22" s="34">
        <v>10609239</v>
      </c>
      <c r="L22" s="26">
        <v>-6.6982850432395935E-2</v>
      </c>
      <c r="M22" s="34">
        <v>0.80542570352554321</v>
      </c>
      <c r="N22" s="34">
        <v>-2.7565281838178635E-2</v>
      </c>
    </row>
    <row r="23" spans="2:14" ht="35" thickBot="1" x14ac:dyDescent="0.25">
      <c r="B23" s="21">
        <v>19</v>
      </c>
      <c r="C23" s="15" t="s">
        <v>15</v>
      </c>
      <c r="D23" s="2">
        <v>53241.6328125</v>
      </c>
      <c r="E23" s="2">
        <v>466330</v>
      </c>
      <c r="F23" s="34">
        <v>7.0918728597462177E-3</v>
      </c>
      <c r="G23" s="34">
        <v>0.47829243540763855</v>
      </c>
      <c r="H23" s="15">
        <v>7.1635446548461914</v>
      </c>
      <c r="I23" s="2" t="s">
        <v>56</v>
      </c>
      <c r="J23" s="2">
        <v>29058.408203125</v>
      </c>
      <c r="K23" s="34">
        <v>143997393</v>
      </c>
      <c r="L23" s="26">
        <v>-9.4344867393374443E-3</v>
      </c>
      <c r="M23" s="34">
        <v>0.47193947434425354</v>
      </c>
      <c r="N23" s="34">
        <v>0.35032591223716736</v>
      </c>
    </row>
    <row r="24" spans="2:14" ht="18" thickBot="1" x14ac:dyDescent="0.25">
      <c r="B24" s="21">
        <v>20</v>
      </c>
      <c r="C24" s="15" t="s">
        <v>14</v>
      </c>
      <c r="D24" s="2">
        <v>52952.34765625</v>
      </c>
      <c r="E24" s="2">
        <v>4359</v>
      </c>
      <c r="F24" s="34">
        <v>6.7695476114749908E-2</v>
      </c>
      <c r="G24" s="34">
        <v>0.29125013947486877</v>
      </c>
      <c r="H24" s="15">
        <v>1.5353235006332397</v>
      </c>
      <c r="I24" s="2" t="s">
        <v>62</v>
      </c>
      <c r="J24" s="2">
        <v>28085.98046875</v>
      </c>
      <c r="K24" s="34">
        <v>18908650</v>
      </c>
      <c r="L24" s="26">
        <v>-3.3819660544395447E-2</v>
      </c>
      <c r="M24" s="34">
        <v>0.60826408863067627</v>
      </c>
      <c r="N24" s="34">
        <v>3.0247768387198448E-2</v>
      </c>
    </row>
  </sheetData>
  <mergeCells count="1">
    <mergeCell ref="B3:N3"/>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N24"/>
  <sheetViews>
    <sheetView topLeftCell="B1" zoomScale="84" workbookViewId="0">
      <selection activeCell="C3" sqref="C3:N3"/>
    </sheetView>
  </sheetViews>
  <sheetFormatPr baseColWidth="10" defaultColWidth="19.5" defaultRowHeight="15" x14ac:dyDescent="0.2"/>
  <cols>
    <col min="1" max="1" width="15.1640625" customWidth="1"/>
    <col min="2" max="2" width="3.5" bestFit="1" customWidth="1"/>
    <col min="3" max="3" width="16.6640625" bestFit="1" customWidth="1"/>
    <col min="4" max="4" width="22" customWidth="1"/>
    <col min="5" max="5" width="16" bestFit="1" customWidth="1"/>
    <col min="9" max="9" width="22.1640625" customWidth="1"/>
  </cols>
  <sheetData>
    <row r="2" spans="2:14" ht="16" thickBot="1" x14ac:dyDescent="0.25"/>
    <row r="3" spans="2:14" ht="17" thickBot="1" x14ac:dyDescent="0.25">
      <c r="B3" s="189" t="s">
        <v>692</v>
      </c>
      <c r="C3" s="190"/>
      <c r="D3" s="190"/>
      <c r="E3" s="190"/>
      <c r="F3" s="190"/>
      <c r="G3" s="190"/>
      <c r="H3" s="190"/>
      <c r="I3" s="190"/>
      <c r="J3" s="190"/>
      <c r="K3" s="190"/>
      <c r="L3" s="190"/>
      <c r="M3" s="190"/>
      <c r="N3" s="225"/>
    </row>
    <row r="4" spans="2:14" ht="103" thickBot="1" x14ac:dyDescent="0.25">
      <c r="B4" s="36"/>
      <c r="C4" s="37" t="s">
        <v>460</v>
      </c>
      <c r="D4" s="38" t="s">
        <v>572</v>
      </c>
      <c r="E4" s="38" t="s">
        <v>509</v>
      </c>
      <c r="F4" s="38" t="s">
        <v>510</v>
      </c>
      <c r="G4" s="38" t="s">
        <v>511</v>
      </c>
      <c r="H4" s="39" t="s">
        <v>579</v>
      </c>
      <c r="I4" s="38" t="s">
        <v>512</v>
      </c>
      <c r="J4" s="38" t="s">
        <v>578</v>
      </c>
      <c r="K4" s="38" t="s">
        <v>513</v>
      </c>
      <c r="L4" s="38" t="s">
        <v>514</v>
      </c>
      <c r="M4" s="38" t="s">
        <v>515</v>
      </c>
      <c r="N4" s="40" t="s">
        <v>580</v>
      </c>
    </row>
    <row r="5" spans="2:14" ht="18" thickBot="1" x14ac:dyDescent="0.25">
      <c r="B5" s="21">
        <v>1</v>
      </c>
      <c r="C5" s="15" t="s">
        <v>213</v>
      </c>
      <c r="D5" s="2">
        <v>622.8375244140625</v>
      </c>
      <c r="E5" s="2">
        <v>14390003</v>
      </c>
      <c r="F5" s="34">
        <v>-9.7411144524812698E-3</v>
      </c>
      <c r="G5" s="34">
        <v>0.49313712120056152</v>
      </c>
      <c r="H5" s="15">
        <v>-0.87071436643600464</v>
      </c>
      <c r="I5" s="2" t="s">
        <v>213</v>
      </c>
      <c r="J5" s="2">
        <v>622.8375244140625</v>
      </c>
      <c r="K5" s="34">
        <v>14390003</v>
      </c>
      <c r="L5" s="26">
        <v>-9.7411144524812698E-3</v>
      </c>
      <c r="M5" s="34">
        <v>0.49313712120056152</v>
      </c>
      <c r="N5" s="34">
        <v>-0.87071436643600464</v>
      </c>
    </row>
    <row r="6" spans="2:14" ht="18" thickBot="1" x14ac:dyDescent="0.25">
      <c r="B6" s="21">
        <v>2</v>
      </c>
      <c r="C6" s="15" t="s">
        <v>212</v>
      </c>
      <c r="D6" s="2">
        <v>708.8441162109375</v>
      </c>
      <c r="E6" s="2">
        <v>41773878</v>
      </c>
      <c r="F6" s="34">
        <v>-1.09359051566571E-3</v>
      </c>
      <c r="G6" s="34">
        <v>0.94936573505401611</v>
      </c>
      <c r="H6" s="15">
        <v>-7.7065609395503998E-2</v>
      </c>
      <c r="I6" s="2" t="s">
        <v>212</v>
      </c>
      <c r="J6" s="2">
        <v>708.8441162109375</v>
      </c>
      <c r="K6" s="34">
        <v>41773878</v>
      </c>
      <c r="L6" s="26">
        <v>-1.09359051566571E-3</v>
      </c>
      <c r="M6" s="34">
        <v>0.94936573505401611</v>
      </c>
      <c r="N6" s="34">
        <v>-7.7065609395503998E-2</v>
      </c>
    </row>
    <row r="7" spans="2:14" ht="35" thickBot="1" x14ac:dyDescent="0.25">
      <c r="B7" s="21">
        <v>3</v>
      </c>
      <c r="C7" s="15" t="s">
        <v>211</v>
      </c>
      <c r="D7" s="2">
        <v>828.289794921875</v>
      </c>
      <c r="E7" s="2">
        <v>5513282</v>
      </c>
      <c r="F7" s="34">
        <v>9.829419432207942E-4</v>
      </c>
      <c r="G7" s="34">
        <v>0.55026483535766602</v>
      </c>
      <c r="H7" s="15">
        <v>-0.56027281284332275</v>
      </c>
      <c r="I7" s="2" t="s">
        <v>210</v>
      </c>
      <c r="J7" s="2">
        <v>879.0474853515625</v>
      </c>
      <c r="K7" s="34">
        <v>35631653</v>
      </c>
      <c r="L7" s="26">
        <v>-0.13162092864513397</v>
      </c>
      <c r="M7" s="34">
        <v>0.46290615200996399</v>
      </c>
      <c r="N7" s="34">
        <v>-3.4789266586303711</v>
      </c>
    </row>
    <row r="8" spans="2:14" ht="18" thickBot="1" x14ac:dyDescent="0.25">
      <c r="B8" s="21">
        <v>4</v>
      </c>
      <c r="C8" s="15" t="s">
        <v>210</v>
      </c>
      <c r="D8" s="2">
        <v>879.0474853515625</v>
      </c>
      <c r="E8" s="2">
        <v>35631653</v>
      </c>
      <c r="F8" s="34">
        <v>-0.13162092864513397</v>
      </c>
      <c r="G8" s="34">
        <v>0.46290615200996399</v>
      </c>
      <c r="H8" s="15">
        <v>-3.4789266586303711</v>
      </c>
      <c r="I8" s="2" t="s">
        <v>214</v>
      </c>
      <c r="J8" s="2">
        <v>916.99810791015625</v>
      </c>
      <c r="K8" s="34">
        <v>51662147</v>
      </c>
      <c r="L8" s="26">
        <v>-2.3718969896435738E-2</v>
      </c>
      <c r="M8" s="34">
        <v>1.9754618406295776</v>
      </c>
      <c r="N8" s="34">
        <v>-0.68855971097946167</v>
      </c>
    </row>
    <row r="9" spans="2:14" ht="18" thickBot="1" x14ac:dyDescent="0.25">
      <c r="B9" s="21">
        <v>5</v>
      </c>
      <c r="C9" s="15" t="s">
        <v>214</v>
      </c>
      <c r="D9" s="2">
        <v>916.99810791015625</v>
      </c>
      <c r="E9" s="2">
        <v>51662147</v>
      </c>
      <c r="F9" s="34">
        <v>-2.3718969896435738E-2</v>
      </c>
      <c r="G9" s="34">
        <v>1.9754618406295776</v>
      </c>
      <c r="H9" s="15">
        <v>-0.68855971097946167</v>
      </c>
      <c r="I9" s="2" t="s">
        <v>209</v>
      </c>
      <c r="J9" s="2">
        <v>969.79803466796875</v>
      </c>
      <c r="K9" s="34">
        <v>19654739</v>
      </c>
      <c r="L9" s="26">
        <v>3.0080038122832775E-3</v>
      </c>
      <c r="M9" s="34">
        <v>0.52909469604492188</v>
      </c>
      <c r="N9" s="34">
        <v>-0.52960789203643799</v>
      </c>
    </row>
    <row r="10" spans="2:14" ht="18" thickBot="1" x14ac:dyDescent="0.25">
      <c r="B10" s="21">
        <v>6</v>
      </c>
      <c r="C10" s="15" t="s">
        <v>209</v>
      </c>
      <c r="D10" s="2">
        <v>969.79803466796875</v>
      </c>
      <c r="E10" s="2">
        <v>19654739</v>
      </c>
      <c r="F10" s="34">
        <v>3.0080038122832775E-3</v>
      </c>
      <c r="G10" s="34">
        <v>0.52909469604492188</v>
      </c>
      <c r="H10" s="15">
        <v>-0.52960789203643799</v>
      </c>
      <c r="I10" s="2" t="s">
        <v>207</v>
      </c>
      <c r="J10" s="2">
        <v>1164.001953125</v>
      </c>
      <c r="K10" s="34">
        <v>22216120</v>
      </c>
      <c r="L10" s="26">
        <v>-1.7494872212409973E-2</v>
      </c>
      <c r="M10" s="34">
        <v>0.4458371102809906</v>
      </c>
      <c r="N10" s="34">
        <v>-0.34616190195083618</v>
      </c>
    </row>
    <row r="11" spans="2:14" ht="18" thickBot="1" x14ac:dyDescent="0.25">
      <c r="B11" s="21">
        <v>7</v>
      </c>
      <c r="C11" s="15" t="s">
        <v>207</v>
      </c>
      <c r="D11" s="2">
        <v>1164.001953125</v>
      </c>
      <c r="E11" s="2">
        <v>22216120</v>
      </c>
      <c r="F11" s="34">
        <v>-1.7494872212409973E-2</v>
      </c>
      <c r="G11" s="34">
        <v>0.4458371102809906</v>
      </c>
      <c r="H11" s="15">
        <v>-0.34616190195083618</v>
      </c>
      <c r="I11" s="2" t="s">
        <v>208</v>
      </c>
      <c r="J11" s="2">
        <v>1174.989501953125</v>
      </c>
      <c r="K11" s="34">
        <v>112832473</v>
      </c>
      <c r="L11" s="26">
        <v>-3.974258154630661E-2</v>
      </c>
      <c r="M11" s="34">
        <v>0.47531852126121521</v>
      </c>
      <c r="N11" s="34">
        <v>-0.50315612554550171</v>
      </c>
    </row>
    <row r="12" spans="2:14" ht="18" thickBot="1" x14ac:dyDescent="0.25">
      <c r="B12" s="21">
        <v>8</v>
      </c>
      <c r="C12" s="15" t="s">
        <v>208</v>
      </c>
      <c r="D12" s="2">
        <v>1174.989501953125</v>
      </c>
      <c r="E12" s="2">
        <v>112832473</v>
      </c>
      <c r="F12" s="34">
        <v>-3.974258154630661E-2</v>
      </c>
      <c r="G12" s="34">
        <v>0.47531852126121521</v>
      </c>
      <c r="H12" s="15">
        <v>-0.50315612554550171</v>
      </c>
      <c r="I12" s="2" t="s">
        <v>206</v>
      </c>
      <c r="J12" s="2">
        <v>1177.6971435546875</v>
      </c>
      <c r="K12" s="34">
        <v>32740678</v>
      </c>
      <c r="L12" s="26">
        <v>-3.6227110773324966E-2</v>
      </c>
      <c r="M12" s="34">
        <v>0.39191314578056335</v>
      </c>
      <c r="N12" s="34">
        <v>-0.39424020051956177</v>
      </c>
    </row>
    <row r="13" spans="2:14" ht="18" thickBot="1" x14ac:dyDescent="0.25">
      <c r="B13" s="21">
        <v>9</v>
      </c>
      <c r="C13" s="15" t="s">
        <v>206</v>
      </c>
      <c r="D13" s="2">
        <v>1177.6971435546875</v>
      </c>
      <c r="E13" s="2">
        <v>32740678</v>
      </c>
      <c r="F13" s="34">
        <v>-3.6227110773324966E-2</v>
      </c>
      <c r="G13" s="34">
        <v>0.39191314578056335</v>
      </c>
      <c r="H13" s="15">
        <v>-0.39424020051956177</v>
      </c>
      <c r="I13" s="2" t="s">
        <v>203</v>
      </c>
      <c r="J13" s="2">
        <v>1268.6312255859375</v>
      </c>
      <c r="K13" s="34">
        <v>27917831</v>
      </c>
      <c r="L13" s="26">
        <v>-2.1101184189319611E-2</v>
      </c>
      <c r="M13" s="34">
        <v>0.43841031193733215</v>
      </c>
      <c r="N13" s="34">
        <v>-0.95446407794952393</v>
      </c>
    </row>
    <row r="14" spans="2:14" ht="18" thickBot="1" x14ac:dyDescent="0.25">
      <c r="B14" s="21">
        <v>10</v>
      </c>
      <c r="C14" s="15" t="s">
        <v>203</v>
      </c>
      <c r="D14" s="2">
        <v>1268.6312255859375</v>
      </c>
      <c r="E14" s="2">
        <v>27917831</v>
      </c>
      <c r="F14" s="34">
        <v>-2.1101184189319611E-2</v>
      </c>
      <c r="G14" s="34">
        <v>0.43841031193733215</v>
      </c>
      <c r="H14" s="15">
        <v>-0.95446407794952393</v>
      </c>
      <c r="I14" s="2" t="s">
        <v>200</v>
      </c>
      <c r="J14" s="2">
        <v>1408.230224609375</v>
      </c>
      <c r="K14" s="34">
        <v>43844111</v>
      </c>
      <c r="L14" s="26">
        <v>9.6867717802524567E-3</v>
      </c>
      <c r="M14" s="34">
        <v>0.24501150846481323</v>
      </c>
      <c r="N14" s="34">
        <v>2.5133462622761726E-2</v>
      </c>
    </row>
    <row r="15" spans="2:14" ht="18" thickBot="1" x14ac:dyDescent="0.25">
      <c r="B15" s="21">
        <v>11</v>
      </c>
      <c r="C15" s="15" t="s">
        <v>204</v>
      </c>
      <c r="D15" s="2">
        <v>1309.9266357421875</v>
      </c>
      <c r="E15" s="2">
        <v>5731206</v>
      </c>
      <c r="F15" s="34">
        <v>-7.5811602175235748E-2</v>
      </c>
      <c r="G15" s="34">
        <v>0.54056793451309204</v>
      </c>
      <c r="H15" s="15">
        <v>-0.64368510246276855</v>
      </c>
      <c r="I15" s="2" t="s">
        <v>195</v>
      </c>
      <c r="J15" s="2">
        <v>1818.2225341796875</v>
      </c>
      <c r="K15" s="34">
        <v>24074580</v>
      </c>
      <c r="L15" s="26">
        <v>-5.4291456937789917E-2</v>
      </c>
      <c r="M15" s="34">
        <v>0.48323255777359009</v>
      </c>
      <c r="N15" s="34">
        <v>-0.3803851306438446</v>
      </c>
    </row>
    <row r="16" spans="2:14" ht="18" thickBot="1" x14ac:dyDescent="0.25">
      <c r="B16" s="21">
        <v>12</v>
      </c>
      <c r="C16" s="15" t="s">
        <v>200</v>
      </c>
      <c r="D16" s="2">
        <v>1408.230224609375</v>
      </c>
      <c r="E16" s="2">
        <v>43844111</v>
      </c>
      <c r="F16" s="34">
        <v>9.6867717802524567E-3</v>
      </c>
      <c r="G16" s="34">
        <v>0.24501150846481323</v>
      </c>
      <c r="H16" s="15">
        <v>2.5133462622761726E-2</v>
      </c>
      <c r="I16" s="2" t="s">
        <v>201</v>
      </c>
      <c r="J16" s="2">
        <v>1873.329833984375</v>
      </c>
      <c r="K16" s="34">
        <v>21003705</v>
      </c>
      <c r="L16" s="26">
        <v>1.3764944160357118E-3</v>
      </c>
      <c r="M16" s="34">
        <v>0.45588979125022888</v>
      </c>
      <c r="N16" s="34">
        <v>-0.61020714044570923</v>
      </c>
    </row>
    <row r="17" spans="2:14" ht="18" thickBot="1" x14ac:dyDescent="0.25">
      <c r="B17" s="21">
        <v>13</v>
      </c>
      <c r="C17" s="15" t="s">
        <v>202</v>
      </c>
      <c r="D17" s="2">
        <v>1519.3408203125</v>
      </c>
      <c r="E17" s="2">
        <v>3607003</v>
      </c>
      <c r="F17" s="34">
        <v>-6.27872534096241E-3</v>
      </c>
      <c r="G17" s="34">
        <v>0.23008744418621063</v>
      </c>
      <c r="H17" s="15">
        <v>-0.68385297060012817</v>
      </c>
      <c r="I17" s="2" t="s">
        <v>194</v>
      </c>
      <c r="J17" s="2">
        <v>1897.364013671875</v>
      </c>
      <c r="K17" s="34">
        <v>28516896</v>
      </c>
      <c r="L17" s="26">
        <v>-0.14423733949661255</v>
      </c>
      <c r="M17" s="34">
        <v>0.80865681171417236</v>
      </c>
      <c r="N17" s="34">
        <v>2.5164055824279785</v>
      </c>
    </row>
    <row r="18" spans="2:14" ht="18" thickBot="1" x14ac:dyDescent="0.25">
      <c r="B18" s="21">
        <v>14</v>
      </c>
      <c r="C18" s="15" t="s">
        <v>196</v>
      </c>
      <c r="D18" s="2">
        <v>1668.9830322265625</v>
      </c>
      <c r="E18" s="2">
        <v>838645</v>
      </c>
      <c r="F18" s="34">
        <v>-8.5585042834281921E-3</v>
      </c>
      <c r="G18" s="34">
        <v>0.91903764009475708</v>
      </c>
      <c r="H18" s="15">
        <v>-6.7004010081291199E-2</v>
      </c>
      <c r="I18" s="2" t="s">
        <v>205</v>
      </c>
      <c r="J18" s="2">
        <v>1949.9443359375</v>
      </c>
      <c r="K18" s="34">
        <v>12188788</v>
      </c>
      <c r="L18" s="26">
        <v>-8.8209949433803558E-2</v>
      </c>
      <c r="M18" s="34">
        <v>13.594285011291504</v>
      </c>
      <c r="N18" s="34">
        <v>-6.3666100613772869E-3</v>
      </c>
    </row>
    <row r="19" spans="2:14" ht="18" thickBot="1" x14ac:dyDescent="0.25">
      <c r="B19" s="21">
        <v>15</v>
      </c>
      <c r="C19" s="15" t="s">
        <v>199</v>
      </c>
      <c r="D19" s="2">
        <v>1689.7430419921875</v>
      </c>
      <c r="E19" s="2">
        <v>2249515</v>
      </c>
      <c r="F19" s="34">
        <v>-2.5780876167118549E-3</v>
      </c>
      <c r="G19" s="34">
        <v>0.47568973898887634</v>
      </c>
      <c r="H19" s="15">
        <v>-0.4345640242099762</v>
      </c>
      <c r="I19" s="2" t="s">
        <v>193</v>
      </c>
      <c r="J19" s="2">
        <v>2065.291259765625</v>
      </c>
      <c r="K19" s="34">
        <v>11906095</v>
      </c>
      <c r="L19" s="26">
        <v>7.8438222408294678E-4</v>
      </c>
      <c r="M19" s="34">
        <v>1.0489646196365356</v>
      </c>
      <c r="N19" s="34">
        <v>1.2041267938911915E-2</v>
      </c>
    </row>
    <row r="20" spans="2:14" ht="18" thickBot="1" x14ac:dyDescent="0.25">
      <c r="B20" s="21">
        <v>16</v>
      </c>
      <c r="C20" s="46" t="s">
        <v>195</v>
      </c>
      <c r="D20" s="2">
        <v>1818.2225341796875</v>
      </c>
      <c r="E20" s="2">
        <v>24074580</v>
      </c>
      <c r="F20" s="34">
        <v>-5.4291456937789917E-2</v>
      </c>
      <c r="G20" s="34">
        <v>0.48323255777359009</v>
      </c>
      <c r="H20" s="15">
        <v>-0.3803851306438446</v>
      </c>
      <c r="I20" s="2" t="s">
        <v>198</v>
      </c>
      <c r="J20" s="2">
        <v>2113.962646484375</v>
      </c>
      <c r="K20" s="34">
        <v>25198821</v>
      </c>
      <c r="L20" s="26">
        <v>-3.0185669660568237E-2</v>
      </c>
      <c r="M20" s="34">
        <v>0.44808864593505859</v>
      </c>
      <c r="N20" s="34">
        <v>-0.60565543174743652</v>
      </c>
    </row>
    <row r="21" spans="2:14" ht="18" thickBot="1" x14ac:dyDescent="0.25">
      <c r="B21" s="21">
        <v>17</v>
      </c>
      <c r="C21" s="15" t="s">
        <v>201</v>
      </c>
      <c r="D21" s="2">
        <v>1873.329833984375</v>
      </c>
      <c r="E21" s="2">
        <v>21003705</v>
      </c>
      <c r="F21" s="34">
        <v>1.3764944160357118E-3</v>
      </c>
      <c r="G21" s="34">
        <v>0.45588979125022888</v>
      </c>
      <c r="H21" s="15">
        <v>-0.61020714044570923</v>
      </c>
      <c r="I21" s="2" t="s">
        <v>191</v>
      </c>
      <c r="J21" s="2">
        <v>2213.032958984375</v>
      </c>
      <c r="K21" s="34">
        <v>51384894</v>
      </c>
      <c r="L21" s="26">
        <v>-2.8144063428044319E-2</v>
      </c>
      <c r="M21" s="34">
        <v>0.43308892846107483</v>
      </c>
      <c r="N21" s="34">
        <v>-0.55683761835098267</v>
      </c>
    </row>
    <row r="22" spans="2:14" ht="18" thickBot="1" x14ac:dyDescent="0.25">
      <c r="B22" s="21">
        <v>18</v>
      </c>
      <c r="C22" s="15" t="s">
        <v>194</v>
      </c>
      <c r="D22" s="2">
        <v>1897.364013671875</v>
      </c>
      <c r="E22" s="2">
        <v>28516896</v>
      </c>
      <c r="F22" s="34">
        <v>-0.14423733949661255</v>
      </c>
      <c r="G22" s="34">
        <v>0.80865681171417236</v>
      </c>
      <c r="H22" s="15">
        <v>2.5164055824279785</v>
      </c>
      <c r="I22" s="2" t="s">
        <v>187</v>
      </c>
      <c r="J22" s="2">
        <v>2322.2021484375</v>
      </c>
      <c r="K22" s="34">
        <v>70545865</v>
      </c>
      <c r="L22" s="26">
        <v>-3.0693091452121735E-2</v>
      </c>
      <c r="M22" s="34">
        <v>0.36865812540054321</v>
      </c>
      <c r="N22" s="34">
        <v>-0.68982923030853271</v>
      </c>
    </row>
    <row r="23" spans="2:14" ht="18" thickBot="1" x14ac:dyDescent="0.25">
      <c r="B23" s="21">
        <v>19</v>
      </c>
      <c r="C23" s="15" t="s">
        <v>205</v>
      </c>
      <c r="D23" s="2">
        <v>1949.9443359375</v>
      </c>
      <c r="E23" s="2">
        <v>12188788</v>
      </c>
      <c r="F23" s="34">
        <v>-8.8209949433803558E-2</v>
      </c>
      <c r="G23" s="34">
        <v>13.594285011291504</v>
      </c>
      <c r="H23" s="15">
        <v>-6.3666100613772869E-3</v>
      </c>
      <c r="I23" s="2" t="s">
        <v>181</v>
      </c>
      <c r="J23" s="2">
        <v>2328.297607421875</v>
      </c>
      <c r="K23" s="34">
        <v>21913874</v>
      </c>
      <c r="L23" s="26">
        <v>-0.12101743370294571</v>
      </c>
      <c r="M23" s="34">
        <v>0.39616632461547852</v>
      </c>
      <c r="N23" s="34">
        <v>-1.1439495086669922</v>
      </c>
    </row>
    <row r="24" spans="2:14" ht="18" thickBot="1" x14ac:dyDescent="0.25">
      <c r="B24" s="21">
        <v>20</v>
      </c>
      <c r="C24" s="15" t="s">
        <v>193</v>
      </c>
      <c r="D24" s="2">
        <v>2065.291259765625</v>
      </c>
      <c r="E24" s="2">
        <v>11906095</v>
      </c>
      <c r="F24" s="34">
        <v>7.8438222408294678E-4</v>
      </c>
      <c r="G24" s="34">
        <v>1.0489646196365356</v>
      </c>
      <c r="H24" s="15">
        <v>1.2041267938911915E-2</v>
      </c>
      <c r="I24" s="2" t="s">
        <v>185</v>
      </c>
      <c r="J24" s="2">
        <v>2506.845703125</v>
      </c>
      <c r="K24" s="34">
        <v>14569341</v>
      </c>
      <c r="L24" s="26">
        <v>-2.7280250564217567E-2</v>
      </c>
      <c r="M24" s="34">
        <v>0.33551609516143799</v>
      </c>
      <c r="N24" s="34">
        <v>-0.81187409162521362</v>
      </c>
    </row>
  </sheetData>
  <mergeCells count="1">
    <mergeCell ref="B3:N3"/>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L14"/>
  <sheetViews>
    <sheetView workbookViewId="0">
      <selection activeCell="C3" sqref="C3:N3"/>
    </sheetView>
  </sheetViews>
  <sheetFormatPr baseColWidth="10" defaultColWidth="16.6640625" defaultRowHeight="15" x14ac:dyDescent="0.2"/>
  <cols>
    <col min="2" max="2" width="16.1640625" customWidth="1"/>
    <col min="4" max="4" width="15" customWidth="1"/>
  </cols>
  <sheetData>
    <row r="2" spans="2:12" ht="16" thickBot="1" x14ac:dyDescent="0.25"/>
    <row r="3" spans="2:12" ht="17" thickBot="1" x14ac:dyDescent="0.25">
      <c r="B3" s="226" t="s">
        <v>693</v>
      </c>
      <c r="C3" s="227"/>
      <c r="D3" s="227"/>
      <c r="E3" s="227"/>
      <c r="F3" s="227"/>
      <c r="G3" s="227"/>
      <c r="H3" s="227"/>
      <c r="I3" s="227"/>
      <c r="J3" s="227"/>
      <c r="K3" s="227"/>
      <c r="L3" s="228"/>
    </row>
    <row r="4" spans="2:12" ht="69" thickBot="1" x14ac:dyDescent="0.25">
      <c r="B4" s="1" t="s">
        <v>460</v>
      </c>
      <c r="C4" s="14" t="s">
        <v>571</v>
      </c>
      <c r="D4" s="1" t="s">
        <v>516</v>
      </c>
      <c r="E4" s="1" t="s">
        <v>581</v>
      </c>
      <c r="F4" s="14" t="s">
        <v>582</v>
      </c>
      <c r="G4" s="14" t="s">
        <v>663</v>
      </c>
      <c r="H4" s="14" t="s">
        <v>664</v>
      </c>
      <c r="I4" s="41" t="s">
        <v>583</v>
      </c>
      <c r="J4" s="14" t="s">
        <v>517</v>
      </c>
      <c r="K4" s="14" t="s">
        <v>584</v>
      </c>
      <c r="L4" s="14" t="s">
        <v>585</v>
      </c>
    </row>
    <row r="5" spans="2:12" ht="18" thickBot="1" x14ac:dyDescent="0.25">
      <c r="B5" s="15" t="s">
        <v>94</v>
      </c>
      <c r="C5" s="2">
        <v>22503.658203125</v>
      </c>
      <c r="D5" s="2">
        <v>1416.096094</v>
      </c>
      <c r="E5" s="2">
        <v>15891.3349609375</v>
      </c>
      <c r="F5" s="2">
        <v>13347.4677734375</v>
      </c>
      <c r="G5" s="98">
        <v>27988.65234375</v>
      </c>
      <c r="H5" s="99">
        <v>16600.751953125</v>
      </c>
      <c r="I5" s="97">
        <v>2</v>
      </c>
      <c r="J5" s="96">
        <v>0.5931243896484375</v>
      </c>
      <c r="K5" s="43">
        <v>-1.6875583678483963E-2</v>
      </c>
      <c r="L5" s="43">
        <v>0.24394328892230988</v>
      </c>
    </row>
    <row r="6" spans="2:12" ht="18" thickBot="1" x14ac:dyDescent="0.25">
      <c r="B6" s="15" t="s">
        <v>22</v>
      </c>
      <c r="C6" s="2">
        <v>17343.103515625</v>
      </c>
      <c r="D6" s="2">
        <v>347.27580699999999</v>
      </c>
      <c r="E6" s="2">
        <v>49940.43359375</v>
      </c>
      <c r="F6" s="2">
        <v>21702.71875</v>
      </c>
      <c r="G6" s="98">
        <v>20860.193359375</v>
      </c>
      <c r="H6" s="99">
        <v>26103.916015625</v>
      </c>
      <c r="I6" s="97">
        <v>1</v>
      </c>
      <c r="J6" s="96">
        <v>1.2513744831085205</v>
      </c>
      <c r="K6" s="43">
        <v>-6.5918167820200324E-4</v>
      </c>
      <c r="L6" s="43">
        <v>-1.0446722507476807</v>
      </c>
    </row>
    <row r="7" spans="2:12" ht="18" thickBot="1" x14ac:dyDescent="0.25">
      <c r="B7" s="15" t="s">
        <v>148</v>
      </c>
      <c r="C7" s="2">
        <v>10240.458984375</v>
      </c>
      <c r="D7" s="2">
        <v>1463.8655249999999</v>
      </c>
      <c r="E7" s="2">
        <v>6995.49169921875</v>
      </c>
      <c r="F7" s="2">
        <v>3037.53759765625</v>
      </c>
      <c r="G7" s="98">
        <v>11755.3974609375</v>
      </c>
      <c r="H7" s="99">
        <v>3486.900634765625</v>
      </c>
      <c r="I7" s="97">
        <v>6</v>
      </c>
      <c r="J7" s="96">
        <v>0.29662123322486877</v>
      </c>
      <c r="K7" s="43">
        <v>-2.980164997279644E-2</v>
      </c>
      <c r="L7" s="43">
        <v>-0.37667301297187805</v>
      </c>
    </row>
    <row r="8" spans="2:12" ht="18" thickBot="1" x14ac:dyDescent="0.25">
      <c r="B8" s="15" t="s">
        <v>56</v>
      </c>
      <c r="C8" s="2">
        <v>4184.3349609375</v>
      </c>
      <c r="D8" s="2">
        <v>143.99739299999999</v>
      </c>
      <c r="E8" s="2">
        <v>29058.408203125</v>
      </c>
      <c r="F8" s="2">
        <v>1974.7528076171875</v>
      </c>
      <c r="G8" s="98">
        <v>4880.2099609375</v>
      </c>
      <c r="H8" s="99">
        <v>2303.163818359375</v>
      </c>
      <c r="I8" s="97">
        <v>8</v>
      </c>
      <c r="J8" s="96">
        <v>0.47193947434425354</v>
      </c>
      <c r="K8" s="43">
        <v>-9.4344867393374443E-3</v>
      </c>
      <c r="L8" s="43">
        <v>0.35366252064704895</v>
      </c>
    </row>
    <row r="9" spans="2:12" ht="18" thickBot="1" x14ac:dyDescent="0.25">
      <c r="B9" s="15" t="s">
        <v>50</v>
      </c>
      <c r="C9" s="2">
        <v>3708.939697265625</v>
      </c>
      <c r="D9" s="2">
        <v>123.10347899999999</v>
      </c>
      <c r="E9" s="2">
        <v>30128.634765625</v>
      </c>
      <c r="F9" s="2">
        <v>3040.634765625</v>
      </c>
      <c r="G9" s="98">
        <v>4492.49951171875</v>
      </c>
      <c r="H9" s="99">
        <v>3683.0068359375</v>
      </c>
      <c r="I9" s="97">
        <v>5</v>
      </c>
      <c r="J9" s="96">
        <v>0.81981241703033447</v>
      </c>
      <c r="K9" s="43">
        <v>8.8244929909706116E-2</v>
      </c>
      <c r="L9" s="43">
        <v>0.9462122917175293</v>
      </c>
    </row>
    <row r="10" spans="2:12" ht="18" thickBot="1" x14ac:dyDescent="0.25">
      <c r="B10" s="15" t="s">
        <v>30</v>
      </c>
      <c r="C10" s="2">
        <v>3514.155517578125</v>
      </c>
      <c r="D10" s="2">
        <v>84.075074999999998</v>
      </c>
      <c r="E10" s="2">
        <v>41797.828125</v>
      </c>
      <c r="F10" s="2">
        <v>3742.289306640625</v>
      </c>
      <c r="G10" s="98">
        <v>4159.1982421875</v>
      </c>
      <c r="H10" s="99">
        <v>4429.20703125</v>
      </c>
      <c r="I10" s="97">
        <v>3</v>
      </c>
      <c r="J10" s="96">
        <v>1.0649185180664062</v>
      </c>
      <c r="K10" s="43">
        <v>4.6689588576555252E-2</v>
      </c>
      <c r="L10" s="43">
        <v>0.84137386083602905</v>
      </c>
    </row>
    <row r="11" spans="2:12" ht="18" thickBot="1" x14ac:dyDescent="0.25">
      <c r="B11" s="15" t="s">
        <v>106</v>
      </c>
      <c r="C11" s="2">
        <v>2789.93798828125</v>
      </c>
      <c r="D11" s="2">
        <v>212.81240500000001</v>
      </c>
      <c r="E11" s="2">
        <v>13109.8466796875</v>
      </c>
      <c r="F11" s="2">
        <v>1641.2935791015625</v>
      </c>
      <c r="G11" s="98">
        <v>3382.244384765625</v>
      </c>
      <c r="H11" s="99">
        <v>1989.74169921875</v>
      </c>
      <c r="I11" s="97">
        <v>11</v>
      </c>
      <c r="J11" s="96">
        <v>0.58829033374786377</v>
      </c>
      <c r="K11" s="43">
        <v>-4.1597779840230942E-2</v>
      </c>
      <c r="L11" s="43">
        <v>-0.40240809321403503</v>
      </c>
    </row>
    <row r="12" spans="2:12" ht="18" thickBot="1" x14ac:dyDescent="0.25">
      <c r="B12" s="15" t="s">
        <v>133</v>
      </c>
      <c r="C12" s="2">
        <v>2787.31689453125</v>
      </c>
      <c r="D12" s="2">
        <v>285.72123599999998</v>
      </c>
      <c r="E12" s="2">
        <v>9755.3720703125</v>
      </c>
      <c r="F12" s="2">
        <v>1019.352783203125</v>
      </c>
      <c r="G12" s="98">
        <v>3409.27099609375</v>
      </c>
      <c r="H12" s="99">
        <v>1246.808349609375</v>
      </c>
      <c r="I12" s="97">
        <v>17</v>
      </c>
      <c r="J12" s="96">
        <v>0.36571112275123596</v>
      </c>
      <c r="K12" s="43">
        <v>-3.03078293800354E-2</v>
      </c>
      <c r="L12" s="43">
        <v>-0.18292734026908875</v>
      </c>
    </row>
    <row r="13" spans="2:12" ht="18" thickBot="1" x14ac:dyDescent="0.25">
      <c r="B13" s="15" t="s">
        <v>42</v>
      </c>
      <c r="C13" s="2">
        <v>2643.8857421875</v>
      </c>
      <c r="D13" s="2">
        <v>69.551332000000002</v>
      </c>
      <c r="E13" s="2">
        <v>38013.4453125</v>
      </c>
      <c r="F13" s="2">
        <v>3135.306640625</v>
      </c>
      <c r="G13" s="98">
        <v>2977.12646484375</v>
      </c>
      <c r="H13" s="99">
        <v>3530.487060546875</v>
      </c>
      <c r="I13" s="97">
        <v>4</v>
      </c>
      <c r="J13" s="96">
        <v>1.1858707666397095</v>
      </c>
      <c r="K13" s="43">
        <v>1.5832846984267235E-2</v>
      </c>
      <c r="L13" s="43">
        <v>5.1826391369104385E-2</v>
      </c>
    </row>
    <row r="14" spans="2:12" ht="18" thickBot="1" x14ac:dyDescent="0.25">
      <c r="B14" s="15" t="s">
        <v>39</v>
      </c>
      <c r="C14" s="2">
        <v>2561.3837890625</v>
      </c>
      <c r="D14" s="2">
        <v>68.898111999999998</v>
      </c>
      <c r="E14" s="2">
        <v>37176.40234375</v>
      </c>
      <c r="F14" s="2">
        <v>2537.877197265625</v>
      </c>
      <c r="G14" s="98">
        <v>3040.565185546875</v>
      </c>
      <c r="H14" s="99">
        <v>3012.660888671875</v>
      </c>
      <c r="I14" s="97">
        <v>7</v>
      </c>
      <c r="J14" s="96">
        <v>0.99082261323928833</v>
      </c>
      <c r="K14" s="43">
        <v>3.7949468940496445E-2</v>
      </c>
      <c r="L14" s="43">
        <v>-0.22481121122837067</v>
      </c>
    </row>
  </sheetData>
  <mergeCells count="1">
    <mergeCell ref="B3:L3"/>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1:N15"/>
  <sheetViews>
    <sheetView workbookViewId="0">
      <selection activeCell="C3" sqref="C3:N3"/>
    </sheetView>
  </sheetViews>
  <sheetFormatPr baseColWidth="10" defaultColWidth="8.83203125" defaultRowHeight="15" x14ac:dyDescent="0.2"/>
  <cols>
    <col min="2" max="2" width="24.83203125" customWidth="1"/>
    <col min="3" max="5" width="14" bestFit="1" customWidth="1"/>
    <col min="6" max="6" width="24" customWidth="1"/>
    <col min="7" max="8" width="14" bestFit="1" customWidth="1"/>
    <col min="9" max="9" width="17.5" customWidth="1"/>
    <col min="10" max="11" width="14" bestFit="1" customWidth="1"/>
    <col min="12" max="12" width="22.33203125" customWidth="1"/>
    <col min="13" max="14" width="14" bestFit="1" customWidth="1"/>
  </cols>
  <sheetData>
    <row r="1" spans="2:14" ht="16" thickBot="1" x14ac:dyDescent="0.25"/>
    <row r="2" spans="2:14" ht="17" thickBot="1" x14ac:dyDescent="0.25">
      <c r="B2" s="232" t="s">
        <v>694</v>
      </c>
      <c r="C2" s="233"/>
      <c r="D2" s="233"/>
      <c r="E2" s="233"/>
      <c r="F2" s="233"/>
      <c r="G2" s="233"/>
      <c r="H2" s="233"/>
      <c r="I2" s="233"/>
      <c r="J2" s="233"/>
      <c r="K2" s="233"/>
      <c r="L2" s="233"/>
      <c r="M2" s="233"/>
      <c r="N2" s="234"/>
    </row>
    <row r="3" spans="2:14" ht="17" customHeight="1" thickBot="1" x14ac:dyDescent="0.25">
      <c r="B3" s="1"/>
      <c r="C3" s="153" t="s">
        <v>563</v>
      </c>
      <c r="D3" s="172"/>
      <c r="E3" s="172"/>
      <c r="F3" s="172"/>
      <c r="G3" s="172"/>
      <c r="H3" s="154"/>
      <c r="I3" s="229" t="s">
        <v>671</v>
      </c>
      <c r="J3" s="230"/>
      <c r="K3" s="230"/>
      <c r="L3" s="230"/>
      <c r="M3" s="230"/>
      <c r="N3" s="231"/>
    </row>
    <row r="4" spans="2:14" ht="86" thickBot="1" x14ac:dyDescent="0.25">
      <c r="B4" s="1" t="s">
        <v>462</v>
      </c>
      <c r="C4" s="1" t="s">
        <v>587</v>
      </c>
      <c r="D4" s="1" t="s">
        <v>588</v>
      </c>
      <c r="E4" s="1" t="s">
        <v>589</v>
      </c>
      <c r="F4" s="1" t="s">
        <v>590</v>
      </c>
      <c r="G4" s="1" t="s">
        <v>591</v>
      </c>
      <c r="H4" s="1" t="s">
        <v>586</v>
      </c>
      <c r="I4" s="1" t="s">
        <v>665</v>
      </c>
      <c r="J4" s="1" t="s">
        <v>666</v>
      </c>
      <c r="K4" s="1" t="s">
        <v>667</v>
      </c>
      <c r="L4" s="1" t="s">
        <v>668</v>
      </c>
      <c r="M4" s="1" t="s">
        <v>669</v>
      </c>
      <c r="N4" s="1" t="s">
        <v>670</v>
      </c>
    </row>
    <row r="5" spans="2:14" ht="18" thickBot="1" x14ac:dyDescent="0.25">
      <c r="B5" s="1" t="s">
        <v>230</v>
      </c>
      <c r="C5" s="2">
        <v>81.975501312000006</v>
      </c>
      <c r="D5" s="2">
        <v>-41.234278463999999</v>
      </c>
      <c r="E5" s="2">
        <v>1350.1177498239999</v>
      </c>
      <c r="F5" s="2">
        <v>2.7619335068750002</v>
      </c>
      <c r="G5" s="2">
        <v>-99.37778496</v>
      </c>
      <c r="H5" s="2">
        <v>1294.2431491519999</v>
      </c>
      <c r="I5" s="92">
        <v>2.1978458389639854E-3</v>
      </c>
      <c r="J5" s="92">
        <v>-1.1055325157940388E-3</v>
      </c>
      <c r="K5" s="92">
        <v>3.6198016256093979E-2</v>
      </c>
      <c r="L5" s="92">
        <v>7.4050221883226186E-5</v>
      </c>
      <c r="M5" s="92">
        <v>-2.6644184254109859E-3</v>
      </c>
      <c r="N5" s="92">
        <v>3.4699961543083191E-2</v>
      </c>
    </row>
    <row r="6" spans="2:14" ht="18" thickBot="1" x14ac:dyDescent="0.25">
      <c r="B6" s="1" t="s">
        <v>226</v>
      </c>
      <c r="C6" s="2">
        <v>175.863675016</v>
      </c>
      <c r="D6" s="2">
        <v>24.683303929000001</v>
      </c>
      <c r="E6" s="2">
        <v>190.89740452800001</v>
      </c>
      <c r="F6" s="2">
        <v>17.972080699749998</v>
      </c>
      <c r="G6" s="2">
        <v>-150.920496112</v>
      </c>
      <c r="H6" s="2">
        <v>258.49596260800001</v>
      </c>
      <c r="I6" s="92">
        <v>7.2921854443848133E-3</v>
      </c>
      <c r="J6" s="92">
        <v>1.0234928922727704E-3</v>
      </c>
      <c r="K6" s="92">
        <v>7.9155582934617996E-3</v>
      </c>
      <c r="L6" s="92">
        <v>7.4521213537082076E-4</v>
      </c>
      <c r="M6" s="92">
        <v>-6.2579168006777763E-3</v>
      </c>
      <c r="N6" s="92">
        <v>1.0718531906604767E-2</v>
      </c>
    </row>
    <row r="7" spans="2:14" ht="18" thickBot="1" x14ac:dyDescent="0.25">
      <c r="B7" s="1" t="s">
        <v>229</v>
      </c>
      <c r="C7" s="2">
        <v>-329.53625038199999</v>
      </c>
      <c r="D7" s="2">
        <v>4.2237663476406251</v>
      </c>
      <c r="E7" s="2">
        <v>-100.13473062174999</v>
      </c>
      <c r="F7" s="2">
        <v>-5.0075857702382809</v>
      </c>
      <c r="G7" s="2">
        <v>210.85455656600001</v>
      </c>
      <c r="H7" s="2">
        <v>-219.60024994</v>
      </c>
      <c r="I7" s="92">
        <v>-3.1925410032272339E-2</v>
      </c>
      <c r="J7" s="92">
        <v>4.0919770253822207E-4</v>
      </c>
      <c r="K7" s="92">
        <v>-9.7010340541601181E-3</v>
      </c>
      <c r="L7" s="92">
        <v>-4.8513399087823927E-4</v>
      </c>
      <c r="M7" s="92">
        <v>2.0427551120519638E-2</v>
      </c>
      <c r="N7" s="92">
        <v>-2.1274831146001816E-2</v>
      </c>
    </row>
    <row r="8" spans="2:14" ht="18" thickBot="1" x14ac:dyDescent="0.25">
      <c r="B8" s="1" t="s">
        <v>231</v>
      </c>
      <c r="C8" s="2">
        <v>-88.869305080000004</v>
      </c>
      <c r="D8" s="2">
        <v>12.759817247000001</v>
      </c>
      <c r="E8" s="2">
        <v>126.084427136</v>
      </c>
      <c r="F8" s="2">
        <v>2.2929245422578126</v>
      </c>
      <c r="G8" s="2">
        <v>23.732522815999999</v>
      </c>
      <c r="H8" s="2">
        <v>76.000367616000005</v>
      </c>
      <c r="I8" s="92">
        <v>-8.3288690075278282E-3</v>
      </c>
      <c r="J8" s="92">
        <v>1.195855438709259E-3</v>
      </c>
      <c r="K8" s="92">
        <v>1.1816686019301414E-2</v>
      </c>
      <c r="L8" s="92">
        <v>2.1489385107997805E-4</v>
      </c>
      <c r="M8" s="92">
        <v>2.2242220584303141E-3</v>
      </c>
      <c r="N8" s="92">
        <v>7.1227867156267166E-3</v>
      </c>
    </row>
    <row r="9" spans="2:14" ht="18" thickBot="1" x14ac:dyDescent="0.25">
      <c r="B9" s="1" t="s">
        <v>227</v>
      </c>
      <c r="C9" s="2">
        <v>54.99356335225</v>
      </c>
      <c r="D9" s="2">
        <v>-14.774146565500001</v>
      </c>
      <c r="E9" s="2">
        <v>-790.64741670399997</v>
      </c>
      <c r="F9" s="2">
        <v>-18.435940764656252</v>
      </c>
      <c r="G9" s="2">
        <v>-140.33291926014061</v>
      </c>
      <c r="H9" s="2">
        <v>-909.19691378300001</v>
      </c>
      <c r="I9" s="92">
        <v>2.2504690568894148E-3</v>
      </c>
      <c r="J9" s="92">
        <v>-6.045936606824398E-4</v>
      </c>
      <c r="K9" s="92">
        <v>-3.235519677400589E-2</v>
      </c>
      <c r="L9" s="92">
        <v>-7.5444311369210482E-4</v>
      </c>
      <c r="M9" s="92">
        <v>-5.7427613064646721E-3</v>
      </c>
      <c r="N9" s="92">
        <v>-3.7206530570983887E-2</v>
      </c>
    </row>
    <row r="10" spans="2:14" ht="18" thickBot="1" x14ac:dyDescent="0.25">
      <c r="B10" s="1" t="s">
        <v>233</v>
      </c>
      <c r="C10" s="2">
        <v>-128.276840064</v>
      </c>
      <c r="D10" s="2">
        <v>49.267139776</v>
      </c>
      <c r="E10" s="2">
        <v>-88.741472512000001</v>
      </c>
      <c r="F10" s="2">
        <v>-0.73526420000000003</v>
      </c>
      <c r="G10" s="2">
        <v>68.418802127999996</v>
      </c>
      <c r="H10" s="2">
        <v>-100.06762879999999</v>
      </c>
      <c r="I10" s="92">
        <v>-1.8295671790838242E-2</v>
      </c>
      <c r="J10" s="92">
        <v>7.0267980918288231E-3</v>
      </c>
      <c r="K10" s="92">
        <v>-1.2656882405281067E-2</v>
      </c>
      <c r="L10" s="92">
        <v>-1.0486813698662445E-4</v>
      </c>
      <c r="M10" s="92">
        <v>9.7583318129181862E-3</v>
      </c>
      <c r="N10" s="92">
        <v>-1.4272292144596577E-2</v>
      </c>
    </row>
    <row r="11" spans="2:14" ht="18" thickBot="1" x14ac:dyDescent="0.25">
      <c r="B11" s="1" t="s">
        <v>228</v>
      </c>
      <c r="C11" s="2">
        <v>-559.70778835199997</v>
      </c>
      <c r="D11" s="2">
        <v>13.00770233375</v>
      </c>
      <c r="E11" s="2">
        <v>-401.03062156800002</v>
      </c>
      <c r="F11" s="2">
        <v>16.140672948500001</v>
      </c>
      <c r="G11" s="2">
        <v>557.39739727200003</v>
      </c>
      <c r="H11" s="2">
        <v>-374.19269372799999</v>
      </c>
      <c r="I11" s="92">
        <v>-2.3574035614728928E-2</v>
      </c>
      <c r="J11" s="92">
        <v>5.4786453256383538E-4</v>
      </c>
      <c r="K11" s="92">
        <v>-1.6890795901417732E-2</v>
      </c>
      <c r="L11" s="92">
        <v>6.7982042673975229E-4</v>
      </c>
      <c r="M11" s="92">
        <v>2.3476725444197655E-2</v>
      </c>
      <c r="N11" s="92">
        <v>-1.5760423615574837E-2</v>
      </c>
    </row>
    <row r="12" spans="2:14" ht="18" thickBot="1" x14ac:dyDescent="0.25">
      <c r="B12" s="1" t="s">
        <v>232</v>
      </c>
      <c r="C12" s="2">
        <v>-141.48178803106251</v>
      </c>
      <c r="D12" s="2">
        <v>3.315987753375</v>
      </c>
      <c r="E12" s="2">
        <v>-161.082366272</v>
      </c>
      <c r="F12" s="2">
        <v>2.5743450392187501</v>
      </c>
      <c r="G12" s="2">
        <v>194.13289381600001</v>
      </c>
      <c r="H12" s="2">
        <v>-102.54093099400001</v>
      </c>
      <c r="I12" s="92">
        <v>-2.6701018214225769E-2</v>
      </c>
      <c r="J12" s="92">
        <v>6.2580668600276113E-4</v>
      </c>
      <c r="K12" s="92">
        <v>-3.0400119721889496E-2</v>
      </c>
      <c r="L12" s="92">
        <v>4.8584086471237242E-4</v>
      </c>
      <c r="M12" s="92">
        <v>3.6637548357248306E-2</v>
      </c>
      <c r="N12" s="92">
        <v>-1.9351940602064133E-2</v>
      </c>
    </row>
    <row r="13" spans="2:14" ht="18" thickBot="1" x14ac:dyDescent="0.25">
      <c r="B13" s="1" t="s">
        <v>450</v>
      </c>
      <c r="C13" s="2">
        <v>-935.03923222881247</v>
      </c>
      <c r="D13" s="2">
        <v>51.249292357265624</v>
      </c>
      <c r="E13" s="2">
        <v>125.46297381025001</v>
      </c>
      <c r="F13" s="2">
        <v>17.563166001707032</v>
      </c>
      <c r="G13" s="2">
        <v>663.90497226585933</v>
      </c>
      <c r="H13" s="2">
        <v>-76.858937869000002</v>
      </c>
      <c r="I13" s="92">
        <v>-6.5434924326837063E-3</v>
      </c>
      <c r="J13" s="92">
        <v>3.5864737583324313E-4</v>
      </c>
      <c r="K13" s="92">
        <v>8.7800167966634035E-4</v>
      </c>
      <c r="L13" s="92">
        <v>1.229086919920519E-4</v>
      </c>
      <c r="M13" s="92">
        <v>4.6460693702101707E-3</v>
      </c>
      <c r="N13" s="92">
        <v>-5.3786608623340726E-4</v>
      </c>
    </row>
    <row r="15" spans="2:14" x14ac:dyDescent="0.2">
      <c r="C15" s="52"/>
      <c r="D15" s="52"/>
      <c r="E15" s="52"/>
      <c r="F15" s="52"/>
      <c r="G15" s="52"/>
      <c r="H15" s="52"/>
    </row>
  </sheetData>
  <mergeCells count="3">
    <mergeCell ref="C3:H3"/>
    <mergeCell ref="I3:N3"/>
    <mergeCell ref="B2:N2"/>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1:N13"/>
  <sheetViews>
    <sheetView workbookViewId="0">
      <selection activeCell="B3" sqref="B3:N3"/>
    </sheetView>
  </sheetViews>
  <sheetFormatPr baseColWidth="10" defaultColWidth="8.83203125" defaultRowHeight="15" x14ac:dyDescent="0.2"/>
  <cols>
    <col min="2" max="2" width="25.5" customWidth="1"/>
    <col min="3" max="3" width="14.33203125" customWidth="1"/>
    <col min="4" max="4" width="13.83203125" customWidth="1"/>
    <col min="5" max="5" width="10" customWidth="1"/>
    <col min="6" max="6" width="21.83203125" customWidth="1"/>
    <col min="7" max="7" width="12.6640625" customWidth="1"/>
    <col min="8" max="8" width="11.5" customWidth="1"/>
    <col min="9" max="9" width="15" customWidth="1"/>
    <col min="10" max="10" width="13.1640625" customWidth="1"/>
    <col min="11" max="11" width="11" customWidth="1"/>
    <col min="12" max="12" width="22" customWidth="1"/>
    <col min="13" max="13" width="12" customWidth="1"/>
    <col min="14" max="14" width="12.6640625" customWidth="1"/>
  </cols>
  <sheetData>
    <row r="1" spans="2:14" ht="16" thickBot="1" x14ac:dyDescent="0.25"/>
    <row r="2" spans="2:14" ht="17" thickBot="1" x14ac:dyDescent="0.25">
      <c r="B2" s="232" t="s">
        <v>695</v>
      </c>
      <c r="C2" s="233"/>
      <c r="D2" s="233"/>
      <c r="E2" s="233"/>
      <c r="F2" s="233"/>
      <c r="G2" s="233"/>
      <c r="H2" s="233"/>
      <c r="I2" s="233"/>
      <c r="J2" s="233"/>
      <c r="K2" s="233"/>
      <c r="L2" s="233"/>
      <c r="M2" s="233"/>
      <c r="N2" s="234"/>
    </row>
    <row r="3" spans="2:14" ht="17" thickBot="1" x14ac:dyDescent="0.25">
      <c r="B3" s="1"/>
      <c r="C3" s="153" t="s">
        <v>565</v>
      </c>
      <c r="D3" s="172"/>
      <c r="E3" s="172"/>
      <c r="F3" s="172"/>
      <c r="G3" s="172"/>
      <c r="H3" s="154"/>
      <c r="I3" s="229" t="s">
        <v>671</v>
      </c>
      <c r="J3" s="230"/>
      <c r="K3" s="230"/>
      <c r="L3" s="230"/>
      <c r="M3" s="230"/>
      <c r="N3" s="231"/>
    </row>
    <row r="4" spans="2:14" ht="103" thickBot="1" x14ac:dyDescent="0.25">
      <c r="B4" s="1" t="s">
        <v>462</v>
      </c>
      <c r="C4" s="1" t="s">
        <v>587</v>
      </c>
      <c r="D4" s="1" t="s">
        <v>588</v>
      </c>
      <c r="E4" s="1" t="s">
        <v>589</v>
      </c>
      <c r="F4" s="1" t="s">
        <v>590</v>
      </c>
      <c r="G4" s="1" t="s">
        <v>591</v>
      </c>
      <c r="H4" s="1" t="s">
        <v>586</v>
      </c>
      <c r="I4" s="1" t="s">
        <v>665</v>
      </c>
      <c r="J4" s="1" t="s">
        <v>666</v>
      </c>
      <c r="K4" s="1" t="s">
        <v>667</v>
      </c>
      <c r="L4" s="1" t="s">
        <v>668</v>
      </c>
      <c r="M4" s="1" t="s">
        <v>669</v>
      </c>
      <c r="N4" s="1" t="s">
        <v>670</v>
      </c>
    </row>
    <row r="5" spans="2:14" ht="18" thickBot="1" x14ac:dyDescent="0.25">
      <c r="B5" s="1" t="s">
        <v>230</v>
      </c>
      <c r="C5" s="2">
        <v>120.906963968</v>
      </c>
      <c r="D5" s="2">
        <v>-60.817082112000001</v>
      </c>
      <c r="E5" s="2">
        <v>1991.3098368640001</v>
      </c>
      <c r="F5" s="2">
        <v>4.0736190529999998</v>
      </c>
      <c r="G5" s="2">
        <v>-146.57385331200001</v>
      </c>
      <c r="H5" s="2">
        <v>1908.899496816</v>
      </c>
      <c r="I5" s="102">
        <v>2.1978458389639854E-3</v>
      </c>
      <c r="J5" s="102">
        <v>-1.1055325157940388E-3</v>
      </c>
      <c r="K5" s="102">
        <v>3.6198016256093979E-2</v>
      </c>
      <c r="L5" s="102">
        <v>7.4050221883226186E-5</v>
      </c>
      <c r="M5" s="102">
        <v>-2.6644184254109859E-3</v>
      </c>
      <c r="N5" s="102">
        <v>3.4699961543083191E-2</v>
      </c>
    </row>
    <row r="6" spans="2:14" ht="18" thickBot="1" x14ac:dyDescent="0.25">
      <c r="B6" s="1" t="s">
        <v>226</v>
      </c>
      <c r="C6" s="2">
        <v>259.384089964</v>
      </c>
      <c r="D6" s="2">
        <v>36.4057924345</v>
      </c>
      <c r="E6" s="2">
        <v>281.55758667200001</v>
      </c>
      <c r="F6" s="2">
        <v>26.507302948437498</v>
      </c>
      <c r="G6" s="2">
        <v>-222.595006224</v>
      </c>
      <c r="H6" s="2">
        <v>381.25976067200003</v>
      </c>
      <c r="I6" s="102">
        <v>7.2921854443848133E-3</v>
      </c>
      <c r="J6" s="102">
        <v>1.0234930086880922E-3</v>
      </c>
      <c r="K6" s="102">
        <v>7.9155592247843742E-3</v>
      </c>
      <c r="L6" s="102">
        <v>7.4521213537082076E-4</v>
      </c>
      <c r="M6" s="102">
        <v>-6.2579168006777763E-3</v>
      </c>
      <c r="N6" s="102">
        <v>1.0718532837927341E-2</v>
      </c>
    </row>
    <row r="7" spans="2:14" ht="18" thickBot="1" x14ac:dyDescent="0.25">
      <c r="B7" s="1" t="s">
        <v>229</v>
      </c>
      <c r="C7" s="2">
        <v>-486.03818246600002</v>
      </c>
      <c r="D7" s="2">
        <v>6.2296992474374999</v>
      </c>
      <c r="E7" s="2">
        <v>-147.6902898175</v>
      </c>
      <c r="F7" s="2">
        <v>-7.3857667401054687</v>
      </c>
      <c r="G7" s="2">
        <v>310.99269043999999</v>
      </c>
      <c r="H7" s="2">
        <v>-323.89184001199999</v>
      </c>
      <c r="I7" s="102">
        <v>-3.1925413757562637E-2</v>
      </c>
      <c r="J7" s="102">
        <v>4.0919773164205253E-4</v>
      </c>
      <c r="K7" s="102">
        <v>-9.7010349854826927E-3</v>
      </c>
      <c r="L7" s="102">
        <v>-4.8513399087823927E-4</v>
      </c>
      <c r="M7" s="102">
        <v>2.0427551120519638E-2</v>
      </c>
      <c r="N7" s="102">
        <v>-2.1274831146001816E-2</v>
      </c>
    </row>
    <row r="8" spans="2:14" ht="18" thickBot="1" x14ac:dyDescent="0.25">
      <c r="B8" s="1" t="s">
        <v>231</v>
      </c>
      <c r="C8" s="2">
        <v>-131.07474132799999</v>
      </c>
      <c r="D8" s="2">
        <v>18.819653442</v>
      </c>
      <c r="E8" s="2">
        <v>185.963877376</v>
      </c>
      <c r="F8" s="2">
        <v>3.381870028234375</v>
      </c>
      <c r="G8" s="2">
        <v>35.003484032000003</v>
      </c>
      <c r="H8" s="2">
        <v>112.094140416</v>
      </c>
      <c r="I8" s="102">
        <v>-8.3288690075278282E-3</v>
      </c>
      <c r="J8" s="102">
        <v>1.195855438709259E-3</v>
      </c>
      <c r="K8" s="102">
        <v>1.1816684156656265E-2</v>
      </c>
      <c r="L8" s="102">
        <v>2.1489383652806282E-4</v>
      </c>
      <c r="M8" s="102">
        <v>2.2242229897528887E-3</v>
      </c>
      <c r="N8" s="102">
        <v>7.1227871812880039E-3</v>
      </c>
    </row>
    <row r="9" spans="2:14" ht="18" thickBot="1" x14ac:dyDescent="0.25">
      <c r="B9" s="1" t="s">
        <v>227</v>
      </c>
      <c r="C9" s="2">
        <v>81.110872202140627</v>
      </c>
      <c r="D9" s="2">
        <v>-21.790620789125001</v>
      </c>
      <c r="E9" s="2">
        <v>-1166.1382637920001</v>
      </c>
      <c r="F9" s="2">
        <v>-27.191456153218748</v>
      </c>
      <c r="G9" s="2">
        <v>-206.97922463974999</v>
      </c>
      <c r="H9" s="2">
        <v>-1340.9887789945001</v>
      </c>
      <c r="I9" s="102">
        <v>2.2504692897200584E-3</v>
      </c>
      <c r="J9" s="102">
        <v>-6.045936606824398E-4</v>
      </c>
      <c r="K9" s="102">
        <v>-3.235519677400589E-2</v>
      </c>
      <c r="L9" s="102">
        <v>-7.544430554844439E-4</v>
      </c>
      <c r="M9" s="102">
        <v>-5.7427613064646721E-3</v>
      </c>
      <c r="N9" s="102">
        <v>-3.7206526845693588E-2</v>
      </c>
    </row>
    <row r="10" spans="2:14" ht="18" thickBot="1" x14ac:dyDescent="0.25">
      <c r="B10" s="1" t="s">
        <v>233</v>
      </c>
      <c r="C10" s="2">
        <v>-189.19752268799999</v>
      </c>
      <c r="D10" s="2">
        <v>72.664880031999999</v>
      </c>
      <c r="E10" s="2">
        <v>-130.88620390400001</v>
      </c>
      <c r="F10" s="2">
        <v>-1.084452626</v>
      </c>
      <c r="G10" s="2">
        <v>100.911965376</v>
      </c>
      <c r="H10" s="2">
        <v>-147.59131955199999</v>
      </c>
      <c r="I10" s="102">
        <v>-1.8295673653483391E-2</v>
      </c>
      <c r="J10" s="102">
        <v>7.0267985574901104E-3</v>
      </c>
      <c r="K10" s="102">
        <v>-1.2656884267926216E-2</v>
      </c>
      <c r="L10" s="102">
        <v>-1.0486812971066684E-4</v>
      </c>
      <c r="M10" s="102">
        <v>9.7583327442407608E-3</v>
      </c>
      <c r="N10" s="102">
        <v>-1.4272293075919151E-2</v>
      </c>
    </row>
    <row r="11" spans="2:14" ht="18" thickBot="1" x14ac:dyDescent="0.25">
      <c r="B11" s="1" t="s">
        <v>228</v>
      </c>
      <c r="C11" s="2">
        <v>-825.52182803200003</v>
      </c>
      <c r="D11" s="2">
        <v>19.185266477500001</v>
      </c>
      <c r="E11" s="2">
        <v>-591.48637894399997</v>
      </c>
      <c r="F11" s="2">
        <v>23.806131341</v>
      </c>
      <c r="G11" s="2">
        <v>822.11417661600001</v>
      </c>
      <c r="H11" s="2">
        <v>-551.90266457600001</v>
      </c>
      <c r="I11" s="102">
        <v>-2.3574035614728928E-2</v>
      </c>
      <c r="J11" s="102">
        <v>5.478645907714963E-4</v>
      </c>
      <c r="K11" s="102">
        <v>-1.6890795901417732E-2</v>
      </c>
      <c r="L11" s="102">
        <v>6.7982042673975229E-4</v>
      </c>
      <c r="M11" s="102">
        <v>2.3476725444197655E-2</v>
      </c>
      <c r="N11" s="102">
        <v>-1.5760423615574837E-2</v>
      </c>
    </row>
    <row r="12" spans="2:14" ht="18" thickBot="1" x14ac:dyDescent="0.25">
      <c r="B12" s="1" t="s">
        <v>232</v>
      </c>
      <c r="C12" s="2">
        <v>-208.673713354125</v>
      </c>
      <c r="D12" s="2">
        <v>4.8908024750000001</v>
      </c>
      <c r="E12" s="2">
        <v>-237.58291256000001</v>
      </c>
      <c r="F12" s="2">
        <v>3.7969418474218748</v>
      </c>
      <c r="G12" s="2">
        <v>286.32965147200002</v>
      </c>
      <c r="H12" s="2">
        <v>-151.2392261</v>
      </c>
      <c r="I12" s="102">
        <v>-2.6701018214225769E-2</v>
      </c>
      <c r="J12" s="102">
        <v>6.2580668600276113E-4</v>
      </c>
      <c r="K12" s="102">
        <v>-3.0400119721889496E-2</v>
      </c>
      <c r="L12" s="102">
        <v>4.8584086471237242E-4</v>
      </c>
      <c r="M12" s="102">
        <v>3.6637548357248306E-2</v>
      </c>
      <c r="N12" s="102">
        <v>-1.9351940602064133E-2</v>
      </c>
    </row>
    <row r="13" spans="2:14" ht="18" thickBot="1" x14ac:dyDescent="0.25">
      <c r="B13" s="1" t="s">
        <v>450</v>
      </c>
      <c r="C13" s="2">
        <v>-1379.1040617339843</v>
      </c>
      <c r="D13" s="2">
        <v>75.588391207312497</v>
      </c>
      <c r="E13" s="2">
        <v>185.04725189449999</v>
      </c>
      <c r="F13" s="2">
        <v>25.904189698769532</v>
      </c>
      <c r="G13" s="2">
        <v>979.20388376025005</v>
      </c>
      <c r="H13" s="2">
        <v>-113.36043133050001</v>
      </c>
      <c r="I13" s="102">
        <v>-6.5434924326837063E-3</v>
      </c>
      <c r="J13" s="102">
        <v>3.5864740493707359E-4</v>
      </c>
      <c r="K13" s="102">
        <v>8.780014468356967E-4</v>
      </c>
      <c r="L13" s="102">
        <v>1.229086919920519E-4</v>
      </c>
      <c r="M13" s="102">
        <v>4.6460693702101707E-3</v>
      </c>
      <c r="N13" s="102">
        <v>-5.3786596981808543E-4</v>
      </c>
    </row>
  </sheetData>
  <mergeCells count="3">
    <mergeCell ref="B2:N2"/>
    <mergeCell ref="C3:H3"/>
    <mergeCell ref="I3:N3"/>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N13"/>
  <sheetViews>
    <sheetView topLeftCell="B1" workbookViewId="0">
      <selection activeCell="F4" sqref="F4:K4"/>
    </sheetView>
  </sheetViews>
  <sheetFormatPr baseColWidth="10" defaultColWidth="8.83203125" defaultRowHeight="15" x14ac:dyDescent="0.2"/>
  <cols>
    <col min="2" max="2" width="23.33203125" customWidth="1"/>
    <col min="3" max="14" width="18.33203125" customWidth="1"/>
  </cols>
  <sheetData>
    <row r="1" spans="1:14" ht="16" thickBot="1" x14ac:dyDescent="0.25"/>
    <row r="2" spans="1:14" ht="16" customHeight="1" thickBot="1" x14ac:dyDescent="0.25">
      <c r="B2" s="232" t="s">
        <v>696</v>
      </c>
      <c r="C2" s="233"/>
      <c r="D2" s="233"/>
      <c r="E2" s="233"/>
      <c r="F2" s="233"/>
      <c r="G2" s="233"/>
      <c r="H2" s="233"/>
      <c r="I2" s="233"/>
      <c r="J2" s="233"/>
      <c r="K2" s="233"/>
      <c r="L2" s="233"/>
      <c r="M2" s="233"/>
      <c r="N2" s="234"/>
    </row>
    <row r="3" spans="1:14" ht="17" customHeight="1" thickBot="1" x14ac:dyDescent="0.25">
      <c r="A3" s="103"/>
      <c r="B3" s="1"/>
      <c r="C3" s="153" t="s">
        <v>640</v>
      </c>
      <c r="D3" s="172"/>
      <c r="E3" s="172"/>
      <c r="F3" s="172"/>
      <c r="G3" s="172"/>
      <c r="H3" s="154"/>
      <c r="I3" s="229" t="s">
        <v>671</v>
      </c>
      <c r="J3" s="230"/>
      <c r="K3" s="230"/>
      <c r="L3" s="230"/>
      <c r="M3" s="230"/>
      <c r="N3" s="231"/>
    </row>
    <row r="4" spans="1:14" ht="103" thickBot="1" x14ac:dyDescent="0.25">
      <c r="A4" s="103"/>
      <c r="B4" s="1" t="s">
        <v>462</v>
      </c>
      <c r="C4" s="1" t="s">
        <v>587</v>
      </c>
      <c r="D4" s="1" t="s">
        <v>588</v>
      </c>
      <c r="E4" s="1" t="s">
        <v>589</v>
      </c>
      <c r="F4" s="1" t="s">
        <v>590</v>
      </c>
      <c r="G4" s="1" t="s">
        <v>591</v>
      </c>
      <c r="H4" s="1" t="s">
        <v>586</v>
      </c>
      <c r="I4" s="1" t="s">
        <v>665</v>
      </c>
      <c r="J4" s="1" t="s">
        <v>666</v>
      </c>
      <c r="K4" s="1" t="s">
        <v>667</v>
      </c>
      <c r="L4" s="1" t="s">
        <v>668</v>
      </c>
      <c r="M4" s="1" t="s">
        <v>669</v>
      </c>
      <c r="N4" s="1" t="s">
        <v>670</v>
      </c>
    </row>
    <row r="5" spans="1:14" ht="18" thickBot="1" x14ac:dyDescent="0.25">
      <c r="A5" s="103"/>
      <c r="B5" s="1" t="s">
        <v>230</v>
      </c>
      <c r="C5" s="2">
        <v>154.03103967999999</v>
      </c>
      <c r="D5" s="2">
        <v>-25.137646336</v>
      </c>
      <c r="E5" s="2">
        <v>777.20966966399999</v>
      </c>
      <c r="F5" s="2">
        <v>2.1626942428125</v>
      </c>
      <c r="G5" s="2">
        <v>-66.271846031999999</v>
      </c>
      <c r="H5" s="2">
        <v>841.99389725474998</v>
      </c>
      <c r="I5" s="102">
        <v>6.6348062828183174E-3</v>
      </c>
      <c r="J5" s="102">
        <v>-1.0827908990904689E-3</v>
      </c>
      <c r="K5" s="102">
        <v>3.3477898687124252E-2</v>
      </c>
      <c r="L5" s="102">
        <v>9.3156922957859933E-5</v>
      </c>
      <c r="M5" s="102">
        <v>-2.8546249959617853E-3</v>
      </c>
      <c r="N5" s="102">
        <v>3.62684465944767E-2</v>
      </c>
    </row>
    <row r="6" spans="1:14" ht="18" thickBot="1" x14ac:dyDescent="0.25">
      <c r="A6" s="103"/>
      <c r="B6" s="1" t="s">
        <v>226</v>
      </c>
      <c r="C6" s="2">
        <v>296.89720996599999</v>
      </c>
      <c r="D6" s="2">
        <v>-2.0602718819999999</v>
      </c>
      <c r="E6" s="2">
        <v>249.45904067199999</v>
      </c>
      <c r="F6" s="2">
        <v>15.119702446374999</v>
      </c>
      <c r="G6" s="2">
        <v>-170.70600133400001</v>
      </c>
      <c r="H6" s="2">
        <v>388.70967095999998</v>
      </c>
      <c r="I6" s="102">
        <v>1.2474344111979008E-2</v>
      </c>
      <c r="J6" s="102">
        <v>-8.6563770310021937E-5</v>
      </c>
      <c r="K6" s="102">
        <v>1.0481196455657482E-2</v>
      </c>
      <c r="L6" s="102">
        <v>6.3526490703225136E-4</v>
      </c>
      <c r="M6" s="102">
        <v>-7.1723321452736855E-3</v>
      </c>
      <c r="N6" s="102">
        <v>1.6331909224390984E-2</v>
      </c>
    </row>
    <row r="7" spans="1:14" ht="18" thickBot="1" x14ac:dyDescent="0.25">
      <c r="A7" s="103"/>
      <c r="B7" s="1" t="s">
        <v>229</v>
      </c>
      <c r="C7" s="2">
        <v>-193.36138960125001</v>
      </c>
      <c r="D7" s="2">
        <v>2.3476953066796873</v>
      </c>
      <c r="E7" s="2">
        <v>-56.445007762625004</v>
      </c>
      <c r="F7" s="2">
        <v>-2.4802232626523439</v>
      </c>
      <c r="G7" s="2">
        <v>128.46445859975</v>
      </c>
      <c r="H7" s="2">
        <v>-121.47446023649999</v>
      </c>
      <c r="I7" s="102">
        <v>-2.976495772600174E-2</v>
      </c>
      <c r="J7" s="102">
        <v>3.613909357227385E-4</v>
      </c>
      <c r="K7" s="102">
        <v>-8.6888251826167107E-3</v>
      </c>
      <c r="L7" s="102">
        <v>-3.817915276158601E-4</v>
      </c>
      <c r="M7" s="102">
        <v>1.9775090739130974E-2</v>
      </c>
      <c r="N7" s="102">
        <v>-1.8699090927839279E-2</v>
      </c>
    </row>
    <row r="8" spans="1:14" ht="18" thickBot="1" x14ac:dyDescent="0.25">
      <c r="A8" s="103"/>
      <c r="B8" s="1" t="s">
        <v>231</v>
      </c>
      <c r="C8" s="2">
        <v>-20.256613504000001</v>
      </c>
      <c r="D8" s="2">
        <v>4.8811509390000003</v>
      </c>
      <c r="E8" s="2">
        <v>154.88051340800001</v>
      </c>
      <c r="F8" s="2">
        <v>2.0868643585937501</v>
      </c>
      <c r="G8" s="2">
        <v>-46.461643424000002</v>
      </c>
      <c r="H8" s="2">
        <v>95.130267263999997</v>
      </c>
      <c r="I8" s="102">
        <v>-3.6117678973823786E-3</v>
      </c>
      <c r="J8" s="102">
        <v>8.7031250586733222E-4</v>
      </c>
      <c r="K8" s="102">
        <v>2.7615299448370934E-2</v>
      </c>
      <c r="L8" s="102">
        <v>3.7208932917565107E-4</v>
      </c>
      <c r="M8" s="102">
        <v>-8.2841422408819199E-3</v>
      </c>
      <c r="N8" s="102">
        <v>1.696179062128067E-2</v>
      </c>
    </row>
    <row r="9" spans="1:14" ht="35" thickBot="1" x14ac:dyDescent="0.25">
      <c r="A9" s="103"/>
      <c r="B9" s="1" t="s">
        <v>227</v>
      </c>
      <c r="C9" s="2">
        <v>61.735562284828127</v>
      </c>
      <c r="D9" s="2">
        <v>-17.592919974874999</v>
      </c>
      <c r="E9" s="2">
        <v>-981.97806253600004</v>
      </c>
      <c r="F9" s="2">
        <v>-22.773956790078124</v>
      </c>
      <c r="G9" s="2">
        <v>-176.08364138534375</v>
      </c>
      <c r="H9" s="2">
        <v>-1136.6930850230001</v>
      </c>
      <c r="I9" s="102">
        <v>2.0567113533616066E-3</v>
      </c>
      <c r="J9" s="102">
        <v>-5.8610556880012155E-4</v>
      </c>
      <c r="K9" s="102">
        <v>-3.271445631980896E-2</v>
      </c>
      <c r="L9" s="102">
        <v>-7.5871107401326299E-4</v>
      </c>
      <c r="M9" s="102">
        <v>-5.8662011288106441E-3</v>
      </c>
      <c r="N9" s="102">
        <v>-3.7868764251470566E-2</v>
      </c>
    </row>
    <row r="10" spans="1:14" ht="18" thickBot="1" x14ac:dyDescent="0.25">
      <c r="A10" s="103"/>
      <c r="B10" s="1" t="s">
        <v>233</v>
      </c>
      <c r="C10" s="2">
        <v>-53.359035824000003</v>
      </c>
      <c r="D10" s="2">
        <v>20.179546504000001</v>
      </c>
      <c r="E10" s="2">
        <v>-27.455674624</v>
      </c>
      <c r="F10" s="2">
        <v>-0.38021403500000001</v>
      </c>
      <c r="G10" s="2">
        <v>24.328045408000001</v>
      </c>
      <c r="H10" s="2">
        <v>-36.687327744000001</v>
      </c>
      <c r="I10" s="102">
        <v>-1.6941506415605545E-2</v>
      </c>
      <c r="J10" s="102">
        <v>6.4070103690028191E-3</v>
      </c>
      <c r="K10" s="102">
        <v>-8.7171830236911774E-3</v>
      </c>
      <c r="L10" s="102">
        <v>-1.2071803939761594E-4</v>
      </c>
      <c r="M10" s="102">
        <v>7.7241598628461361E-3</v>
      </c>
      <c r="N10" s="102">
        <v>-1.1648234911262989E-2</v>
      </c>
    </row>
    <row r="11" spans="1:14" ht="35" thickBot="1" x14ac:dyDescent="0.25">
      <c r="A11" s="103"/>
      <c r="B11" s="1" t="s">
        <v>228</v>
      </c>
      <c r="C11" s="2">
        <v>-152.418816752</v>
      </c>
      <c r="D11" s="2">
        <v>2.9029623248749998</v>
      </c>
      <c r="E11" s="2">
        <v>-31.990196992000001</v>
      </c>
      <c r="F11" s="2">
        <v>5.4792426766249998</v>
      </c>
      <c r="G11" s="2">
        <v>177.43233705700001</v>
      </c>
      <c r="H11" s="2">
        <v>1.405515544</v>
      </c>
      <c r="I11" s="102">
        <v>-1.8916899338364601E-2</v>
      </c>
      <c r="J11" s="102">
        <v>3.6029046168550849E-4</v>
      </c>
      <c r="K11" s="102">
        <v>-3.9703454822301865E-3</v>
      </c>
      <c r="L11" s="102">
        <v>6.8003602791577578E-4</v>
      </c>
      <c r="M11" s="102">
        <v>2.2021360695362091E-2</v>
      </c>
      <c r="N11" s="102">
        <v>1.7444038530811667E-4</v>
      </c>
    </row>
    <row r="12" spans="1:14" ht="18" thickBot="1" x14ac:dyDescent="0.25">
      <c r="A12" s="103"/>
      <c r="B12" s="1" t="s">
        <v>232</v>
      </c>
      <c r="C12" s="2">
        <v>-93.267956109062496</v>
      </c>
      <c r="D12" s="2">
        <v>14.479483367625001</v>
      </c>
      <c r="E12" s="2">
        <v>-83.679556456</v>
      </c>
      <c r="F12" s="2">
        <v>0.78588957589843755</v>
      </c>
      <c r="G12" s="2">
        <v>129.29829789999999</v>
      </c>
      <c r="H12" s="2">
        <v>-32.383840257499998</v>
      </c>
      <c r="I12" s="102">
        <v>-3.9581853896379471E-2</v>
      </c>
      <c r="J12" s="102">
        <v>6.1449273489415646E-3</v>
      </c>
      <c r="K12" s="102">
        <v>-3.5512648522853851E-2</v>
      </c>
      <c r="L12" s="102">
        <v>3.3352256286889315E-4</v>
      </c>
      <c r="M12" s="102">
        <v>5.4872721433639526E-2</v>
      </c>
      <c r="N12" s="102">
        <v>-1.3743331655859947E-2</v>
      </c>
    </row>
    <row r="13" spans="1:14" ht="18" thickBot="1" x14ac:dyDescent="0.25">
      <c r="A13" s="103"/>
      <c r="B13" s="1" t="s">
        <v>450</v>
      </c>
      <c r="C13" s="2">
        <v>1.40515625E-7</v>
      </c>
      <c r="D13" s="2">
        <v>2.493046875E-7</v>
      </c>
      <c r="E13" s="2">
        <v>7.2537337499999999E-4</v>
      </c>
      <c r="F13" s="2">
        <v>-7.8742578124999997E-7</v>
      </c>
      <c r="G13" s="2">
        <v>6.7894062500000002E-6</v>
      </c>
      <c r="H13" s="2">
        <v>6.3776174999999997E-4</v>
      </c>
      <c r="I13" s="102">
        <v>1.3682028600359164E-12</v>
      </c>
      <c r="J13" s="102">
        <v>2.4274837782251035E-12</v>
      </c>
      <c r="K13" s="102">
        <v>7.062971985050126E-9</v>
      </c>
      <c r="L13" s="102">
        <v>-7.6671776566561434E-12</v>
      </c>
      <c r="M13" s="102">
        <v>6.610855612931843E-11</v>
      </c>
      <c r="N13" s="102">
        <v>6.2098961528533891E-9</v>
      </c>
    </row>
  </sheetData>
  <mergeCells count="3">
    <mergeCell ref="C3:H3"/>
    <mergeCell ref="B2:N2"/>
    <mergeCell ref="I3:N3"/>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N13"/>
  <sheetViews>
    <sheetView workbookViewId="0">
      <selection activeCell="B3" sqref="B3"/>
    </sheetView>
  </sheetViews>
  <sheetFormatPr baseColWidth="10" defaultColWidth="15.1640625" defaultRowHeight="15" x14ac:dyDescent="0.2"/>
  <cols>
    <col min="1" max="1" width="9.1640625" customWidth="1"/>
    <col min="2" max="2" width="21.83203125" customWidth="1"/>
  </cols>
  <sheetData>
    <row r="1" spans="1:14" ht="16" thickBot="1" x14ac:dyDescent="0.25"/>
    <row r="2" spans="1:14" ht="17" thickBot="1" x14ac:dyDescent="0.25">
      <c r="B2" s="232" t="s">
        <v>697</v>
      </c>
      <c r="C2" s="233"/>
      <c r="D2" s="233"/>
      <c r="E2" s="233"/>
      <c r="F2" s="233"/>
      <c r="G2" s="233"/>
      <c r="H2" s="233"/>
      <c r="I2" s="233"/>
      <c r="J2" s="233"/>
      <c r="K2" s="233"/>
      <c r="L2" s="233"/>
      <c r="M2" s="233"/>
      <c r="N2" s="234"/>
    </row>
    <row r="3" spans="1:14" ht="17" thickBot="1" x14ac:dyDescent="0.25">
      <c r="A3" s="104"/>
      <c r="B3" s="1"/>
      <c r="C3" s="153" t="s">
        <v>633</v>
      </c>
      <c r="D3" s="172"/>
      <c r="E3" s="172"/>
      <c r="F3" s="172"/>
      <c r="G3" s="172"/>
      <c r="H3" s="154"/>
      <c r="I3" s="229" t="s">
        <v>671</v>
      </c>
      <c r="J3" s="230"/>
      <c r="K3" s="230"/>
      <c r="L3" s="230"/>
      <c r="M3" s="230"/>
      <c r="N3" s="230"/>
    </row>
    <row r="4" spans="1:14" ht="137" thickBot="1" x14ac:dyDescent="0.25">
      <c r="A4" s="104"/>
      <c r="B4" s="1" t="s">
        <v>462</v>
      </c>
      <c r="C4" s="1" t="s">
        <v>587</v>
      </c>
      <c r="D4" s="1" t="s">
        <v>588</v>
      </c>
      <c r="E4" s="1" t="s">
        <v>589</v>
      </c>
      <c r="F4" s="1" t="s">
        <v>590</v>
      </c>
      <c r="G4" s="1" t="s">
        <v>591</v>
      </c>
      <c r="H4" s="1" t="s">
        <v>586</v>
      </c>
      <c r="I4" s="1" t="s">
        <v>665</v>
      </c>
      <c r="J4" s="1" t="s">
        <v>666</v>
      </c>
      <c r="K4" s="1" t="s">
        <v>667</v>
      </c>
      <c r="L4" s="1" t="s">
        <v>668</v>
      </c>
      <c r="M4" s="1" t="s">
        <v>669</v>
      </c>
      <c r="N4" s="1" t="s">
        <v>670</v>
      </c>
    </row>
    <row r="5" spans="1:14" ht="18" thickBot="1" x14ac:dyDescent="0.25">
      <c r="A5" s="104"/>
      <c r="B5" s="1" t="s">
        <v>230</v>
      </c>
      <c r="C5" s="2">
        <v>181.546614912</v>
      </c>
      <c r="D5" s="2">
        <v>-29.628146959999999</v>
      </c>
      <c r="E5" s="2">
        <v>916.04759544000001</v>
      </c>
      <c r="F5" s="2">
        <v>2.54903032940625</v>
      </c>
      <c r="G5" s="2">
        <v>-78.110413072</v>
      </c>
      <c r="H5" s="2">
        <v>992.40468825549999</v>
      </c>
      <c r="I5" s="102">
        <v>6.6348067484796047E-3</v>
      </c>
      <c r="J5" s="102">
        <v>-1.0827910155057907E-3</v>
      </c>
      <c r="K5" s="102">
        <v>3.3477898687124252E-2</v>
      </c>
      <c r="L5" s="102">
        <v>9.3156922957859933E-5</v>
      </c>
      <c r="M5" s="102">
        <v>-2.8546249959617853E-3</v>
      </c>
      <c r="N5" s="102">
        <v>3.62684465944767E-2</v>
      </c>
    </row>
    <row r="6" spans="1:14" ht="18" thickBot="1" x14ac:dyDescent="0.25">
      <c r="A6" s="104"/>
      <c r="B6" s="1" t="s">
        <v>226</v>
      </c>
      <c r="C6" s="2">
        <v>349.93387145000003</v>
      </c>
      <c r="D6" s="2">
        <v>-2.4283121599999999</v>
      </c>
      <c r="E6" s="2">
        <v>294.02151048000002</v>
      </c>
      <c r="F6" s="2">
        <v>17.820632984515626</v>
      </c>
      <c r="G6" s="2">
        <v>-201.20032015199999</v>
      </c>
      <c r="H6" s="2">
        <v>458.14740724799998</v>
      </c>
      <c r="I6" s="102">
        <v>1.2474344111979008E-2</v>
      </c>
      <c r="J6" s="102">
        <v>-8.6563792137894779E-5</v>
      </c>
      <c r="K6" s="102">
        <v>1.0481196455657482E-2</v>
      </c>
      <c r="L6" s="102">
        <v>6.3526490703225136E-4</v>
      </c>
      <c r="M6" s="102">
        <v>-7.1723326109349728E-3</v>
      </c>
      <c r="N6" s="102">
        <v>1.6331909224390984E-2</v>
      </c>
    </row>
    <row r="7" spans="1:14" ht="18" thickBot="1" x14ac:dyDescent="0.25">
      <c r="A7" s="104"/>
      <c r="B7" s="1" t="s">
        <v>229</v>
      </c>
      <c r="C7" s="2">
        <v>-227.90278114349999</v>
      </c>
      <c r="D7" s="2">
        <v>2.7670791491640623</v>
      </c>
      <c r="E7" s="2">
        <v>-66.528144080999994</v>
      </c>
      <c r="F7" s="2">
        <v>-2.9232816677070312</v>
      </c>
      <c r="G7" s="2">
        <v>151.41289445125</v>
      </c>
      <c r="H7" s="2">
        <v>-143.174227054</v>
      </c>
      <c r="I7" s="102">
        <v>-2.976495772600174E-2</v>
      </c>
      <c r="J7" s="102">
        <v>3.6139090661890805E-4</v>
      </c>
      <c r="K7" s="102">
        <v>-8.6888251826167107E-3</v>
      </c>
      <c r="L7" s="102">
        <v>-3.8179155671969056E-4</v>
      </c>
      <c r="M7" s="102">
        <v>1.9775092601776123E-2</v>
      </c>
      <c r="N7" s="102">
        <v>-1.8699090927839279E-2</v>
      </c>
    </row>
    <row r="8" spans="1:14" ht="18" thickBot="1" x14ac:dyDescent="0.25">
      <c r="A8" s="104"/>
      <c r="B8" s="1" t="s">
        <v>231</v>
      </c>
      <c r="C8" s="2">
        <v>-23.875183415999999</v>
      </c>
      <c r="D8" s="2">
        <v>5.7531032499999997</v>
      </c>
      <c r="E8" s="2">
        <v>182.547824832</v>
      </c>
      <c r="F8" s="2">
        <v>2.4596543472460937</v>
      </c>
      <c r="G8" s="2">
        <v>-54.761389743999999</v>
      </c>
      <c r="H8" s="2">
        <v>112.124002112</v>
      </c>
      <c r="I8" s="102">
        <v>-3.6117676645517349E-3</v>
      </c>
      <c r="J8" s="102">
        <v>8.7031262228265405E-4</v>
      </c>
      <c r="K8" s="102">
        <v>2.7615299448370934E-2</v>
      </c>
      <c r="L8" s="102">
        <v>3.7208930007182062E-4</v>
      </c>
      <c r="M8" s="102">
        <v>-8.2841422408819199E-3</v>
      </c>
      <c r="N8" s="102">
        <v>1.696179062128067E-2</v>
      </c>
    </row>
    <row r="9" spans="1:14" ht="35" thickBot="1" x14ac:dyDescent="0.25">
      <c r="A9" s="104"/>
      <c r="B9" s="1" t="s">
        <v>227</v>
      </c>
      <c r="C9" s="2">
        <v>72.763782740937501</v>
      </c>
      <c r="D9" s="2">
        <v>-20.735657905062499</v>
      </c>
      <c r="E9" s="2">
        <v>-1157.395127108</v>
      </c>
      <c r="F9" s="2">
        <v>-26.842215582968748</v>
      </c>
      <c r="G9" s="2">
        <v>-207.53859269637499</v>
      </c>
      <c r="H9" s="2">
        <v>-1339.7478926365</v>
      </c>
      <c r="I9" s="102">
        <v>2.0567113533616066E-3</v>
      </c>
      <c r="J9" s="102">
        <v>-5.8610562700778246E-4</v>
      </c>
      <c r="K9" s="102">
        <v>-3.271445631980896E-2</v>
      </c>
      <c r="L9" s="102">
        <v>-7.587111322209239E-4</v>
      </c>
      <c r="M9" s="102">
        <v>-5.8662011288106441E-3</v>
      </c>
      <c r="N9" s="102">
        <v>-3.7868767976760864E-2</v>
      </c>
    </row>
    <row r="10" spans="1:14" ht="18" thickBot="1" x14ac:dyDescent="0.25">
      <c r="A10" s="104"/>
      <c r="B10" s="1" t="s">
        <v>233</v>
      </c>
      <c r="C10" s="2">
        <v>-62.890904880000001</v>
      </c>
      <c r="D10" s="2">
        <v>23.78434944</v>
      </c>
      <c r="E10" s="2">
        <v>-32.360258432000002</v>
      </c>
      <c r="F10" s="2">
        <v>-0.44813410999999997</v>
      </c>
      <c r="G10" s="2">
        <v>28.673922888</v>
      </c>
      <c r="H10" s="2">
        <v>-43.24102336</v>
      </c>
      <c r="I10" s="102">
        <v>-1.6941506415605545E-2</v>
      </c>
      <c r="J10" s="102">
        <v>6.4070103690028191E-3</v>
      </c>
      <c r="K10" s="102">
        <v>-8.7171830236911774E-3</v>
      </c>
      <c r="L10" s="102">
        <v>-1.2071803939761594E-4</v>
      </c>
      <c r="M10" s="102">
        <v>7.7241603285074234E-3</v>
      </c>
      <c r="N10" s="102">
        <v>-1.1648234911262989E-2</v>
      </c>
    </row>
    <row r="11" spans="1:14" ht="35" thickBot="1" x14ac:dyDescent="0.25">
      <c r="A11" s="104"/>
      <c r="B11" s="1" t="s">
        <v>228</v>
      </c>
      <c r="C11" s="2">
        <v>-179.64637758800001</v>
      </c>
      <c r="D11" s="2">
        <v>3.4215381050000002</v>
      </c>
      <c r="E11" s="2">
        <v>-37.704823328000003</v>
      </c>
      <c r="F11" s="2">
        <v>6.4580356018750003</v>
      </c>
      <c r="G11" s="2">
        <v>209.128229726</v>
      </c>
      <c r="H11" s="2">
        <v>1.656597576</v>
      </c>
      <c r="I11" s="102">
        <v>-1.8916899338364601E-2</v>
      </c>
      <c r="J11" s="102">
        <v>3.6029057810083032E-4</v>
      </c>
      <c r="K11" s="102">
        <v>-3.9703464135527611E-3</v>
      </c>
      <c r="L11" s="102">
        <v>6.8003608612343669E-4</v>
      </c>
      <c r="M11" s="102">
        <v>2.202136255800724E-2</v>
      </c>
      <c r="N11" s="102">
        <v>1.7444098193664104E-4</v>
      </c>
    </row>
    <row r="12" spans="1:14" ht="18" thickBot="1" x14ac:dyDescent="0.25">
      <c r="A12" s="104"/>
      <c r="B12" s="1" t="s">
        <v>232</v>
      </c>
      <c r="C12" s="2">
        <v>-109.929016076875</v>
      </c>
      <c r="D12" s="2">
        <v>17.0660466711875</v>
      </c>
      <c r="E12" s="2">
        <v>-98.627774959999996</v>
      </c>
      <c r="F12" s="2">
        <v>0.92627809286718754</v>
      </c>
      <c r="G12" s="2">
        <v>152.39568573599999</v>
      </c>
      <c r="H12" s="2">
        <v>-38.168775973000002</v>
      </c>
      <c r="I12" s="102">
        <v>-3.9581853896379471E-2</v>
      </c>
      <c r="J12" s="102">
        <v>6.1449268832802773E-3</v>
      </c>
      <c r="K12" s="102">
        <v>-3.5512644797563553E-2</v>
      </c>
      <c r="L12" s="102">
        <v>3.3352253376506269E-4</v>
      </c>
      <c r="M12" s="102">
        <v>5.4872717708349228E-2</v>
      </c>
      <c r="N12" s="102">
        <v>-1.3743331655859947E-2</v>
      </c>
    </row>
    <row r="13" spans="1:14" ht="18" thickBot="1" x14ac:dyDescent="0.25">
      <c r="A13" s="104"/>
      <c r="B13" s="1" t="s">
        <v>450</v>
      </c>
      <c r="C13" s="2">
        <v>5.9985625000000004E-6</v>
      </c>
      <c r="D13" s="2">
        <v>-4.0971093749999999E-7</v>
      </c>
      <c r="E13" s="2">
        <v>8.0284300000000002E-4</v>
      </c>
      <c r="F13" s="2">
        <v>-4.7656249999999999E-9</v>
      </c>
      <c r="G13" s="2">
        <v>1.7136875E-5</v>
      </c>
      <c r="H13" s="2">
        <v>7.7616800000000004E-4</v>
      </c>
      <c r="I13" s="102">
        <v>4.9555654718647091E-11</v>
      </c>
      <c r="J13" s="102">
        <v>-3.3847265268338589E-12</v>
      </c>
      <c r="K13" s="102">
        <v>6.632490556768289E-9</v>
      </c>
      <c r="L13" s="102">
        <v>-3.9370043954534834E-14</v>
      </c>
      <c r="M13" s="102">
        <v>1.4157208738652116E-10</v>
      </c>
      <c r="N13" s="102">
        <v>6.412121500432022E-9</v>
      </c>
    </row>
  </sheetData>
  <mergeCells count="3">
    <mergeCell ref="C3:H3"/>
    <mergeCell ref="B2:N2"/>
    <mergeCell ref="I3:N3"/>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2:L13"/>
  <sheetViews>
    <sheetView workbookViewId="0">
      <selection activeCell="B4" sqref="B4"/>
    </sheetView>
  </sheetViews>
  <sheetFormatPr baseColWidth="10" defaultColWidth="8.83203125" defaultRowHeight="15" x14ac:dyDescent="0.2"/>
  <cols>
    <col min="2" max="2" width="19.6640625" customWidth="1"/>
    <col min="3" max="12" width="13" customWidth="1"/>
  </cols>
  <sheetData>
    <row r="2" spans="2:12" ht="16" thickBot="1" x14ac:dyDescent="0.25"/>
    <row r="3" spans="2:12" ht="17" thickBot="1" x14ac:dyDescent="0.25">
      <c r="B3" s="189" t="s">
        <v>698</v>
      </c>
      <c r="C3" s="190"/>
      <c r="D3" s="190"/>
      <c r="E3" s="190"/>
      <c r="F3" s="190"/>
      <c r="G3" s="190"/>
      <c r="H3" s="190"/>
      <c r="I3" s="190"/>
      <c r="J3" s="190"/>
      <c r="K3" s="190"/>
      <c r="L3" s="225"/>
    </row>
    <row r="4" spans="2:12" ht="69" thickBot="1" x14ac:dyDescent="0.25">
      <c r="B4" s="1" t="s">
        <v>462</v>
      </c>
      <c r="C4" s="1" t="s">
        <v>629</v>
      </c>
      <c r="D4" s="14" t="s">
        <v>630</v>
      </c>
      <c r="E4" s="1" t="s">
        <v>634</v>
      </c>
      <c r="F4" s="1" t="s">
        <v>631</v>
      </c>
      <c r="G4" s="14" t="s">
        <v>632</v>
      </c>
      <c r="H4" s="41" t="s">
        <v>635</v>
      </c>
      <c r="I4" s="14" t="s">
        <v>636</v>
      </c>
      <c r="J4" s="14" t="s">
        <v>637</v>
      </c>
      <c r="K4" s="14" t="s">
        <v>638</v>
      </c>
      <c r="L4" s="1" t="s">
        <v>639</v>
      </c>
    </row>
    <row r="5" spans="2:12" ht="18" thickBot="1" x14ac:dyDescent="0.25">
      <c r="B5" s="25" t="s">
        <v>230</v>
      </c>
      <c r="C5" s="2">
        <v>0</v>
      </c>
      <c r="D5" s="2">
        <v>46.18731689453125</v>
      </c>
      <c r="E5" s="2">
        <v>1593.2855224609375</v>
      </c>
      <c r="F5" s="2">
        <v>11211.837890625</v>
      </c>
      <c r="G5" s="2">
        <v>15475.814453125</v>
      </c>
      <c r="H5" s="34">
        <v>0</v>
      </c>
      <c r="I5" s="34">
        <v>2.7053631842136383E-2</v>
      </c>
      <c r="J5" s="34">
        <v>0.28001892566680908</v>
      </c>
      <c r="K5" s="34">
        <v>0.48517346382141113</v>
      </c>
      <c r="L5" s="34">
        <v>0.51130580902099609</v>
      </c>
    </row>
    <row r="6" spans="2:12" ht="18" thickBot="1" x14ac:dyDescent="0.25">
      <c r="B6" s="25" t="s">
        <v>226</v>
      </c>
      <c r="C6" s="2">
        <v>5.7927370071411133E-2</v>
      </c>
      <c r="D6" s="2">
        <v>210.04512023925781</v>
      </c>
      <c r="E6" s="2">
        <v>332.9605712890625</v>
      </c>
      <c r="F6" s="2">
        <v>2708.3359375</v>
      </c>
      <c r="G6" s="2">
        <v>6075.5869140625</v>
      </c>
      <c r="H6" s="34">
        <v>4.2962994426488876E-2</v>
      </c>
      <c r="I6" s="34">
        <v>9.6269607543945312E-2</v>
      </c>
      <c r="J6" s="34">
        <v>4.101177304983139E-2</v>
      </c>
      <c r="K6" s="34">
        <v>0.19239240884780884</v>
      </c>
      <c r="L6" s="34">
        <v>0.30404478311538696</v>
      </c>
    </row>
    <row r="7" spans="2:12" ht="18" thickBot="1" x14ac:dyDescent="0.25">
      <c r="B7" s="25" t="s">
        <v>229</v>
      </c>
      <c r="C7" s="2">
        <v>-1.2341408990323544E-2</v>
      </c>
      <c r="D7" s="2">
        <v>-59.524600982666016</v>
      </c>
      <c r="E7" s="2">
        <v>-305.51278686523438</v>
      </c>
      <c r="F7" s="2">
        <v>-4376.75</v>
      </c>
      <c r="G7" s="2">
        <v>-1507.7296142578125</v>
      </c>
      <c r="H7" s="34">
        <v>-0.14221146702766418</v>
      </c>
      <c r="I7" s="34">
        <v>-0.85415977239608765</v>
      </c>
      <c r="J7" s="34">
        <v>-0.27411383390426636</v>
      </c>
      <c r="K7" s="34">
        <v>-0.89492112398147583</v>
      </c>
      <c r="L7" s="34">
        <v>-0.1675354540348053</v>
      </c>
    </row>
    <row r="8" spans="2:12" ht="18" thickBot="1" x14ac:dyDescent="0.25">
      <c r="B8" s="25" t="s">
        <v>231</v>
      </c>
      <c r="C8" s="2">
        <v>0</v>
      </c>
      <c r="D8" s="2">
        <v>241.00468444824219</v>
      </c>
      <c r="E8" s="2">
        <v>441.19052124023438</v>
      </c>
      <c r="F8" s="2">
        <v>4196.95166015625</v>
      </c>
      <c r="G8" s="2">
        <v>5232.67578125</v>
      </c>
      <c r="H8" s="34">
        <v>0</v>
      </c>
      <c r="I8" s="34">
        <v>0.76987451314926147</v>
      </c>
      <c r="J8" s="34">
        <v>0.52806180715560913</v>
      </c>
      <c r="K8" s="34">
        <v>1.1276408433914185</v>
      </c>
      <c r="L8" s="34">
        <v>0.55097520351409912</v>
      </c>
    </row>
    <row r="9" spans="2:12" ht="35" thickBot="1" x14ac:dyDescent="0.25">
      <c r="B9" s="25" t="s">
        <v>227</v>
      </c>
      <c r="C9" s="2">
        <v>-5.3805619478225708E-2</v>
      </c>
      <c r="D9" s="2">
        <v>26.646656036376953</v>
      </c>
      <c r="E9" s="2">
        <v>-1129.9969482421875</v>
      </c>
      <c r="F9" s="2">
        <v>-9175.0576171875</v>
      </c>
      <c r="G9" s="2">
        <v>-16811.0078125</v>
      </c>
      <c r="H9" s="34">
        <v>-0.19672767817974091</v>
      </c>
      <c r="I9" s="34">
        <v>1.4173467643558979E-2</v>
      </c>
      <c r="J9" s="34">
        <v>-0.16497673094272614</v>
      </c>
      <c r="K9" s="34">
        <v>-0.64845341444015503</v>
      </c>
      <c r="L9" s="34">
        <v>-0.82509016990661621</v>
      </c>
    </row>
    <row r="10" spans="2:12" ht="35" thickBot="1" x14ac:dyDescent="0.25">
      <c r="B10" s="25" t="s">
        <v>233</v>
      </c>
      <c r="C10" s="2">
        <v>0</v>
      </c>
      <c r="D10" s="2">
        <v>-2.7390499599277973E-4</v>
      </c>
      <c r="E10" s="2">
        <v>24.219545364379883</v>
      </c>
      <c r="F10" s="2">
        <v>315.26095581054688</v>
      </c>
      <c r="G10" s="2">
        <v>1172.9127197265625</v>
      </c>
      <c r="H10" s="34">
        <v>0</v>
      </c>
      <c r="I10" s="34">
        <v>-3.5078432410955429E-2</v>
      </c>
      <c r="J10" s="34">
        <v>0.1270538866519928</v>
      </c>
      <c r="K10" s="34">
        <v>0.10433788597583771</v>
      </c>
      <c r="L10" s="34">
        <v>0.19404330849647522</v>
      </c>
    </row>
    <row r="11" spans="2:12" ht="35" thickBot="1" x14ac:dyDescent="0.25">
      <c r="B11" s="25" t="s">
        <v>228</v>
      </c>
      <c r="C11" s="2">
        <v>-9.0803520288318396E-4</v>
      </c>
      <c r="D11" s="2">
        <v>-5.0938611030578613</v>
      </c>
      <c r="E11" s="2">
        <v>-241.45278930664062</v>
      </c>
      <c r="F11" s="2">
        <v>-1369.932861328125</v>
      </c>
      <c r="G11" s="2">
        <v>-4482.869140625</v>
      </c>
      <c r="H11" s="34">
        <v>-1.3929684646427631E-3</v>
      </c>
      <c r="I11" s="34">
        <v>-2.9723372310400009E-2</v>
      </c>
      <c r="J11" s="34">
        <v>-0.14240381121635437</v>
      </c>
      <c r="K11" s="34">
        <v>-0.11036300659179688</v>
      </c>
      <c r="L11" s="34">
        <v>-0.21360267698764801</v>
      </c>
    </row>
    <row r="12" spans="2:12" ht="18" thickBot="1" x14ac:dyDescent="0.25">
      <c r="B12" s="25" t="s">
        <v>232</v>
      </c>
      <c r="C12" s="2">
        <v>0</v>
      </c>
      <c r="D12" s="2">
        <v>-15.662459373474121</v>
      </c>
      <c r="E12" s="2">
        <v>-152.00074768066406</v>
      </c>
      <c r="F12" s="2">
        <v>-726.36175537109375</v>
      </c>
      <c r="G12" s="2">
        <v>-1605.7135009765625</v>
      </c>
      <c r="H12" s="34">
        <v>0</v>
      </c>
      <c r="I12" s="34">
        <v>-0.27958002686500549</v>
      </c>
      <c r="J12" s="34">
        <v>-0.50251579284667969</v>
      </c>
      <c r="K12" s="34">
        <v>-0.29818063974380493</v>
      </c>
      <c r="L12" s="34">
        <v>-0.33581650257110596</v>
      </c>
    </row>
    <row r="13" spans="2:12" ht="18" thickBot="1" x14ac:dyDescent="0.25">
      <c r="B13" s="27" t="s">
        <v>450</v>
      </c>
      <c r="C13" s="17">
        <v>-9.1276932507753372E-3</v>
      </c>
      <c r="D13" s="17">
        <v>443.60256958007812</v>
      </c>
      <c r="E13" s="17">
        <v>562.69293212890625</v>
      </c>
      <c r="F13" s="17">
        <v>2784.2841796875</v>
      </c>
      <c r="G13" s="17">
        <v>3549.6708984375</v>
      </c>
      <c r="H13" s="35">
        <v>-1.6245482256636024E-3</v>
      </c>
      <c r="I13" s="35">
        <v>6.9538168609142303E-2</v>
      </c>
      <c r="J13" s="35">
        <v>2.2692250087857246E-2</v>
      </c>
      <c r="K13" s="35">
        <v>3.5779327154159546E-2</v>
      </c>
      <c r="L13" s="35">
        <v>2.9352091252803802E-2</v>
      </c>
    </row>
  </sheetData>
  <mergeCells count="1">
    <mergeCell ref="B3:L3"/>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2:L13"/>
  <sheetViews>
    <sheetView workbookViewId="0">
      <selection activeCell="B4" sqref="B4"/>
    </sheetView>
  </sheetViews>
  <sheetFormatPr baseColWidth="10" defaultColWidth="8.83203125" defaultRowHeight="15" x14ac:dyDescent="0.2"/>
  <cols>
    <col min="2" max="2" width="18.83203125" customWidth="1"/>
    <col min="3" max="12" width="17" customWidth="1"/>
  </cols>
  <sheetData>
    <row r="2" spans="2:12" ht="16" thickBot="1" x14ac:dyDescent="0.25"/>
    <row r="3" spans="2:12" ht="17" thickBot="1" x14ac:dyDescent="0.25">
      <c r="B3" s="189" t="s">
        <v>699</v>
      </c>
      <c r="C3" s="190"/>
      <c r="D3" s="190"/>
      <c r="E3" s="190"/>
      <c r="F3" s="190"/>
      <c r="G3" s="190"/>
      <c r="H3" s="190"/>
      <c r="I3" s="190"/>
      <c r="J3" s="190"/>
      <c r="K3" s="190"/>
      <c r="L3" s="225"/>
    </row>
    <row r="4" spans="2:12" ht="52" thickBot="1" x14ac:dyDescent="0.25">
      <c r="B4" s="1" t="s">
        <v>462</v>
      </c>
      <c r="C4" s="1" t="s">
        <v>629</v>
      </c>
      <c r="D4" s="14" t="s">
        <v>630</v>
      </c>
      <c r="E4" s="1" t="s">
        <v>634</v>
      </c>
      <c r="F4" s="1" t="s">
        <v>631</v>
      </c>
      <c r="G4" s="14" t="s">
        <v>632</v>
      </c>
      <c r="H4" s="41" t="s">
        <v>635</v>
      </c>
      <c r="I4" s="14" t="s">
        <v>636</v>
      </c>
      <c r="J4" s="14" t="s">
        <v>637</v>
      </c>
      <c r="K4" s="14" t="s">
        <v>638</v>
      </c>
      <c r="L4" s="1" t="s">
        <v>639</v>
      </c>
    </row>
    <row r="5" spans="2:12" ht="18" thickBot="1" x14ac:dyDescent="0.25">
      <c r="B5" s="25" t="s">
        <v>230</v>
      </c>
      <c r="C5" s="2">
        <v>0</v>
      </c>
      <c r="D5" s="2">
        <v>68.122398376464844</v>
      </c>
      <c r="E5" s="2">
        <v>2349.9619140625</v>
      </c>
      <c r="F5" s="2">
        <v>16536.515625</v>
      </c>
      <c r="G5" s="2">
        <v>22825.521484375</v>
      </c>
      <c r="H5" s="34">
        <v>0</v>
      </c>
      <c r="I5" s="34">
        <v>2.7053631842136383E-2</v>
      </c>
      <c r="J5" s="34">
        <v>0.28001895546913147</v>
      </c>
      <c r="K5" s="34">
        <v>0.48517346382141113</v>
      </c>
      <c r="L5" s="34">
        <v>0.51130580902099609</v>
      </c>
    </row>
    <row r="6" spans="2:12" ht="18" thickBot="1" x14ac:dyDescent="0.25">
      <c r="B6" s="25" t="s">
        <v>226</v>
      </c>
      <c r="C6" s="2">
        <v>8.5437983274459839E-2</v>
      </c>
      <c r="D6" s="2">
        <v>309.79885864257812</v>
      </c>
      <c r="E6" s="2">
        <v>491.0887451171875</v>
      </c>
      <c r="F6" s="2">
        <v>3994.567138671875</v>
      </c>
      <c r="G6" s="2">
        <v>8960.978515625</v>
      </c>
      <c r="H6" s="34">
        <v>4.2962994426488876E-2</v>
      </c>
      <c r="I6" s="34">
        <v>9.6269607543945312E-2</v>
      </c>
      <c r="J6" s="34">
        <v>4.101177304983139E-2</v>
      </c>
      <c r="K6" s="34">
        <v>0.19239240884780884</v>
      </c>
      <c r="L6" s="34">
        <v>0.30404478311538696</v>
      </c>
    </row>
    <row r="7" spans="2:12" ht="18" thickBot="1" x14ac:dyDescent="0.25">
      <c r="B7" s="25" t="s">
        <v>229</v>
      </c>
      <c r="C7" s="2">
        <v>-1.8202537670731544E-2</v>
      </c>
      <c r="D7" s="2">
        <v>-87.793769836425781</v>
      </c>
      <c r="E7" s="2">
        <v>-450.6055908203125</v>
      </c>
      <c r="F7" s="2">
        <v>-6455.3369140625</v>
      </c>
      <c r="G7" s="2">
        <v>-2223.774169921875</v>
      </c>
      <c r="H7" s="34">
        <v>-0.14221146702766418</v>
      </c>
      <c r="I7" s="34">
        <v>-0.85415977239608765</v>
      </c>
      <c r="J7" s="34">
        <v>-0.27411383390426636</v>
      </c>
      <c r="K7" s="34">
        <v>-0.89492112398147583</v>
      </c>
      <c r="L7" s="34">
        <v>-0.16753546893596649</v>
      </c>
    </row>
    <row r="8" spans="2:12" ht="18" thickBot="1" x14ac:dyDescent="0.25">
      <c r="B8" s="25" t="s">
        <v>231</v>
      </c>
      <c r="C8" s="2">
        <v>0</v>
      </c>
      <c r="D8" s="2">
        <v>355.46157836914062</v>
      </c>
      <c r="E8" s="2">
        <v>650.71875</v>
      </c>
      <c r="F8" s="2">
        <v>6190.1494140625</v>
      </c>
      <c r="G8" s="2">
        <v>7717.75537109375</v>
      </c>
      <c r="H8" s="34">
        <v>0</v>
      </c>
      <c r="I8" s="34">
        <v>0.76987451314926147</v>
      </c>
      <c r="J8" s="34">
        <v>0.52806180715560913</v>
      </c>
      <c r="K8" s="34">
        <v>1.1276407241821289</v>
      </c>
      <c r="L8" s="34">
        <v>0.55097514390945435</v>
      </c>
    </row>
    <row r="9" spans="2:12" ht="35" thickBot="1" x14ac:dyDescent="0.25">
      <c r="B9" s="25" t="s">
        <v>227</v>
      </c>
      <c r="C9" s="2">
        <v>-7.9358741641044617E-2</v>
      </c>
      <c r="D9" s="2">
        <v>39.301567077636719</v>
      </c>
      <c r="E9" s="2">
        <v>-1666.650146484375</v>
      </c>
      <c r="F9" s="2">
        <v>-13532.4365234375</v>
      </c>
      <c r="G9" s="2">
        <v>-24794.818359375</v>
      </c>
      <c r="H9" s="34">
        <v>-0.19672767817974091</v>
      </c>
      <c r="I9" s="34">
        <v>1.4173467643558979E-2</v>
      </c>
      <c r="J9" s="34">
        <v>-0.16497674584388733</v>
      </c>
      <c r="K9" s="34">
        <v>-0.6484534740447998</v>
      </c>
      <c r="L9" s="34">
        <v>-0.82509022951126099</v>
      </c>
    </row>
    <row r="10" spans="2:12" ht="35" thickBot="1" x14ac:dyDescent="0.25">
      <c r="B10" s="25" t="s">
        <v>233</v>
      </c>
      <c r="C10" s="2">
        <v>0</v>
      </c>
      <c r="D10" s="2">
        <v>-4.0398674900643528E-4</v>
      </c>
      <c r="E10" s="2">
        <v>35.721778869628906</v>
      </c>
      <c r="F10" s="2">
        <v>464.98330688476562</v>
      </c>
      <c r="G10" s="2">
        <v>1729.9473876953125</v>
      </c>
      <c r="H10" s="34">
        <v>0</v>
      </c>
      <c r="I10" s="34">
        <v>-3.5078432410955429E-2</v>
      </c>
      <c r="J10" s="34">
        <v>0.1270538717508316</v>
      </c>
      <c r="K10" s="34">
        <v>0.10433787852525711</v>
      </c>
      <c r="L10" s="34">
        <v>0.19404330849647522</v>
      </c>
    </row>
    <row r="11" spans="2:12" ht="35" thickBot="1" x14ac:dyDescent="0.25">
      <c r="B11" s="25" t="s">
        <v>228</v>
      </c>
      <c r="C11" s="2">
        <v>-1.3392755063250661E-3</v>
      </c>
      <c r="D11" s="2">
        <v>-7.5130190849304199</v>
      </c>
      <c r="E11" s="2">
        <v>-356.12252807617188</v>
      </c>
      <c r="F11" s="2">
        <v>-2020.53564453125</v>
      </c>
      <c r="G11" s="2">
        <v>-6611.8544921875</v>
      </c>
      <c r="H11" s="34">
        <v>-1.392968581058085E-3</v>
      </c>
      <c r="I11" s="34">
        <v>-2.9723385348916054E-2</v>
      </c>
      <c r="J11" s="34">
        <v>-0.14240381121635437</v>
      </c>
      <c r="K11" s="34">
        <v>-0.11036302149295807</v>
      </c>
      <c r="L11" s="34">
        <v>-0.21360267698764801</v>
      </c>
    </row>
    <row r="12" spans="2:12" ht="35" thickBot="1" x14ac:dyDescent="0.25">
      <c r="B12" s="25" t="s">
        <v>232</v>
      </c>
      <c r="C12" s="2">
        <v>0</v>
      </c>
      <c r="D12" s="2">
        <v>-23.100807189941406</v>
      </c>
      <c r="E12" s="2">
        <v>-224.18829345703125</v>
      </c>
      <c r="F12" s="2">
        <v>-1071.3223876953125</v>
      </c>
      <c r="G12" s="2">
        <v>-2368.2919921875</v>
      </c>
      <c r="H12" s="34">
        <v>0</v>
      </c>
      <c r="I12" s="34">
        <v>-0.27958002686500549</v>
      </c>
      <c r="J12" s="34">
        <v>-0.50251579284667969</v>
      </c>
      <c r="K12" s="34">
        <v>-0.29818060994148254</v>
      </c>
      <c r="L12" s="34">
        <v>-0.33581647276878357</v>
      </c>
    </row>
    <row r="13" spans="2:12" ht="18" thickBot="1" x14ac:dyDescent="0.25">
      <c r="B13" s="27" t="s">
        <v>450</v>
      </c>
      <c r="C13" s="17">
        <v>-1.3462573289871216E-2</v>
      </c>
      <c r="D13" s="17">
        <v>654.2763671875</v>
      </c>
      <c r="E13" s="17">
        <v>829.9246826171875</v>
      </c>
      <c r="F13" s="17">
        <v>4106.58447265625</v>
      </c>
      <c r="G13" s="17">
        <v>5235.4638671875</v>
      </c>
      <c r="H13" s="35">
        <v>-1.624547760002315E-3</v>
      </c>
      <c r="I13" s="35">
        <v>6.9538168609142303E-2</v>
      </c>
      <c r="J13" s="35">
        <v>2.2692250087857246E-2</v>
      </c>
      <c r="K13" s="35">
        <v>3.5779327154159546E-2</v>
      </c>
      <c r="L13" s="35">
        <v>2.9352081939578056E-2</v>
      </c>
    </row>
  </sheetData>
  <mergeCells count="1">
    <mergeCell ref="B3:L3"/>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2:L13"/>
  <sheetViews>
    <sheetView workbookViewId="0">
      <selection activeCell="B3" sqref="B3:N3"/>
    </sheetView>
  </sheetViews>
  <sheetFormatPr baseColWidth="10" defaultColWidth="8.83203125" defaultRowHeight="15" x14ac:dyDescent="0.2"/>
  <cols>
    <col min="2" max="2" width="26.1640625" customWidth="1"/>
    <col min="3" max="7" width="16.1640625" customWidth="1"/>
    <col min="8" max="8" width="14.83203125" customWidth="1"/>
    <col min="9" max="12" width="15.33203125" customWidth="1"/>
    <col min="13" max="16" width="10.83203125" customWidth="1"/>
  </cols>
  <sheetData>
    <row r="2" spans="2:12" ht="16" thickBot="1" x14ac:dyDescent="0.25"/>
    <row r="3" spans="2:12" ht="17" customHeight="1" thickBot="1" x14ac:dyDescent="0.25">
      <c r="B3" s="189" t="s">
        <v>742</v>
      </c>
      <c r="C3" s="190"/>
      <c r="D3" s="190"/>
      <c r="E3" s="190"/>
      <c r="F3" s="190"/>
      <c r="G3" s="190"/>
      <c r="H3" s="190"/>
      <c r="I3" s="190"/>
      <c r="J3" s="190"/>
      <c r="K3" s="190"/>
      <c r="L3" s="225"/>
    </row>
    <row r="4" spans="2:12" ht="52" thickBot="1" x14ac:dyDescent="0.25">
      <c r="B4" s="1" t="s">
        <v>462</v>
      </c>
      <c r="C4" s="1" t="s">
        <v>629</v>
      </c>
      <c r="D4" s="14" t="s">
        <v>630</v>
      </c>
      <c r="E4" s="1" t="s">
        <v>634</v>
      </c>
      <c r="F4" s="1" t="s">
        <v>631</v>
      </c>
      <c r="G4" s="14" t="s">
        <v>632</v>
      </c>
      <c r="H4" s="41" t="s">
        <v>635</v>
      </c>
      <c r="I4" s="14" t="s">
        <v>636</v>
      </c>
      <c r="J4" s="14" t="s">
        <v>637</v>
      </c>
      <c r="K4" s="14" t="s">
        <v>638</v>
      </c>
      <c r="L4" s="1" t="s">
        <v>639</v>
      </c>
    </row>
    <row r="5" spans="2:12" ht="18" thickBot="1" x14ac:dyDescent="0.25">
      <c r="B5" s="25" t="s">
        <v>230</v>
      </c>
      <c r="C5" s="2">
        <v>0</v>
      </c>
      <c r="D5" s="2">
        <v>21.657541275024414</v>
      </c>
      <c r="E5" s="2">
        <v>1876.62060546875</v>
      </c>
      <c r="F5" s="2">
        <v>9184.9521484375</v>
      </c>
      <c r="G5" s="2">
        <v>10736.900390625</v>
      </c>
      <c r="H5" s="34">
        <v>0</v>
      </c>
      <c r="I5" s="34">
        <v>2.323632501065731E-2</v>
      </c>
      <c r="J5" s="34">
        <v>0.301931232213974</v>
      </c>
      <c r="K5" s="34">
        <v>0.56559646129608154</v>
      </c>
      <c r="L5" s="34">
        <v>0.57225131988525391</v>
      </c>
    </row>
    <row r="6" spans="2:12" ht="18" thickBot="1" x14ac:dyDescent="0.25">
      <c r="B6" s="25" t="s">
        <v>226</v>
      </c>
      <c r="C6" s="2">
        <v>7.1272468194365501E-3</v>
      </c>
      <c r="D6" s="2">
        <v>122.91660308837891</v>
      </c>
      <c r="E6" s="2">
        <v>492.264404296875</v>
      </c>
      <c r="F6" s="2">
        <v>4218.404296875</v>
      </c>
      <c r="G6" s="2">
        <v>7665.462890625</v>
      </c>
      <c r="H6" s="34">
        <v>1.8664512783288956E-2</v>
      </c>
      <c r="I6" s="34">
        <v>4.9124006181955338E-2</v>
      </c>
      <c r="J6" s="34">
        <v>5.6538444012403488E-2</v>
      </c>
      <c r="K6" s="34">
        <v>0.30209675431251526</v>
      </c>
      <c r="L6" s="34">
        <v>0.38964489102363586</v>
      </c>
    </row>
    <row r="7" spans="2:12" ht="18" thickBot="1" x14ac:dyDescent="0.25">
      <c r="B7" s="25" t="s">
        <v>229</v>
      </c>
      <c r="C7" s="2">
        <v>-6.4793153433129191E-4</v>
      </c>
      <c r="D7" s="2">
        <v>-159.75686645507812</v>
      </c>
      <c r="E7" s="2">
        <v>-612.65118408203125</v>
      </c>
      <c r="F7" s="2">
        <v>-4013.317626953125</v>
      </c>
      <c r="G7" s="2">
        <v>-545.88128662109375</v>
      </c>
      <c r="H7" s="34">
        <v>-3.6382481455802917E-2</v>
      </c>
      <c r="I7" s="34">
        <v>-0.26715859770774841</v>
      </c>
      <c r="J7" s="34">
        <v>-0.26966041326522827</v>
      </c>
      <c r="K7" s="34">
        <v>-1.127957820892334</v>
      </c>
      <c r="L7" s="34">
        <v>-9.6546933054924011E-2</v>
      </c>
    </row>
    <row r="8" spans="2:12" ht="18" thickBot="1" x14ac:dyDescent="0.25">
      <c r="B8" s="25" t="s">
        <v>231</v>
      </c>
      <c r="C8" s="2">
        <v>0</v>
      </c>
      <c r="D8" s="2">
        <v>108.43707275390625</v>
      </c>
      <c r="E8" s="2">
        <v>341.88192749023438</v>
      </c>
      <c r="F8" s="2">
        <v>2899.60107421875</v>
      </c>
      <c r="G8" s="2">
        <v>4178.81591796875</v>
      </c>
      <c r="H8" s="34">
        <v>0</v>
      </c>
      <c r="I8" s="34">
        <v>0.26117891073226929</v>
      </c>
      <c r="J8" s="34">
        <v>0.28561186790466309</v>
      </c>
      <c r="K8" s="34">
        <v>0.94489455223083496</v>
      </c>
      <c r="L8" s="34">
        <v>0.84199613332748413</v>
      </c>
    </row>
    <row r="9" spans="2:12" ht="18" thickBot="1" x14ac:dyDescent="0.25">
      <c r="B9" s="25" t="s">
        <v>227</v>
      </c>
      <c r="C9" s="2">
        <v>-5.1834522746503353E-3</v>
      </c>
      <c r="D9" s="2">
        <v>14.545066833496094</v>
      </c>
      <c r="E9" s="2">
        <v>-1746.008056640625</v>
      </c>
      <c r="F9" s="2">
        <v>-11948.7119140625</v>
      </c>
      <c r="G9" s="2">
        <v>-21222.74609375</v>
      </c>
      <c r="H9" s="34">
        <v>-0.19321911036968231</v>
      </c>
      <c r="I9" s="34">
        <v>7.3251049034297466E-3</v>
      </c>
      <c r="J9" s="34">
        <v>-0.16442598402500153</v>
      </c>
      <c r="K9" s="34">
        <v>-0.66358155012130737</v>
      </c>
      <c r="L9" s="34">
        <v>-0.84829878807067871</v>
      </c>
    </row>
    <row r="10" spans="2:12" ht="18" thickBot="1" x14ac:dyDescent="0.25">
      <c r="B10" s="25" t="s">
        <v>233</v>
      </c>
      <c r="C10" s="2">
        <v>0</v>
      </c>
      <c r="D10" s="2">
        <v>-17.680599212646484</v>
      </c>
      <c r="E10" s="2">
        <v>39.958114624023438</v>
      </c>
      <c r="F10" s="2">
        <v>186.3193359375</v>
      </c>
      <c r="G10" s="2">
        <v>579.83050537109375</v>
      </c>
      <c r="H10" s="34">
        <v>0</v>
      </c>
      <c r="I10" s="34">
        <v>-3.4180421382188797E-2</v>
      </c>
      <c r="J10" s="34">
        <v>0.11515345424413681</v>
      </c>
      <c r="K10" s="34">
        <v>0.11771126091480255</v>
      </c>
      <c r="L10" s="34">
        <v>0.21328820288181305</v>
      </c>
    </row>
    <row r="11" spans="2:12" ht="18" thickBot="1" x14ac:dyDescent="0.25">
      <c r="B11" s="25" t="s">
        <v>228</v>
      </c>
      <c r="C11" s="2">
        <v>-1.2958630686625838E-3</v>
      </c>
      <c r="D11" s="2">
        <v>-38.597370147705078</v>
      </c>
      <c r="E11" s="2">
        <v>-197.36663818359375</v>
      </c>
      <c r="F11" s="2">
        <v>-59.732872009277344</v>
      </c>
      <c r="G11" s="2">
        <v>-800.764404296875</v>
      </c>
      <c r="H11" s="34">
        <v>-6.3463835977017879E-3</v>
      </c>
      <c r="I11" s="34">
        <v>-0.13292914628982544</v>
      </c>
      <c r="J11" s="34">
        <v>-0.16084913909435272</v>
      </c>
      <c r="K11" s="34">
        <v>-1.1811082251369953E-2</v>
      </c>
      <c r="L11" s="34">
        <v>-0.11287445574998856</v>
      </c>
    </row>
    <row r="12" spans="2:12" ht="18" thickBot="1" x14ac:dyDescent="0.25">
      <c r="B12" s="25" t="s">
        <v>232</v>
      </c>
      <c r="C12" s="2">
        <v>0</v>
      </c>
      <c r="D12" s="2">
        <v>-51.521492004394531</v>
      </c>
      <c r="E12" s="2">
        <v>-194.69819641113281</v>
      </c>
      <c r="F12" s="2">
        <v>-467.52239990234375</v>
      </c>
      <c r="G12" s="2">
        <v>-591.61907958984375</v>
      </c>
      <c r="H12" s="34">
        <v>0</v>
      </c>
      <c r="I12" s="34">
        <v>-0.1662079393863678</v>
      </c>
      <c r="J12" s="34">
        <v>-0.47475838661193848</v>
      </c>
      <c r="K12" s="34">
        <v>-0.31396445631980896</v>
      </c>
      <c r="L12" s="34">
        <v>-0.27817076444625854</v>
      </c>
    </row>
    <row r="13" spans="2:12" ht="18" thickBot="1" x14ac:dyDescent="0.25">
      <c r="B13" s="27" t="s">
        <v>450</v>
      </c>
      <c r="C13" s="17">
        <v>-9.3750000818015877E-11</v>
      </c>
      <c r="D13" s="17">
        <v>-4.0808718040352687E-5</v>
      </c>
      <c r="E13" s="17">
        <v>9.6983101684600115E-4</v>
      </c>
      <c r="F13" s="17">
        <v>-7.5912605971097946E-3</v>
      </c>
      <c r="G13" s="17">
        <v>-6.995120202191174E-4</v>
      </c>
      <c r="H13" s="35">
        <v>-9.2435718801464617E-11</v>
      </c>
      <c r="I13" s="35">
        <v>-5.4046593866985404E-9</v>
      </c>
      <c r="J13" s="35">
        <v>3.1290927182681116E-8</v>
      </c>
      <c r="K13" s="35">
        <v>-1.2056203502197604E-7</v>
      </c>
      <c r="L13" s="35">
        <v>-8.1328961343274386E-9</v>
      </c>
    </row>
  </sheetData>
  <mergeCells count="1">
    <mergeCell ref="B3:L3"/>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2:L13"/>
  <sheetViews>
    <sheetView workbookViewId="0">
      <selection activeCell="B3" sqref="B3:N3"/>
    </sheetView>
  </sheetViews>
  <sheetFormatPr baseColWidth="10" defaultColWidth="8.83203125" defaultRowHeight="15" x14ac:dyDescent="0.2"/>
  <cols>
    <col min="2" max="2" width="25.83203125" customWidth="1"/>
    <col min="3" max="12" width="14.83203125" customWidth="1"/>
  </cols>
  <sheetData>
    <row r="2" spans="2:12" ht="16" thickBot="1" x14ac:dyDescent="0.25"/>
    <row r="3" spans="2:12" ht="17" thickBot="1" x14ac:dyDescent="0.25">
      <c r="B3" s="189" t="s">
        <v>741</v>
      </c>
      <c r="C3" s="190"/>
      <c r="D3" s="190"/>
      <c r="E3" s="190"/>
      <c r="F3" s="190"/>
      <c r="G3" s="190"/>
      <c r="H3" s="190"/>
      <c r="I3" s="190"/>
      <c r="J3" s="190"/>
      <c r="K3" s="190"/>
      <c r="L3" s="225"/>
    </row>
    <row r="4" spans="2:12" ht="52" thickBot="1" x14ac:dyDescent="0.25">
      <c r="B4" s="1" t="s">
        <v>462</v>
      </c>
      <c r="C4" s="1" t="s">
        <v>629</v>
      </c>
      <c r="D4" s="14" t="s">
        <v>630</v>
      </c>
      <c r="E4" s="1" t="s">
        <v>634</v>
      </c>
      <c r="F4" s="1" t="s">
        <v>631</v>
      </c>
      <c r="G4" s="14" t="s">
        <v>632</v>
      </c>
      <c r="H4" s="41" t="s">
        <v>635</v>
      </c>
      <c r="I4" s="14" t="s">
        <v>636</v>
      </c>
      <c r="J4" s="14" t="s">
        <v>637</v>
      </c>
      <c r="K4" s="14" t="s">
        <v>638</v>
      </c>
      <c r="L4" s="1" t="s">
        <v>639</v>
      </c>
    </row>
    <row r="5" spans="2:12" ht="18" thickBot="1" x14ac:dyDescent="0.25">
      <c r="B5" s="25" t="s">
        <v>230</v>
      </c>
      <c r="C5" s="2">
        <v>0</v>
      </c>
      <c r="D5" s="2">
        <v>30.863927841186523</v>
      </c>
      <c r="E5" s="2">
        <v>1733.270263671875</v>
      </c>
      <c r="F5" s="2">
        <v>10491.0166015625</v>
      </c>
      <c r="G5" s="2">
        <v>12654.90234375</v>
      </c>
      <c r="H5" s="34">
        <v>0</v>
      </c>
      <c r="I5" s="34">
        <v>2.323632501065731E-2</v>
      </c>
      <c r="J5" s="34">
        <v>0.301931232213974</v>
      </c>
      <c r="K5" s="34">
        <v>0.56559646129608154</v>
      </c>
      <c r="L5" s="34">
        <v>0.57225131988525391</v>
      </c>
    </row>
    <row r="6" spans="2:12" ht="18" thickBot="1" x14ac:dyDescent="0.25">
      <c r="B6" s="25" t="s">
        <v>226</v>
      </c>
      <c r="C6" s="2">
        <v>0.10999999940395355</v>
      </c>
      <c r="D6" s="2">
        <v>175.16712951660156</v>
      </c>
      <c r="E6" s="2">
        <v>454.66156005859375</v>
      </c>
      <c r="F6" s="2">
        <v>4818.25146484375</v>
      </c>
      <c r="G6" s="2">
        <v>9034.7939453125</v>
      </c>
      <c r="H6" s="34">
        <v>1.8664512783288956E-2</v>
      </c>
      <c r="I6" s="34">
        <v>4.9124006181955338E-2</v>
      </c>
      <c r="J6" s="34">
        <v>5.6538444012403488E-2</v>
      </c>
      <c r="K6" s="34">
        <v>0.3020973801612854</v>
      </c>
      <c r="L6" s="34">
        <v>0.38964486122131348</v>
      </c>
    </row>
    <row r="7" spans="2:12" ht="18" thickBot="1" x14ac:dyDescent="0.25">
      <c r="B7" s="25" t="s">
        <v>229</v>
      </c>
      <c r="C7" s="2">
        <v>-9.9999997764825821E-3</v>
      </c>
      <c r="D7" s="2">
        <v>-227.66777038574219</v>
      </c>
      <c r="E7" s="2">
        <v>-565.852294921875</v>
      </c>
      <c r="F7" s="2">
        <v>-4583.99560546875</v>
      </c>
      <c r="G7" s="2">
        <v>-643.39556884765625</v>
      </c>
      <c r="H7" s="34">
        <v>-3.6382481455802917E-2</v>
      </c>
      <c r="I7" s="34">
        <v>-0.26715859770774841</v>
      </c>
      <c r="J7" s="34">
        <v>-0.26966041326522827</v>
      </c>
      <c r="K7" s="34">
        <v>-1.127957820892334</v>
      </c>
      <c r="L7" s="34">
        <v>-9.6546933054924011E-2</v>
      </c>
    </row>
    <row r="8" spans="2:12" ht="18" thickBot="1" x14ac:dyDescent="0.25">
      <c r="B8" s="25" t="s">
        <v>231</v>
      </c>
      <c r="C8" s="2">
        <v>0</v>
      </c>
      <c r="D8" s="2">
        <v>154.53250122070312</v>
      </c>
      <c r="E8" s="2">
        <v>315.76641845703125</v>
      </c>
      <c r="F8" s="2">
        <v>3311.9130859375</v>
      </c>
      <c r="G8" s="2">
        <v>4925.30517578125</v>
      </c>
      <c r="H8" s="34">
        <v>0</v>
      </c>
      <c r="I8" s="34">
        <v>0.26117891073226929</v>
      </c>
      <c r="J8" s="34">
        <v>0.2856118381023407</v>
      </c>
      <c r="K8" s="34">
        <v>0.94489455223083496</v>
      </c>
      <c r="L8" s="34">
        <v>0.84199613332748413</v>
      </c>
    </row>
    <row r="9" spans="2:12" ht="18" thickBot="1" x14ac:dyDescent="0.25">
      <c r="B9" s="25" t="s">
        <v>227</v>
      </c>
      <c r="C9" s="2">
        <v>-7.9999998211860657E-2</v>
      </c>
      <c r="D9" s="2">
        <v>20.728019714355469</v>
      </c>
      <c r="E9" s="2">
        <v>-1612.6348876953125</v>
      </c>
      <c r="F9" s="2">
        <v>-13647.771484375</v>
      </c>
      <c r="G9" s="2">
        <v>-25013.90234375</v>
      </c>
      <c r="H9" s="34">
        <v>-0.19321912527084351</v>
      </c>
      <c r="I9" s="34">
        <v>7.3251063004136086E-3</v>
      </c>
      <c r="J9" s="34">
        <v>-0.16442596912384033</v>
      </c>
      <c r="K9" s="34">
        <v>-0.66358155012130737</v>
      </c>
      <c r="L9" s="34">
        <v>-0.84829890727996826</v>
      </c>
    </row>
    <row r="10" spans="2:12" ht="18" thickBot="1" x14ac:dyDescent="0.25">
      <c r="B10" s="25" t="s">
        <v>233</v>
      </c>
      <c r="C10" s="2">
        <v>0</v>
      </c>
      <c r="D10" s="2">
        <v>-25.196432113647461</v>
      </c>
      <c r="E10" s="2">
        <v>36.905811309814453</v>
      </c>
      <c r="F10" s="2">
        <v>212.81320190429688</v>
      </c>
      <c r="G10" s="2">
        <v>683.409423828125</v>
      </c>
      <c r="H10" s="34">
        <v>0</v>
      </c>
      <c r="I10" s="34">
        <v>-3.4180421382188797E-2</v>
      </c>
      <c r="J10" s="34">
        <v>0.11515345424413681</v>
      </c>
      <c r="K10" s="34">
        <v>0.11771124601364136</v>
      </c>
      <c r="L10" s="34">
        <v>0.21328821778297424</v>
      </c>
    </row>
    <row r="11" spans="2:12" ht="18" thickBot="1" x14ac:dyDescent="0.25">
      <c r="B11" s="25" t="s">
        <v>228</v>
      </c>
      <c r="C11" s="2">
        <v>-1.9999999552965164E-2</v>
      </c>
      <c r="D11" s="2">
        <v>-55.004695892333984</v>
      </c>
      <c r="E11" s="2">
        <v>-182.29031372070312</v>
      </c>
      <c r="F11" s="2">
        <v>-68.226699829101562</v>
      </c>
      <c r="G11" s="2">
        <v>-943.81011962890625</v>
      </c>
      <c r="H11" s="34">
        <v>-6.3463835977017879E-3</v>
      </c>
      <c r="I11" s="34">
        <v>-0.13292914628982544</v>
      </c>
      <c r="J11" s="34">
        <v>-0.16084913909435272</v>
      </c>
      <c r="K11" s="34">
        <v>-1.1811090633273125E-2</v>
      </c>
      <c r="L11" s="34">
        <v>-0.11287444829940796</v>
      </c>
    </row>
    <row r="12" spans="2:12" ht="18" thickBot="1" x14ac:dyDescent="0.25">
      <c r="B12" s="25" t="s">
        <v>232</v>
      </c>
      <c r="C12" s="2">
        <v>0</v>
      </c>
      <c r="D12" s="2">
        <v>-73.422721862792969</v>
      </c>
      <c r="E12" s="2">
        <v>-179.82568359375</v>
      </c>
      <c r="F12" s="2">
        <v>-534.00225830078125</v>
      </c>
      <c r="G12" s="2">
        <v>-697.3038330078125</v>
      </c>
      <c r="H12" s="34">
        <v>0</v>
      </c>
      <c r="I12" s="34">
        <v>-0.16620795428752899</v>
      </c>
      <c r="J12" s="34">
        <v>-0.47475838661193848</v>
      </c>
      <c r="K12" s="34">
        <v>-0.31396445631980896</v>
      </c>
      <c r="L12" s="34">
        <v>-0.27817076444625854</v>
      </c>
    </row>
    <row r="13" spans="2:12" ht="18" thickBot="1" x14ac:dyDescent="0.25">
      <c r="B13" s="27" t="s">
        <v>450</v>
      </c>
      <c r="C13" s="2">
        <v>0</v>
      </c>
      <c r="D13" s="2">
        <v>-3.9979062421480194E-5</v>
      </c>
      <c r="E13" s="2">
        <v>9.1011601034551859E-4</v>
      </c>
      <c r="F13" s="2">
        <v>-1.7970988992601633E-3</v>
      </c>
      <c r="G13" s="2">
        <v>-1.6157899517565966E-3</v>
      </c>
      <c r="H13" s="34">
        <v>0</v>
      </c>
      <c r="I13" s="34">
        <v>-3.7154030962938123E-9</v>
      </c>
      <c r="J13" s="34">
        <v>3.1792840360367336E-8</v>
      </c>
      <c r="K13" s="34">
        <v>-2.4987800273379435E-8</v>
      </c>
      <c r="L13" s="34">
        <v>-1.5938780961732846E-8</v>
      </c>
    </row>
  </sheetData>
  <mergeCells count="1">
    <mergeCell ref="B3:L3"/>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B1:N13"/>
  <sheetViews>
    <sheetView workbookViewId="0">
      <selection activeCell="B2" sqref="B2:H2"/>
    </sheetView>
  </sheetViews>
  <sheetFormatPr baseColWidth="10" defaultColWidth="8.83203125" defaultRowHeight="15" x14ac:dyDescent="0.2"/>
  <cols>
    <col min="2" max="2" width="25.83203125" customWidth="1"/>
    <col min="3" max="8" width="18.33203125" customWidth="1"/>
  </cols>
  <sheetData>
    <row r="1" spans="2:14" ht="16" thickBot="1" x14ac:dyDescent="0.25"/>
    <row r="2" spans="2:14" ht="17" customHeight="1" thickBot="1" x14ac:dyDescent="0.25">
      <c r="B2" s="232" t="s">
        <v>712</v>
      </c>
      <c r="C2" s="233"/>
      <c r="D2" s="233"/>
      <c r="E2" s="233"/>
      <c r="F2" s="233"/>
      <c r="G2" s="233"/>
      <c r="H2" s="234"/>
      <c r="I2" s="120"/>
      <c r="J2" s="120"/>
      <c r="K2" s="120"/>
      <c r="L2" s="120"/>
      <c r="M2" s="120"/>
      <c r="N2" s="120"/>
    </row>
    <row r="3" spans="2:14" ht="17" customHeight="1" thickBot="1" x14ac:dyDescent="0.25">
      <c r="B3" s="121"/>
      <c r="C3" s="153" t="s">
        <v>563</v>
      </c>
      <c r="D3" s="172"/>
      <c r="E3" s="154"/>
      <c r="F3" s="229" t="s">
        <v>671</v>
      </c>
      <c r="G3" s="230"/>
      <c r="H3" s="231"/>
      <c r="J3" s="119"/>
      <c r="K3" s="119"/>
      <c r="L3" s="119"/>
      <c r="M3" s="119"/>
      <c r="N3" s="119"/>
    </row>
    <row r="4" spans="2:14" ht="86" thickBot="1" x14ac:dyDescent="0.25">
      <c r="B4" s="1"/>
      <c r="C4" s="1" t="s">
        <v>704</v>
      </c>
      <c r="D4" s="1" t="s">
        <v>706</v>
      </c>
      <c r="E4" s="1" t="s">
        <v>708</v>
      </c>
      <c r="F4" s="1" t="s">
        <v>705</v>
      </c>
      <c r="G4" s="1" t="s">
        <v>707</v>
      </c>
      <c r="H4" s="1" t="s">
        <v>709</v>
      </c>
    </row>
    <row r="5" spans="2:14" ht="18" thickBot="1" x14ac:dyDescent="0.25">
      <c r="B5" s="1" t="s">
        <v>230</v>
      </c>
      <c r="C5" s="2">
        <v>96105.139527680003</v>
      </c>
      <c r="D5" s="2">
        <v>148915.13407692799</v>
      </c>
      <c r="E5" s="2">
        <v>245020.27260723201</v>
      </c>
      <c r="F5" s="101">
        <v>2.57667561838239</v>
      </c>
      <c r="G5" s="101">
        <v>3.9925647792608512</v>
      </c>
      <c r="H5" s="101">
        <v>6.5692403709025857</v>
      </c>
    </row>
    <row r="6" spans="2:14" ht="18" thickBot="1" x14ac:dyDescent="0.25">
      <c r="B6" s="1" t="s">
        <v>226</v>
      </c>
      <c r="C6" s="2">
        <v>77970.539396608001</v>
      </c>
      <c r="D6" s="2">
        <v>38980.764692416</v>
      </c>
      <c r="E6" s="2">
        <v>116951.30341772801</v>
      </c>
      <c r="F6" s="101">
        <v>3.2330475363339066</v>
      </c>
      <c r="G6" s="101">
        <v>1.6163369681486377</v>
      </c>
      <c r="H6" s="101">
        <v>4.8493844766472636</v>
      </c>
    </row>
    <row r="7" spans="2:14" ht="18" thickBot="1" x14ac:dyDescent="0.25">
      <c r="B7" s="1" t="s">
        <v>229</v>
      </c>
      <c r="C7" s="2">
        <v>21894.715570431999</v>
      </c>
      <c r="D7" s="2">
        <v>18247.137550751999</v>
      </c>
      <c r="E7" s="2">
        <v>40141.853049536003</v>
      </c>
      <c r="F7" s="101">
        <v>2.1211560159539986</v>
      </c>
      <c r="G7" s="101">
        <v>1.7677793285420622</v>
      </c>
      <c r="H7" s="101">
        <v>3.8889353375548157</v>
      </c>
    </row>
    <row r="8" spans="2:14" ht="18" thickBot="1" x14ac:dyDescent="0.25">
      <c r="B8" s="1" t="s">
        <v>231</v>
      </c>
      <c r="C8" s="2">
        <v>19751.901581311999</v>
      </c>
      <c r="D8" s="2">
        <v>29460.230893568001</v>
      </c>
      <c r="E8" s="2">
        <v>49212.133318656</v>
      </c>
      <c r="F8" s="101">
        <v>1.8511565682571676</v>
      </c>
      <c r="G8" s="101">
        <v>2.761025296551658</v>
      </c>
      <c r="H8" s="101">
        <v>4.6121819438878688</v>
      </c>
    </row>
    <row r="9" spans="2:14" ht="18" thickBot="1" x14ac:dyDescent="0.25">
      <c r="B9" s="1" t="s">
        <v>227</v>
      </c>
      <c r="C9" s="2">
        <v>52577.841121008001</v>
      </c>
      <c r="D9" s="2">
        <v>95108.991240614996</v>
      </c>
      <c r="E9" s="2">
        <v>147686.83185096001</v>
      </c>
      <c r="F9" s="101">
        <v>2.1516119719830673</v>
      </c>
      <c r="G9" s="101">
        <v>3.8920891355269984</v>
      </c>
      <c r="H9" s="101">
        <v>6.0437010866125052</v>
      </c>
    </row>
    <row r="10" spans="2:14" ht="18" thickBot="1" x14ac:dyDescent="0.25">
      <c r="B10" s="1" t="s">
        <v>233</v>
      </c>
      <c r="C10" s="2">
        <v>10858.048692224</v>
      </c>
      <c r="D10" s="2">
        <v>15421.551239168</v>
      </c>
      <c r="E10" s="2">
        <v>26279.599947776001</v>
      </c>
      <c r="F10" s="101">
        <v>1.5486451073698269</v>
      </c>
      <c r="G10" s="101">
        <v>2.1995213460125753</v>
      </c>
      <c r="H10" s="101">
        <v>3.7481664557191943</v>
      </c>
    </row>
    <row r="11" spans="2:14" ht="18" thickBot="1" x14ac:dyDescent="0.25">
      <c r="B11" s="1" t="s">
        <v>228</v>
      </c>
      <c r="C11" s="2">
        <v>65427.441148928003</v>
      </c>
      <c r="D11" s="2">
        <v>45576.377373695999</v>
      </c>
      <c r="E11" s="2">
        <v>111003.8174221775</v>
      </c>
      <c r="F11" s="101">
        <v>2.7557036360392315</v>
      </c>
      <c r="G11" s="101">
        <v>1.9196072265810757</v>
      </c>
      <c r="H11" s="101">
        <v>4.6753108162711854</v>
      </c>
    </row>
    <row r="12" spans="2:14" ht="18" thickBot="1" x14ac:dyDescent="0.25">
      <c r="B12" s="1" t="s">
        <v>232</v>
      </c>
      <c r="C12" s="2">
        <v>8096.045952896</v>
      </c>
      <c r="D12" s="2">
        <v>10525.042120704</v>
      </c>
      <c r="E12" s="2">
        <v>18621.088076288001</v>
      </c>
      <c r="F12" s="101">
        <v>1.5279187156656442</v>
      </c>
      <c r="G12" s="101">
        <v>1.9863287502265787</v>
      </c>
      <c r="H12" s="101">
        <v>3.5142474663995134</v>
      </c>
    </row>
    <row r="13" spans="2:14" ht="18" thickBot="1" x14ac:dyDescent="0.25">
      <c r="B13" s="74" t="s">
        <v>450</v>
      </c>
      <c r="C13" s="17">
        <v>352681.67299108801</v>
      </c>
      <c r="D13" s="17">
        <v>402235.229187847</v>
      </c>
      <c r="E13" s="17">
        <v>754916.89969035354</v>
      </c>
      <c r="F13" s="84">
        <v>2.4680995213566068</v>
      </c>
      <c r="G13" s="84">
        <v>2.8148799687030421</v>
      </c>
      <c r="H13" s="84">
        <v>5.2829794726443211</v>
      </c>
    </row>
  </sheetData>
  <mergeCells count="3">
    <mergeCell ref="F3:H3"/>
    <mergeCell ref="C3:E3"/>
    <mergeCell ref="B2:H2"/>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B1:H13"/>
  <sheetViews>
    <sheetView workbookViewId="0">
      <selection activeCell="I21" sqref="I21"/>
    </sheetView>
  </sheetViews>
  <sheetFormatPr baseColWidth="10" defaultColWidth="8.83203125" defaultRowHeight="15" x14ac:dyDescent="0.2"/>
  <cols>
    <col min="2" max="2" width="26.33203125" customWidth="1"/>
    <col min="3" max="8" width="18.5" customWidth="1"/>
  </cols>
  <sheetData>
    <row r="1" spans="2:8" ht="16" thickBot="1" x14ac:dyDescent="0.25"/>
    <row r="2" spans="2:8" ht="17" thickBot="1" x14ac:dyDescent="0.25">
      <c r="B2" s="232" t="s">
        <v>713</v>
      </c>
      <c r="C2" s="233"/>
      <c r="D2" s="233"/>
      <c r="E2" s="233"/>
      <c r="F2" s="233"/>
      <c r="G2" s="233"/>
      <c r="H2" s="234"/>
    </row>
    <row r="3" spans="2:8" ht="17" thickBot="1" x14ac:dyDescent="0.25">
      <c r="B3" s="121"/>
      <c r="C3" s="153" t="s">
        <v>565</v>
      </c>
      <c r="D3" s="172"/>
      <c r="E3" s="154"/>
      <c r="F3" s="229" t="s">
        <v>671</v>
      </c>
      <c r="G3" s="230"/>
      <c r="H3" s="231"/>
    </row>
    <row r="4" spans="2:8" ht="69" thickBot="1" x14ac:dyDescent="0.25">
      <c r="B4" s="1"/>
      <c r="C4" s="1" t="s">
        <v>590</v>
      </c>
      <c r="D4" s="1" t="s">
        <v>591</v>
      </c>
      <c r="E4" s="1" t="s">
        <v>586</v>
      </c>
      <c r="F4" s="1" t="s">
        <v>665</v>
      </c>
      <c r="G4" s="1" t="s">
        <v>666</v>
      </c>
      <c r="H4" s="1" t="s">
        <v>667</v>
      </c>
    </row>
    <row r="5" spans="2:8" ht="18" thickBot="1" x14ac:dyDescent="0.25">
      <c r="B5" s="1" t="s">
        <v>230</v>
      </c>
      <c r="C5" s="2">
        <v>141746.983903232</v>
      </c>
      <c r="D5" s="2">
        <v>219637.25941862399</v>
      </c>
      <c r="E5" s="2">
        <v>361384.25165414403</v>
      </c>
      <c r="F5" s="101">
        <v>2.5766756691460695</v>
      </c>
      <c r="G5" s="101">
        <v>3.9925645456290222</v>
      </c>
      <c r="H5" s="101">
        <v>6.5692403662393639</v>
      </c>
    </row>
    <row r="6" spans="2:8" ht="18" thickBot="1" x14ac:dyDescent="0.25">
      <c r="B6" s="1" t="s">
        <v>226</v>
      </c>
      <c r="C6" s="2">
        <v>114999.966596096</v>
      </c>
      <c r="D6" s="2">
        <v>57493.340800767997</v>
      </c>
      <c r="E6" s="2">
        <v>172493.30765926401</v>
      </c>
      <c r="F6" s="101">
        <v>3.2330475026464258</v>
      </c>
      <c r="G6" s="101">
        <v>1.6163370077103398</v>
      </c>
      <c r="H6" s="101">
        <v>4.8493845177337391</v>
      </c>
    </row>
    <row r="7" spans="2:8" ht="18" thickBot="1" x14ac:dyDescent="0.25">
      <c r="B7" s="1" t="s">
        <v>229</v>
      </c>
      <c r="C7" s="2">
        <v>32292.858030208001</v>
      </c>
      <c r="D7" s="2">
        <v>26912.988521066</v>
      </c>
      <c r="E7" s="2">
        <v>59205.846058112002</v>
      </c>
      <c r="F7" s="101">
        <v>2.1211560133127758</v>
      </c>
      <c r="G7" s="101">
        <v>1.7677793456458941</v>
      </c>
      <c r="H7" s="101">
        <v>3.8889353265653295</v>
      </c>
    </row>
    <row r="8" spans="2:8" ht="18" thickBot="1" x14ac:dyDescent="0.25">
      <c r="B8" s="1" t="s">
        <v>231</v>
      </c>
      <c r="C8" s="2">
        <v>29132.38921216</v>
      </c>
      <c r="D8" s="2">
        <v>43451.356487680001</v>
      </c>
      <c r="E8" s="2">
        <v>72583.747158016005</v>
      </c>
      <c r="F8" s="101">
        <v>1.8511565551645373</v>
      </c>
      <c r="G8" s="101">
        <v>2.7610252906886847</v>
      </c>
      <c r="H8" s="101">
        <v>4.6121819385099565</v>
      </c>
    </row>
    <row r="9" spans="2:8" ht="18" thickBot="1" x14ac:dyDescent="0.25">
      <c r="B9" s="1" t="s">
        <v>227</v>
      </c>
      <c r="C9" s="2">
        <v>77547.883495488</v>
      </c>
      <c r="D9" s="2">
        <v>140277.73883801099</v>
      </c>
      <c r="E9" s="2">
        <v>217825.62184060799</v>
      </c>
      <c r="F9" s="101">
        <v>2.1516119893596941</v>
      </c>
      <c r="G9" s="101">
        <v>3.8920890051331134</v>
      </c>
      <c r="H9" s="101">
        <v>6.0437009808172544</v>
      </c>
    </row>
    <row r="10" spans="2:8" ht="18" thickBot="1" x14ac:dyDescent="0.25">
      <c r="B10" s="1" t="s">
        <v>233</v>
      </c>
      <c r="C10" s="2">
        <v>16014.705524736</v>
      </c>
      <c r="D10" s="2">
        <v>22745.487163392001</v>
      </c>
      <c r="E10" s="2">
        <v>38760.191754239997</v>
      </c>
      <c r="F10" s="101">
        <v>1.5486450795690156</v>
      </c>
      <c r="G10" s="101">
        <v>2.1995213538943861</v>
      </c>
      <c r="H10" s="101">
        <v>3.7481663431550878</v>
      </c>
    </row>
    <row r="11" spans="2:8" ht="18" thickBot="1" x14ac:dyDescent="0.25">
      <c r="B11" s="1" t="s">
        <v>228</v>
      </c>
      <c r="C11" s="2">
        <v>96499.956885503998</v>
      </c>
      <c r="D11" s="2">
        <v>67221.314004992004</v>
      </c>
      <c r="E11" s="2">
        <v>163721.26997107899</v>
      </c>
      <c r="F11" s="101">
        <v>2.7557035481748624</v>
      </c>
      <c r="G11" s="101">
        <v>1.9196072153308874</v>
      </c>
      <c r="H11" s="101">
        <v>4.6753107372503946</v>
      </c>
    </row>
    <row r="12" spans="2:8" ht="18" thickBot="1" x14ac:dyDescent="0.25">
      <c r="B12" s="1" t="s">
        <v>232</v>
      </c>
      <c r="C12" s="2">
        <v>11940.985039616</v>
      </c>
      <c r="D12" s="2">
        <v>15523.550158336</v>
      </c>
      <c r="E12" s="2">
        <v>27464.535072768002</v>
      </c>
      <c r="F12" s="101">
        <v>1.5279186930472008</v>
      </c>
      <c r="G12" s="101">
        <v>1.9863287987286649</v>
      </c>
      <c r="H12" s="101">
        <v>3.5142474757578426</v>
      </c>
    </row>
    <row r="13" spans="2:8" ht="18" thickBot="1" x14ac:dyDescent="0.25">
      <c r="B13" s="1" t="s">
        <v>450</v>
      </c>
      <c r="C13" s="2">
        <v>520175.72868703998</v>
      </c>
      <c r="D13" s="2">
        <v>593263.03539286903</v>
      </c>
      <c r="E13" s="2">
        <v>1113438.771168231</v>
      </c>
      <c r="F13" s="101">
        <v>2.468099512964451</v>
      </c>
      <c r="G13" s="101">
        <v>2.8148799106962881</v>
      </c>
      <c r="H13" s="101">
        <v>5.2829794572929965</v>
      </c>
    </row>
  </sheetData>
  <mergeCells count="3">
    <mergeCell ref="C3:E3"/>
    <mergeCell ref="F3:H3"/>
    <mergeCell ref="B2:H2"/>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B1:H13"/>
  <sheetViews>
    <sheetView workbookViewId="0">
      <selection activeCell="G27" sqref="G27"/>
    </sheetView>
  </sheetViews>
  <sheetFormatPr baseColWidth="10" defaultColWidth="8.83203125" defaultRowHeight="15" x14ac:dyDescent="0.2"/>
  <cols>
    <col min="2" max="2" width="26.5" customWidth="1"/>
    <col min="3" max="8" width="18.33203125" customWidth="1"/>
  </cols>
  <sheetData>
    <row r="1" spans="2:8" ht="16" thickBot="1" x14ac:dyDescent="0.25"/>
    <row r="2" spans="2:8" ht="17" thickBot="1" x14ac:dyDescent="0.25">
      <c r="B2" s="232" t="s">
        <v>754</v>
      </c>
      <c r="C2" s="233"/>
      <c r="D2" s="233"/>
      <c r="E2" s="233"/>
      <c r="F2" s="233"/>
      <c r="G2" s="233"/>
      <c r="H2" s="234"/>
    </row>
    <row r="3" spans="2:8" ht="17" thickBot="1" x14ac:dyDescent="0.25">
      <c r="B3" s="122"/>
      <c r="C3" s="153" t="s">
        <v>710</v>
      </c>
      <c r="D3" s="172"/>
      <c r="E3" s="154"/>
      <c r="F3" s="229" t="s">
        <v>671</v>
      </c>
      <c r="G3" s="230"/>
      <c r="H3" s="231"/>
    </row>
    <row r="4" spans="2:8" ht="69" thickBot="1" x14ac:dyDescent="0.25">
      <c r="B4" s="1"/>
      <c r="C4" s="1" t="s">
        <v>590</v>
      </c>
      <c r="D4" s="1" t="s">
        <v>591</v>
      </c>
      <c r="E4" s="1" t="s">
        <v>586</v>
      </c>
      <c r="F4" s="1" t="s">
        <v>665</v>
      </c>
      <c r="G4" s="1" t="s">
        <v>666</v>
      </c>
      <c r="H4" s="1" t="s">
        <v>667</v>
      </c>
    </row>
    <row r="5" spans="2:8" ht="18" thickBot="1" x14ac:dyDescent="0.25">
      <c r="B5" s="1" t="s">
        <v>230</v>
      </c>
      <c r="C5" s="2">
        <v>59575.589701632001</v>
      </c>
      <c r="D5" s="2">
        <v>91546.252754432004</v>
      </c>
      <c r="E5" s="2">
        <v>151121.84990924801</v>
      </c>
      <c r="F5" s="101">
        <v>2.5661872624216087</v>
      </c>
      <c r="G5" s="101">
        <v>3.9433067959110275</v>
      </c>
      <c r="H5" s="101">
        <v>6.509494379374626</v>
      </c>
    </row>
    <row r="6" spans="2:8" ht="18" thickBot="1" x14ac:dyDescent="0.25">
      <c r="B6" s="1" t="s">
        <v>226</v>
      </c>
      <c r="C6" s="2">
        <v>77389.936494591995</v>
      </c>
      <c r="D6" s="2">
        <v>37689.071475167999</v>
      </c>
      <c r="E6" s="2">
        <v>115079.008305664</v>
      </c>
      <c r="F6" s="101">
        <v>3.251592452384529</v>
      </c>
      <c r="G6" s="101">
        <v>1.5835327679148705</v>
      </c>
      <c r="H6" s="101">
        <v>4.8351252344126419</v>
      </c>
    </row>
    <row r="7" spans="2:8" ht="18" thickBot="1" x14ac:dyDescent="0.25">
      <c r="B7" s="1" t="s">
        <v>229</v>
      </c>
      <c r="C7" s="2">
        <v>13780.235542592</v>
      </c>
      <c r="D7" s="2">
        <v>11172.8137772725</v>
      </c>
      <c r="E7" s="2">
        <v>24953.049012719999</v>
      </c>
      <c r="F7" s="101">
        <v>2.1212514624834986</v>
      </c>
      <c r="G7" s="101">
        <v>1.7198797140906594</v>
      </c>
      <c r="H7" s="101">
        <v>3.8411311292940722</v>
      </c>
    </row>
    <row r="8" spans="2:8" ht="18" thickBot="1" x14ac:dyDescent="0.25">
      <c r="B8" s="1" t="s">
        <v>231</v>
      </c>
      <c r="C8" s="2">
        <v>10586.132512767999</v>
      </c>
      <c r="D8" s="2">
        <v>16036.847042560001</v>
      </c>
      <c r="E8" s="2">
        <v>26622.979272704</v>
      </c>
      <c r="F8" s="101">
        <v>1.8875145817818793</v>
      </c>
      <c r="G8" s="101">
        <v>2.8593806663698036</v>
      </c>
      <c r="H8" s="101">
        <v>4.746895197759633</v>
      </c>
    </row>
    <row r="9" spans="2:8" ht="18" thickBot="1" x14ac:dyDescent="0.25">
      <c r="B9" s="1" t="s">
        <v>227</v>
      </c>
      <c r="C9" s="2">
        <v>64059.9774836</v>
      </c>
      <c r="D9" s="2">
        <v>117527.385225363</v>
      </c>
      <c r="E9" s="2">
        <v>181587.358744064</v>
      </c>
      <c r="F9" s="101">
        <v>2.1341489012969652</v>
      </c>
      <c r="G9" s="101">
        <v>3.9154078709319924</v>
      </c>
      <c r="H9" s="101">
        <v>6.0495566401389196</v>
      </c>
    </row>
    <row r="10" spans="2:8" ht="18" thickBot="1" x14ac:dyDescent="0.25">
      <c r="B10" s="1" t="s">
        <v>233</v>
      </c>
      <c r="C10" s="2">
        <v>4868.6402662399996</v>
      </c>
      <c r="D10" s="2">
        <v>6939.6744806400002</v>
      </c>
      <c r="E10" s="2">
        <v>11808.315031552</v>
      </c>
      <c r="F10" s="101">
        <v>1.5457943588093086</v>
      </c>
      <c r="G10" s="101">
        <v>2.2033481788603821</v>
      </c>
      <c r="H10" s="101">
        <v>3.7491426280531135</v>
      </c>
    </row>
    <row r="11" spans="2:8" ht="18" thickBot="1" x14ac:dyDescent="0.25">
      <c r="B11" s="1" t="s">
        <v>228</v>
      </c>
      <c r="C11" s="2">
        <v>21843.172521984001</v>
      </c>
      <c r="D11" s="2">
        <v>14600.049316352</v>
      </c>
      <c r="E11" s="2">
        <v>36443.221676940753</v>
      </c>
      <c r="F11" s="101">
        <v>2.7109848575980249</v>
      </c>
      <c r="G11" s="101">
        <v>1.8120313144521003</v>
      </c>
      <c r="H11" s="101">
        <v>4.5230161520191485</v>
      </c>
    </row>
    <row r="12" spans="2:8" ht="18" thickBot="1" x14ac:dyDescent="0.25">
      <c r="B12" s="1" t="s">
        <v>232</v>
      </c>
      <c r="C12" s="2">
        <v>3469.0410808319998</v>
      </c>
      <c r="D12" s="2">
        <v>4404.8448847359996</v>
      </c>
      <c r="E12" s="2">
        <v>7873.8860718080005</v>
      </c>
      <c r="F12" s="101">
        <v>1.4722213899573777</v>
      </c>
      <c r="G12" s="101">
        <v>1.8693658298210083</v>
      </c>
      <c r="H12" s="101">
        <v>3.3415872648654279</v>
      </c>
    </row>
    <row r="13" spans="2:8" ht="18" thickBot="1" x14ac:dyDescent="0.25">
      <c r="B13" s="1" t="s">
        <v>450</v>
      </c>
      <c r="C13" s="2">
        <v>255572.72560424</v>
      </c>
      <c r="D13" s="2">
        <v>299916.93895652349</v>
      </c>
      <c r="E13" s="2">
        <v>555489.66802470072</v>
      </c>
      <c r="F13" s="101">
        <v>2.4885157159717246</v>
      </c>
      <c r="G13" s="101">
        <v>2.9202960304738368</v>
      </c>
      <c r="H13" s="101">
        <v>5.4088117801739735</v>
      </c>
    </row>
  </sheetData>
  <mergeCells count="3">
    <mergeCell ref="C3:E3"/>
    <mergeCell ref="F3:H3"/>
    <mergeCell ref="B2:H2"/>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B1:H13"/>
  <sheetViews>
    <sheetView workbookViewId="0">
      <selection activeCell="B2" sqref="B2:H2"/>
    </sheetView>
  </sheetViews>
  <sheetFormatPr baseColWidth="10" defaultColWidth="8.83203125" defaultRowHeight="15" x14ac:dyDescent="0.2"/>
  <cols>
    <col min="2" max="2" width="26.5" customWidth="1"/>
    <col min="3" max="8" width="18.1640625" customWidth="1"/>
  </cols>
  <sheetData>
    <row r="1" spans="2:8" ht="16" thickBot="1" x14ac:dyDescent="0.25"/>
    <row r="2" spans="2:8" ht="17" thickBot="1" x14ac:dyDescent="0.25">
      <c r="B2" s="232" t="s">
        <v>753</v>
      </c>
      <c r="C2" s="233"/>
      <c r="D2" s="233"/>
      <c r="E2" s="233"/>
      <c r="F2" s="233"/>
      <c r="G2" s="233"/>
      <c r="H2" s="234"/>
    </row>
    <row r="3" spans="2:8" ht="17" thickBot="1" x14ac:dyDescent="0.25">
      <c r="C3" s="153" t="s">
        <v>711</v>
      </c>
      <c r="D3" s="172"/>
      <c r="E3" s="154"/>
      <c r="F3" s="229" t="s">
        <v>671</v>
      </c>
      <c r="G3" s="230"/>
      <c r="H3" s="231"/>
    </row>
    <row r="4" spans="2:8" ht="69" thickBot="1" x14ac:dyDescent="0.25">
      <c r="B4" s="1"/>
      <c r="C4" s="1" t="s">
        <v>590</v>
      </c>
      <c r="D4" s="1" t="s">
        <v>591</v>
      </c>
      <c r="E4" s="1" t="s">
        <v>586</v>
      </c>
      <c r="F4" s="1" t="s">
        <v>665</v>
      </c>
      <c r="G4" s="1" t="s">
        <v>666</v>
      </c>
      <c r="H4" s="1" t="s">
        <v>667</v>
      </c>
    </row>
    <row r="5" spans="2:8" ht="18" thickBot="1" x14ac:dyDescent="0.25">
      <c r="B5" s="1" t="s">
        <v>230</v>
      </c>
      <c r="C5" s="2">
        <v>70217.962663936007</v>
      </c>
      <c r="D5" s="2">
        <v>107899.748419072</v>
      </c>
      <c r="E5" s="2">
        <v>178117.714837504</v>
      </c>
      <c r="F5" s="101">
        <v>2.5661873499782182</v>
      </c>
      <c r="G5" s="101">
        <v>3.943306797208832</v>
      </c>
      <c r="H5" s="101">
        <v>6.5094942843989516</v>
      </c>
    </row>
    <row r="6" spans="2:8" ht="18" thickBot="1" x14ac:dyDescent="0.25">
      <c r="B6" s="1" t="s">
        <v>226</v>
      </c>
      <c r="C6" s="2">
        <v>91214.600775679995</v>
      </c>
      <c r="D6" s="2">
        <v>44421.714731647997</v>
      </c>
      <c r="E6" s="2">
        <v>135636.31695027201</v>
      </c>
      <c r="F6" s="101">
        <v>3.2515924360571544</v>
      </c>
      <c r="G6" s="101">
        <v>1.5835327939803561</v>
      </c>
      <c r="H6" s="101">
        <v>4.8351252814751726</v>
      </c>
    </row>
    <row r="7" spans="2:8" ht="18" thickBot="1" x14ac:dyDescent="0.25">
      <c r="B7" s="1" t="s">
        <v>229</v>
      </c>
      <c r="C7" s="2">
        <v>16241.887769471999</v>
      </c>
      <c r="D7" s="2">
        <v>13168.685840966</v>
      </c>
      <c r="E7" s="2">
        <v>29410.573253695999</v>
      </c>
      <c r="F7" s="101">
        <v>2.1212514821283319</v>
      </c>
      <c r="G7" s="101">
        <v>1.7198797796359606</v>
      </c>
      <c r="H7" s="101">
        <v>3.841131215172449</v>
      </c>
    </row>
    <row r="8" spans="2:8" ht="18" thickBot="1" x14ac:dyDescent="0.25">
      <c r="B8" s="1" t="s">
        <v>231</v>
      </c>
      <c r="C8" s="2">
        <v>12477.201827839999</v>
      </c>
      <c r="D8" s="2">
        <v>18901.612957696001</v>
      </c>
      <c r="E8" s="2">
        <v>31378.814787584</v>
      </c>
      <c r="F8" s="101">
        <v>1.887514514326494</v>
      </c>
      <c r="G8" s="101">
        <v>2.8593805962349488</v>
      </c>
      <c r="H8" s="101">
        <v>4.7468951108712583</v>
      </c>
    </row>
    <row r="9" spans="2:8" ht="18" thickBot="1" x14ac:dyDescent="0.25">
      <c r="B9" s="1" t="s">
        <v>227</v>
      </c>
      <c r="C9" s="2">
        <v>75503.423249296</v>
      </c>
      <c r="D9" s="2">
        <v>138522.05531944599</v>
      </c>
      <c r="E9" s="2">
        <v>214025.47805827201</v>
      </c>
      <c r="F9" s="101">
        <v>2.1341489303392787</v>
      </c>
      <c r="G9" s="101">
        <v>3.9154078512744852</v>
      </c>
      <c r="H9" s="101">
        <v>6.0495567671850274</v>
      </c>
    </row>
    <row r="10" spans="2:8" ht="18" thickBot="1" x14ac:dyDescent="0.25">
      <c r="B10" s="1" t="s">
        <v>233</v>
      </c>
      <c r="C10" s="2">
        <v>5738.3570104319997</v>
      </c>
      <c r="D10" s="2">
        <v>8179.3535160319998</v>
      </c>
      <c r="E10" s="2">
        <v>13917.711073279999</v>
      </c>
      <c r="F10" s="101">
        <v>1.5457943861397587</v>
      </c>
      <c r="G10" s="101">
        <v>2.2033482274367793</v>
      </c>
      <c r="H10" s="101">
        <v>3.7491427608774295</v>
      </c>
    </row>
    <row r="11" spans="2:8" ht="18" thickBot="1" x14ac:dyDescent="0.25">
      <c r="B11" s="1" t="s">
        <v>228</v>
      </c>
      <c r="C11" s="2">
        <v>25745.159790591999</v>
      </c>
      <c r="D11" s="2">
        <v>17208.15046144</v>
      </c>
      <c r="E11" s="2">
        <v>42953.310075173496</v>
      </c>
      <c r="F11" s="101">
        <v>2.71098491417689</v>
      </c>
      <c r="G11" s="101">
        <v>1.8120313364261007</v>
      </c>
      <c r="H11" s="101">
        <v>4.5230162319796561</v>
      </c>
    </row>
    <row r="12" spans="2:8" ht="18" thickBot="1" x14ac:dyDescent="0.25">
      <c r="B12" s="1" t="s">
        <v>232</v>
      </c>
      <c r="C12" s="2">
        <v>4088.73829888</v>
      </c>
      <c r="D12" s="2">
        <v>5191.7108912639997</v>
      </c>
      <c r="E12" s="2">
        <v>9280.4491745279993</v>
      </c>
      <c r="F12" s="101">
        <v>1.4722213709108662</v>
      </c>
      <c r="G12" s="101">
        <v>1.8693658451565001</v>
      </c>
      <c r="H12" s="101">
        <v>3.3415872104445539</v>
      </c>
    </row>
    <row r="13" spans="2:8" ht="18" thickBot="1" x14ac:dyDescent="0.25">
      <c r="B13" s="1" t="s">
        <v>450</v>
      </c>
      <c r="C13" s="2">
        <v>301227.33138612797</v>
      </c>
      <c r="D13" s="2">
        <v>353493.03213756398</v>
      </c>
      <c r="E13" s="2">
        <v>654720.36821030953</v>
      </c>
      <c r="F13" s="101">
        <v>2.4885157460178928</v>
      </c>
      <c r="G13" s="101">
        <v>2.9202960187378517</v>
      </c>
      <c r="H13" s="101">
        <v>5.4088118034730863</v>
      </c>
    </row>
  </sheetData>
  <mergeCells count="3">
    <mergeCell ref="C3:E3"/>
    <mergeCell ref="F3:H3"/>
    <mergeCell ref="B2:H2"/>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B1:P13"/>
  <sheetViews>
    <sheetView workbookViewId="0">
      <selection activeCell="B2" sqref="B2:M13"/>
    </sheetView>
  </sheetViews>
  <sheetFormatPr baseColWidth="10" defaultColWidth="8.83203125" defaultRowHeight="15" x14ac:dyDescent="0.2"/>
  <cols>
    <col min="2" max="2" width="26.33203125" customWidth="1"/>
    <col min="3" max="3" width="17.6640625" customWidth="1"/>
    <col min="4" max="13" width="19.33203125" customWidth="1"/>
  </cols>
  <sheetData>
    <row r="1" spans="2:16" ht="16" thickBot="1" x14ac:dyDescent="0.25"/>
    <row r="2" spans="2:16" ht="17" customHeight="1" thickBot="1" x14ac:dyDescent="0.25">
      <c r="B2" s="232" t="s">
        <v>734</v>
      </c>
      <c r="C2" s="233"/>
      <c r="D2" s="233"/>
      <c r="E2" s="233"/>
      <c r="F2" s="233"/>
      <c r="G2" s="233"/>
      <c r="H2" s="233"/>
      <c r="I2" s="233"/>
      <c r="J2" s="233"/>
      <c r="K2" s="233"/>
      <c r="L2" s="233"/>
      <c r="M2" s="234"/>
    </row>
    <row r="3" spans="2:16" s="129" customFormat="1" ht="35" thickBot="1" x14ac:dyDescent="0.25">
      <c r="B3" s="131"/>
      <c r="C3" s="1" t="s">
        <v>732</v>
      </c>
      <c r="D3" s="130" t="s">
        <v>731</v>
      </c>
      <c r="E3" s="153" t="s">
        <v>563</v>
      </c>
      <c r="F3" s="172"/>
      <c r="G3" s="172"/>
      <c r="H3" s="154"/>
      <c r="I3" s="235" t="s">
        <v>733</v>
      </c>
      <c r="J3" s="236"/>
      <c r="K3" s="236"/>
      <c r="L3" s="236"/>
      <c r="M3" s="237"/>
    </row>
    <row r="4" spans="2:16" ht="52" thickBot="1" x14ac:dyDescent="0.25">
      <c r="B4" s="132"/>
      <c r="C4" s="1" t="s">
        <v>720</v>
      </c>
      <c r="D4" s="1" t="s">
        <v>721</v>
      </c>
      <c r="E4" s="1" t="s">
        <v>722</v>
      </c>
      <c r="F4" s="1" t="s">
        <v>723</v>
      </c>
      <c r="G4" s="1" t="s">
        <v>724</v>
      </c>
      <c r="H4" s="1" t="s">
        <v>725</v>
      </c>
      <c r="I4" s="1" t="s">
        <v>726</v>
      </c>
      <c r="J4" s="1" t="s">
        <v>727</v>
      </c>
      <c r="K4" s="1" t="s">
        <v>728</v>
      </c>
      <c r="L4" s="1" t="s">
        <v>729</v>
      </c>
      <c r="M4" s="1" t="s">
        <v>730</v>
      </c>
      <c r="P4" s="52"/>
    </row>
    <row r="5" spans="2:16" ht="18" thickBot="1" x14ac:dyDescent="0.25">
      <c r="B5" s="1" t="s">
        <v>230</v>
      </c>
      <c r="C5" s="2">
        <v>34422.473523200002</v>
      </c>
      <c r="D5" s="101">
        <v>0.92290119641413038</v>
      </c>
      <c r="E5" s="2">
        <v>695.79176543999995</v>
      </c>
      <c r="F5" s="2">
        <v>11739.23195904</v>
      </c>
      <c r="G5" s="2">
        <v>4756.5882854399997</v>
      </c>
      <c r="H5" s="2">
        <v>2702.6603948759998</v>
      </c>
      <c r="I5" s="84">
        <v>0.49503471684122857</v>
      </c>
      <c r="J5" s="101">
        <v>0.2018706946262486</v>
      </c>
      <c r="K5" s="101">
        <v>0.51358654621702404</v>
      </c>
      <c r="L5" s="101">
        <v>0.58590260017225571</v>
      </c>
      <c r="M5" s="101">
        <v>0.33290578408636545</v>
      </c>
    </row>
    <row r="6" spans="2:16" ht="18" thickBot="1" x14ac:dyDescent="0.25">
      <c r="B6" s="1" t="s">
        <v>226</v>
      </c>
      <c r="C6" s="2">
        <v>21505.111070335999</v>
      </c>
      <c r="D6" s="101">
        <v>0.89170918788797693</v>
      </c>
      <c r="E6" s="2">
        <v>633.57897857199998</v>
      </c>
      <c r="F6" s="2">
        <v>5993.4135558400003</v>
      </c>
      <c r="G6" s="2">
        <v>2030.5754200639999</v>
      </c>
      <c r="H6" s="2">
        <v>1545.9744016412501</v>
      </c>
      <c r="I6" s="84">
        <v>0.41781681920596858</v>
      </c>
      <c r="J6" s="101">
        <v>0.21009504274803065</v>
      </c>
      <c r="K6" s="101">
        <v>0.42447148459084166</v>
      </c>
      <c r="L6" s="101">
        <v>0.464691793308801</v>
      </c>
      <c r="M6" s="101">
        <v>0.35379213695275125</v>
      </c>
    </row>
    <row r="7" spans="2:16" ht="18" thickBot="1" x14ac:dyDescent="0.25">
      <c r="B7" s="1" t="s">
        <v>229</v>
      </c>
      <c r="C7" s="2">
        <v>9032.328478464</v>
      </c>
      <c r="D7" s="101">
        <v>0.87505032109391856</v>
      </c>
      <c r="E7" s="2">
        <v>158.84138345599999</v>
      </c>
      <c r="F7" s="2">
        <v>3088.3059318159999</v>
      </c>
      <c r="G7" s="2">
        <v>1468.36270545</v>
      </c>
      <c r="H7" s="2">
        <v>661.96931194000001</v>
      </c>
      <c r="I7" s="84">
        <v>0.49781866548731291</v>
      </c>
      <c r="J7" s="101">
        <v>0.14445567484072658</v>
      </c>
      <c r="K7" s="101">
        <v>0.57334077120915605</v>
      </c>
      <c r="L7" s="101">
        <v>0.57668049045460346</v>
      </c>
      <c r="M7" s="101">
        <v>0.2599798987393</v>
      </c>
    </row>
    <row r="8" spans="2:16" ht="18" thickBot="1" x14ac:dyDescent="0.25">
      <c r="B8" s="1" t="s">
        <v>231</v>
      </c>
      <c r="C8" s="2">
        <v>9819.8234204159999</v>
      </c>
      <c r="D8" s="101">
        <v>0.92031800325633184</v>
      </c>
      <c r="E8" s="2">
        <v>177.41741177599999</v>
      </c>
      <c r="F8" s="2">
        <v>4434.0787281920002</v>
      </c>
      <c r="G8" s="2">
        <v>1657.9901358</v>
      </c>
      <c r="H8" s="2">
        <v>611.20191595999995</v>
      </c>
      <c r="I8" s="84">
        <v>0.59938899695598136</v>
      </c>
      <c r="J8" s="101">
        <v>0.15403322767628236</v>
      </c>
      <c r="K8" s="101">
        <v>0.7250850430698883</v>
      </c>
      <c r="L8" s="101">
        <v>0.64948988349960202</v>
      </c>
      <c r="M8" s="101">
        <v>0.23942811999906832</v>
      </c>
    </row>
    <row r="9" spans="2:16" ht="18" thickBot="1" x14ac:dyDescent="0.25">
      <c r="B9" s="1" t="s">
        <v>227</v>
      </c>
      <c r="C9" s="2">
        <v>23089.542592580001</v>
      </c>
      <c r="D9" s="101">
        <v>0.94487972899971429</v>
      </c>
      <c r="E9" s="2">
        <v>893.67189565393755</v>
      </c>
      <c r="F9" s="2">
        <v>5618.7543942390002</v>
      </c>
      <c r="G9" s="2">
        <v>3298.8293016920002</v>
      </c>
      <c r="H9" s="2">
        <v>1674.74000337025</v>
      </c>
      <c r="I9" s="84">
        <v>0.41173176020364466</v>
      </c>
      <c r="J9" s="101">
        <v>0.31120847358756476</v>
      </c>
      <c r="K9" s="101">
        <v>0.42490859351620663</v>
      </c>
      <c r="L9" s="101">
        <v>0.47163307951939398</v>
      </c>
      <c r="M9" s="101">
        <v>0.2394373012203764</v>
      </c>
    </row>
    <row r="10" spans="2:16" ht="18" thickBot="1" x14ac:dyDescent="0.25">
      <c r="B10" s="1" t="s">
        <v>233</v>
      </c>
      <c r="C10" s="2">
        <v>6241.1367219200001</v>
      </c>
      <c r="D10" s="101">
        <v>0.89015127144800743</v>
      </c>
      <c r="E10" s="2">
        <v>224.149868352</v>
      </c>
      <c r="F10" s="2">
        <v>2216.8356300800001</v>
      </c>
      <c r="G10" s="2">
        <v>537.50705459200003</v>
      </c>
      <c r="H10" s="2">
        <v>338.19204969600003</v>
      </c>
      <c r="I10" s="84">
        <v>0.47974920328995474</v>
      </c>
      <c r="J10" s="101">
        <v>0.24654078638770988</v>
      </c>
      <c r="K10" s="101">
        <v>0.50854317137999272</v>
      </c>
      <c r="L10" s="101">
        <v>0.5525540032113907</v>
      </c>
      <c r="M10" s="101">
        <v>0.34765938291849108</v>
      </c>
    </row>
    <row r="11" spans="2:16" ht="18" thickBot="1" x14ac:dyDescent="0.25">
      <c r="B11" s="1" t="s">
        <v>228</v>
      </c>
      <c r="C11" s="2">
        <v>21807.427310592</v>
      </c>
      <c r="D11" s="101">
        <v>0.91849544590426402</v>
      </c>
      <c r="E11" s="2">
        <v>520.63367116200004</v>
      </c>
      <c r="F11" s="2">
        <v>6189.7953253599999</v>
      </c>
      <c r="G11" s="2">
        <v>5064.230810176</v>
      </c>
      <c r="H11" s="2">
        <v>1834.808823656</v>
      </c>
      <c r="I11" s="84">
        <v>0.48473990047941307</v>
      </c>
      <c r="J11" s="101">
        <v>0.21878190125986896</v>
      </c>
      <c r="K11" s="101">
        <v>0.56042704296094048</v>
      </c>
      <c r="L11" s="101">
        <v>0.60411072551402067</v>
      </c>
      <c r="M11" s="101">
        <v>0.21887384899817217</v>
      </c>
    </row>
    <row r="12" spans="2:16" ht="18" thickBot="1" x14ac:dyDescent="0.25">
      <c r="B12" s="1" t="s">
        <v>232</v>
      </c>
      <c r="C12" s="2">
        <v>4917.3082154240001</v>
      </c>
      <c r="D12" s="101">
        <v>0.92801440317359229</v>
      </c>
      <c r="E12" s="2">
        <v>104.489519863</v>
      </c>
      <c r="F12" s="2">
        <v>1391.1884397440001</v>
      </c>
      <c r="G12" s="2">
        <v>1583.521992016</v>
      </c>
      <c r="H12" s="2">
        <v>342.35023608799997</v>
      </c>
      <c r="I12" s="84">
        <v>0.50259956956720842</v>
      </c>
      <c r="J12" s="101">
        <v>0.15873016396380024</v>
      </c>
      <c r="K12" s="101">
        <v>0.64575755280322744</v>
      </c>
      <c r="L12" s="101">
        <v>0.75238375637875987</v>
      </c>
      <c r="M12" s="101">
        <v>0.16266193833981316</v>
      </c>
    </row>
    <row r="13" spans="2:16" ht="18" thickBot="1" x14ac:dyDescent="0.25">
      <c r="B13" s="74" t="s">
        <v>450</v>
      </c>
      <c r="C13" s="17">
        <v>130835.151332932</v>
      </c>
      <c r="D13" s="84">
        <v>0.91559669557762502</v>
      </c>
      <c r="E13" s="17">
        <v>3408.5744942749375</v>
      </c>
      <c r="F13" s="17">
        <v>40671.603964310998</v>
      </c>
      <c r="G13" s="17">
        <v>20397.605705229998</v>
      </c>
      <c r="H13" s="17">
        <v>9711.8971372274991</v>
      </c>
      <c r="I13" s="84">
        <v>0.47350514939414423</v>
      </c>
      <c r="J13" s="84">
        <v>0.21944690323075919</v>
      </c>
      <c r="K13" s="84">
        <v>0.51313774819197644</v>
      </c>
      <c r="L13" s="84">
        <v>0.56594013176153934</v>
      </c>
      <c r="M13" s="84">
        <v>0.269460662438816</v>
      </c>
    </row>
  </sheetData>
  <mergeCells count="3">
    <mergeCell ref="E3:H3"/>
    <mergeCell ref="I3:M3"/>
    <mergeCell ref="B2:M2"/>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B1:M13"/>
  <sheetViews>
    <sheetView workbookViewId="0">
      <selection activeCell="B2" sqref="B2:M2"/>
    </sheetView>
  </sheetViews>
  <sheetFormatPr baseColWidth="10" defaultColWidth="8.83203125" defaultRowHeight="15" x14ac:dyDescent="0.2"/>
  <cols>
    <col min="2" max="2" width="20.5" customWidth="1"/>
    <col min="3" max="13" width="18.5" customWidth="1"/>
  </cols>
  <sheetData>
    <row r="1" spans="2:13" ht="16" thickBot="1" x14ac:dyDescent="0.25"/>
    <row r="2" spans="2:13" ht="17" thickBot="1" x14ac:dyDescent="0.25">
      <c r="B2" s="232" t="s">
        <v>745</v>
      </c>
      <c r="C2" s="233"/>
      <c r="D2" s="233"/>
      <c r="E2" s="233"/>
      <c r="F2" s="233"/>
      <c r="G2" s="233"/>
      <c r="H2" s="233"/>
      <c r="I2" s="233"/>
      <c r="J2" s="233"/>
      <c r="K2" s="233"/>
      <c r="L2" s="233"/>
      <c r="M2" s="234"/>
    </row>
    <row r="3" spans="2:13" ht="35" thickBot="1" x14ac:dyDescent="0.25">
      <c r="B3" s="131"/>
      <c r="C3" s="1" t="s">
        <v>735</v>
      </c>
      <c r="D3" s="130" t="s">
        <v>731</v>
      </c>
      <c r="E3" s="153" t="s">
        <v>565</v>
      </c>
      <c r="F3" s="172"/>
      <c r="G3" s="172"/>
      <c r="H3" s="154"/>
      <c r="I3" s="235" t="s">
        <v>733</v>
      </c>
      <c r="J3" s="236"/>
      <c r="K3" s="236"/>
      <c r="L3" s="236"/>
      <c r="M3" s="237"/>
    </row>
    <row r="4" spans="2:13" ht="69" thickBot="1" x14ac:dyDescent="0.25">
      <c r="B4" s="132"/>
      <c r="C4" s="1" t="s">
        <v>720</v>
      </c>
      <c r="D4" s="1" t="s">
        <v>721</v>
      </c>
      <c r="E4" s="1" t="s">
        <v>722</v>
      </c>
      <c r="F4" s="1" t="s">
        <v>723</v>
      </c>
      <c r="G4" s="1" t="s">
        <v>724</v>
      </c>
      <c r="H4" s="1" t="s">
        <v>725</v>
      </c>
      <c r="I4" s="1" t="s">
        <v>726</v>
      </c>
      <c r="J4" s="1" t="s">
        <v>727</v>
      </c>
      <c r="K4" s="1" t="s">
        <v>728</v>
      </c>
      <c r="L4" s="1" t="s">
        <v>729</v>
      </c>
      <c r="M4" s="1" t="s">
        <v>730</v>
      </c>
    </row>
    <row r="5" spans="2:13" ht="18" thickBot="1" x14ac:dyDescent="0.25">
      <c r="B5" s="1" t="s">
        <v>230</v>
      </c>
      <c r="C5" s="2">
        <v>50770.245799935998</v>
      </c>
      <c r="D5" s="101">
        <v>0.92290116845496906</v>
      </c>
      <c r="E5" s="2">
        <v>1026.23421568</v>
      </c>
      <c r="F5" s="2">
        <v>17314.377658368001</v>
      </c>
      <c r="G5" s="2">
        <v>7015.5670804479996</v>
      </c>
      <c r="H5" s="2">
        <v>3986.196312952</v>
      </c>
      <c r="I5" s="84">
        <v>0.49503473192187858</v>
      </c>
      <c r="J5" s="101">
        <v>0.20187069801726071</v>
      </c>
      <c r="K5" s="101">
        <v>0.51358655049551871</v>
      </c>
      <c r="L5" s="101">
        <v>0.58590263238690454</v>
      </c>
      <c r="M5" s="101">
        <v>0.33290579167556161</v>
      </c>
    </row>
    <row r="6" spans="2:13" ht="18" thickBot="1" x14ac:dyDescent="0.25">
      <c r="B6" s="1" t="s">
        <v>226</v>
      </c>
      <c r="C6" s="2">
        <v>31718.225058815999</v>
      </c>
      <c r="D6" s="101">
        <v>0.89170920088131223</v>
      </c>
      <c r="E6" s="2">
        <v>934.47555283999998</v>
      </c>
      <c r="F6" s="2">
        <v>8839.7793857279994</v>
      </c>
      <c r="G6" s="2">
        <v>2994.9274283200002</v>
      </c>
      <c r="H6" s="2">
        <v>2280.181827548719</v>
      </c>
      <c r="I6" s="84">
        <v>0.41781681392544523</v>
      </c>
      <c r="J6" s="101">
        <v>0.21009504429603082</v>
      </c>
      <c r="K6" s="101">
        <v>0.42447148320866279</v>
      </c>
      <c r="L6" s="101">
        <v>0.46469178936686412</v>
      </c>
      <c r="M6" s="101">
        <v>0.35379213649921099</v>
      </c>
    </row>
    <row r="7" spans="2:13" ht="18" thickBot="1" x14ac:dyDescent="0.25">
      <c r="B7" s="1" t="s">
        <v>229</v>
      </c>
      <c r="C7" s="2">
        <v>13321.922660959999</v>
      </c>
      <c r="D7" s="101">
        <v>0.87505033883187167</v>
      </c>
      <c r="E7" s="2">
        <v>234.27764531700001</v>
      </c>
      <c r="F7" s="2">
        <v>4554.9907737679996</v>
      </c>
      <c r="G7" s="2">
        <v>2165.7111475860002</v>
      </c>
      <c r="H7" s="2">
        <v>976.34891887200001</v>
      </c>
      <c r="I7" s="84">
        <v>0.4978186682036701</v>
      </c>
      <c r="J7" s="101">
        <v>0.14445567899991696</v>
      </c>
      <c r="K7" s="101">
        <v>0.57334076639775422</v>
      </c>
      <c r="L7" s="101">
        <v>0.57668048089701351</v>
      </c>
      <c r="M7" s="101">
        <v>0.25997989837470969</v>
      </c>
    </row>
    <row r="8" spans="2:13" ht="18" thickBot="1" x14ac:dyDescent="0.25">
      <c r="B8" s="1" t="s">
        <v>231</v>
      </c>
      <c r="C8" s="2">
        <v>14483.411603455999</v>
      </c>
      <c r="D8" s="101">
        <v>0.92031800535235975</v>
      </c>
      <c r="E8" s="2">
        <v>261.67572508799998</v>
      </c>
      <c r="F8" s="2">
        <v>6539.8923361280004</v>
      </c>
      <c r="G8" s="2">
        <v>2445.395687832</v>
      </c>
      <c r="H8" s="2">
        <v>901.47128364800005</v>
      </c>
      <c r="I8" s="84">
        <v>0.59938900154748842</v>
      </c>
      <c r="J8" s="101">
        <v>0.15403322793095911</v>
      </c>
      <c r="K8" s="101">
        <v>0.72508504625847137</v>
      </c>
      <c r="L8" s="101">
        <v>0.64948989272192437</v>
      </c>
      <c r="M8" s="101">
        <v>0.23942811800225064</v>
      </c>
    </row>
    <row r="9" spans="2:13" ht="35" thickBot="1" x14ac:dyDescent="0.25">
      <c r="B9" s="1" t="s">
        <v>227</v>
      </c>
      <c r="C9" s="2">
        <v>34055.125910952003</v>
      </c>
      <c r="D9" s="101">
        <v>0.94487965249782213</v>
      </c>
      <c r="E9" s="2">
        <v>1318.0905568329374</v>
      </c>
      <c r="F9" s="2">
        <v>8287.1887446510009</v>
      </c>
      <c r="G9" s="2">
        <v>4865.4948627354997</v>
      </c>
      <c r="H9" s="2">
        <v>2470.1002894140001</v>
      </c>
      <c r="I9" s="84">
        <v>0.41173177784325415</v>
      </c>
      <c r="J9" s="101">
        <v>0.31120845681291848</v>
      </c>
      <c r="K9" s="101">
        <v>0.42490860186841672</v>
      </c>
      <c r="L9" s="101">
        <v>0.47163310416987919</v>
      </c>
      <c r="M9" s="101">
        <v>0.23943732343235094</v>
      </c>
    </row>
    <row r="10" spans="2:13" ht="35" thickBot="1" x14ac:dyDescent="0.25">
      <c r="B10" s="1" t="s">
        <v>233</v>
      </c>
      <c r="C10" s="2">
        <v>9205.1502571519995</v>
      </c>
      <c r="D10" s="101">
        <v>0.89015128192105197</v>
      </c>
      <c r="E10" s="2">
        <v>330.602141824</v>
      </c>
      <c r="F10" s="2">
        <v>3269.6456048639998</v>
      </c>
      <c r="G10" s="2">
        <v>792.77759078400004</v>
      </c>
      <c r="H10" s="2">
        <v>498.80475039999999</v>
      </c>
      <c r="I10" s="84">
        <v>0.47974920669767812</v>
      </c>
      <c r="J10" s="101">
        <v>0.24654077398814961</v>
      </c>
      <c r="K10" s="101">
        <v>0.50854317410760019</v>
      </c>
      <c r="L10" s="101">
        <v>0.55255402265895759</v>
      </c>
      <c r="M10" s="101">
        <v>0.34765938714583533</v>
      </c>
    </row>
    <row r="11" spans="2:13" ht="35" thickBot="1" x14ac:dyDescent="0.25">
      <c r="B11" s="1" t="s">
        <v>228</v>
      </c>
      <c r="C11" s="2">
        <v>32164.117648383999</v>
      </c>
      <c r="D11" s="101">
        <v>0.91849546868429754</v>
      </c>
      <c r="E11" s="2">
        <v>767.89078625599996</v>
      </c>
      <c r="F11" s="2">
        <v>9129.4263018559996</v>
      </c>
      <c r="G11" s="2">
        <v>7469.3135176960004</v>
      </c>
      <c r="H11" s="2">
        <v>2706.1883049600001</v>
      </c>
      <c r="I11" s="84">
        <v>0.48473988842450771</v>
      </c>
      <c r="J11" s="101">
        <v>0.21878190841561077</v>
      </c>
      <c r="K11" s="101">
        <v>0.56042702513659659</v>
      </c>
      <c r="L11" s="101">
        <v>0.60411072347987349</v>
      </c>
      <c r="M11" s="101">
        <v>0.21887384575690477</v>
      </c>
    </row>
    <row r="12" spans="2:13" ht="18" thickBot="1" x14ac:dyDescent="0.25">
      <c r="B12" s="1" t="s">
        <v>232</v>
      </c>
      <c r="C12" s="2">
        <v>7252.61525824</v>
      </c>
      <c r="D12" s="101">
        <v>0.92801443011443596</v>
      </c>
      <c r="E12" s="2">
        <v>154.11323492700001</v>
      </c>
      <c r="F12" s="2">
        <v>2051.8856949440001</v>
      </c>
      <c r="G12" s="2">
        <v>2335.5614727040002</v>
      </c>
      <c r="H12" s="2">
        <v>504.937729596</v>
      </c>
      <c r="I12" s="84">
        <v>0.50259956150399399</v>
      </c>
      <c r="J12" s="101">
        <v>0.1587301648549922</v>
      </c>
      <c r="K12" s="101">
        <v>0.64575756023419606</v>
      </c>
      <c r="L12" s="101">
        <v>0.75238375152230086</v>
      </c>
      <c r="M12" s="101">
        <v>0.1626619327808802</v>
      </c>
    </row>
    <row r="13" spans="2:13" ht="18" thickBot="1" x14ac:dyDescent="0.25">
      <c r="B13" s="74" t="s">
        <v>450</v>
      </c>
      <c r="C13" s="17">
        <v>192970.81419789599</v>
      </c>
      <c r="D13" s="84">
        <v>0.91559668449030196</v>
      </c>
      <c r="E13" s="17">
        <v>5027.3598587649376</v>
      </c>
      <c r="F13" s="17">
        <v>59987.186500306998</v>
      </c>
      <c r="G13" s="17">
        <v>30084.748788105499</v>
      </c>
      <c r="H13" s="17">
        <v>14324.229417390719</v>
      </c>
      <c r="I13" s="84">
        <v>0.47350515502308077</v>
      </c>
      <c r="J13" s="84">
        <v>0.2194469011995295</v>
      </c>
      <c r="K13" s="84">
        <v>0.51313774989832139</v>
      </c>
      <c r="L13" s="84">
        <v>0.56594014560178219</v>
      </c>
      <c r="M13" s="84">
        <v>0.26946066723736561</v>
      </c>
    </row>
  </sheetData>
  <mergeCells count="3">
    <mergeCell ref="B2:M2"/>
    <mergeCell ref="E3:H3"/>
    <mergeCell ref="I3:M3"/>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B1:M13"/>
  <sheetViews>
    <sheetView workbookViewId="0">
      <selection activeCell="B2" sqref="B2:M2"/>
    </sheetView>
  </sheetViews>
  <sheetFormatPr baseColWidth="10" defaultColWidth="8.83203125" defaultRowHeight="15" x14ac:dyDescent="0.2"/>
  <cols>
    <col min="2" max="2" width="20.83203125" customWidth="1"/>
    <col min="3" max="13" width="17.83203125" customWidth="1"/>
  </cols>
  <sheetData>
    <row r="1" spans="2:13" ht="16" thickBot="1" x14ac:dyDescent="0.25"/>
    <row r="2" spans="2:13" ht="17" thickBot="1" x14ac:dyDescent="0.25">
      <c r="B2" s="232" t="s">
        <v>751</v>
      </c>
      <c r="C2" s="233"/>
      <c r="D2" s="233"/>
      <c r="E2" s="233"/>
      <c r="F2" s="233"/>
      <c r="G2" s="233"/>
      <c r="H2" s="233"/>
      <c r="I2" s="233"/>
      <c r="J2" s="233"/>
      <c r="K2" s="233"/>
      <c r="L2" s="233"/>
      <c r="M2" s="234"/>
    </row>
    <row r="3" spans="2:13" ht="18" thickBot="1" x14ac:dyDescent="0.25">
      <c r="B3" s="131"/>
      <c r="C3" s="1" t="s">
        <v>710</v>
      </c>
      <c r="D3" s="130" t="s">
        <v>731</v>
      </c>
      <c r="E3" s="153" t="s">
        <v>736</v>
      </c>
      <c r="F3" s="172"/>
      <c r="G3" s="172"/>
      <c r="H3" s="154"/>
      <c r="I3" s="235" t="s">
        <v>733</v>
      </c>
      <c r="J3" s="236"/>
      <c r="K3" s="236"/>
      <c r="L3" s="236"/>
      <c r="M3" s="237"/>
    </row>
    <row r="4" spans="2:13" ht="69" thickBot="1" x14ac:dyDescent="0.25">
      <c r="B4" s="132"/>
      <c r="C4" s="1" t="s">
        <v>720</v>
      </c>
      <c r="D4" s="1" t="s">
        <v>721</v>
      </c>
      <c r="E4" s="1" t="s">
        <v>722</v>
      </c>
      <c r="F4" s="1" t="s">
        <v>723</v>
      </c>
      <c r="G4" s="1" t="s">
        <v>724</v>
      </c>
      <c r="H4" s="1" t="s">
        <v>725</v>
      </c>
      <c r="I4" s="1" t="s">
        <v>726</v>
      </c>
      <c r="J4" s="1" t="s">
        <v>727</v>
      </c>
      <c r="K4" s="1" t="s">
        <v>728</v>
      </c>
      <c r="L4" s="1" t="s">
        <v>729</v>
      </c>
      <c r="M4" s="1" t="s">
        <v>730</v>
      </c>
    </row>
    <row r="5" spans="2:13" ht="18" thickBot="1" x14ac:dyDescent="0.25">
      <c r="B5" s="1" t="s">
        <v>230</v>
      </c>
      <c r="C5" s="2">
        <v>21452.418316288</v>
      </c>
      <c r="D5" s="101">
        <v>0.92405166121066906</v>
      </c>
      <c r="E5" s="2">
        <v>449.77817206399999</v>
      </c>
      <c r="F5" s="2">
        <v>7324.2233095680003</v>
      </c>
      <c r="G5" s="2">
        <v>2820.132147712</v>
      </c>
      <c r="H5" s="2">
        <v>1665.5365909699999</v>
      </c>
      <c r="I5" s="84">
        <v>0.49260604449724132</v>
      </c>
      <c r="J5" s="101">
        <v>0.21042602042277375</v>
      </c>
      <c r="K5" s="101">
        <v>0.50809183772582922</v>
      </c>
      <c r="L5" s="101">
        <v>0.57556097927955896</v>
      </c>
      <c r="M5" s="101">
        <v>0.33991948643341668</v>
      </c>
    </row>
    <row r="6" spans="2:13" ht="18" thickBot="1" x14ac:dyDescent="0.25">
      <c r="B6" s="1" t="s">
        <v>226</v>
      </c>
      <c r="C6" s="2">
        <v>21265.325951616</v>
      </c>
      <c r="D6" s="101">
        <v>0.89347758240638131</v>
      </c>
      <c r="E6" s="2">
        <v>624.38073336800005</v>
      </c>
      <c r="F6" s="2">
        <v>5914.9804878080004</v>
      </c>
      <c r="G6" s="2">
        <v>1904.605250368</v>
      </c>
      <c r="H6" s="2">
        <v>1534.9533773779999</v>
      </c>
      <c r="I6" s="84">
        <v>0.41551945729897077</v>
      </c>
      <c r="J6" s="101">
        <v>0.2114979215567882</v>
      </c>
      <c r="K6" s="101">
        <v>0.4199072604238403</v>
      </c>
      <c r="L6" s="101">
        <v>0.45060803288342111</v>
      </c>
      <c r="M6" s="101">
        <v>0.36315258598306605</v>
      </c>
    </row>
    <row r="7" spans="2:13" ht="18" thickBot="1" x14ac:dyDescent="0.25">
      <c r="B7" s="1" t="s">
        <v>229</v>
      </c>
      <c r="C7" s="2">
        <v>5694.3637293399997</v>
      </c>
      <c r="D7" s="101">
        <v>0.87655812206120143</v>
      </c>
      <c r="E7" s="2">
        <v>101.673886557125</v>
      </c>
      <c r="F7" s="2">
        <v>1967.6189757019999</v>
      </c>
      <c r="G7" s="2">
        <v>922.51590054099995</v>
      </c>
      <c r="H7" s="2">
        <v>421.24540680475002</v>
      </c>
      <c r="I7" s="84">
        <v>0.50217105285118624</v>
      </c>
      <c r="J7" s="101">
        <v>0.14612200967237637</v>
      </c>
      <c r="K7" s="101">
        <v>0.57972684930084428</v>
      </c>
      <c r="L7" s="101">
        <v>0.57495396609693239</v>
      </c>
      <c r="M7" s="101">
        <v>0.26253934181565103</v>
      </c>
    </row>
    <row r="8" spans="2:13" ht="18" thickBot="1" x14ac:dyDescent="0.25">
      <c r="B8" s="1" t="s">
        <v>231</v>
      </c>
      <c r="C8" s="2">
        <v>5141.662442496</v>
      </c>
      <c r="D8" s="101">
        <v>0.91676188854675844</v>
      </c>
      <c r="E8" s="2">
        <v>101.082648832</v>
      </c>
      <c r="F8" s="2">
        <v>2333.302267136</v>
      </c>
      <c r="G8" s="2">
        <v>793.78272419200005</v>
      </c>
      <c r="H8" s="2">
        <v>326.19669984000001</v>
      </c>
      <c r="I8" s="84">
        <v>0.59865748479407188</v>
      </c>
      <c r="J8" s="101">
        <v>0.16068837109541242</v>
      </c>
      <c r="K8" s="101">
        <v>0.70913653647247876</v>
      </c>
      <c r="L8" s="101">
        <v>0.64943871851325385</v>
      </c>
      <c r="M8" s="101">
        <v>0.26688004194470366</v>
      </c>
    </row>
    <row r="9" spans="2:13" ht="35" thickBot="1" x14ac:dyDescent="0.25">
      <c r="B9" s="1" t="s">
        <v>227</v>
      </c>
      <c r="C9" s="2">
        <v>28399.087744908</v>
      </c>
      <c r="D9" s="101">
        <v>0.9461115081432514</v>
      </c>
      <c r="E9" s="2">
        <v>1104.9421068015938</v>
      </c>
      <c r="F9" s="2">
        <v>6903.6828821070003</v>
      </c>
      <c r="G9" s="2">
        <v>4062.61803779</v>
      </c>
      <c r="H9" s="2">
        <v>2082.3291544160002</v>
      </c>
      <c r="I9" s="84">
        <v>0.41254851084226429</v>
      </c>
      <c r="J9" s="101">
        <v>0.31447890823551111</v>
      </c>
      <c r="K9" s="101">
        <v>0.42567094399839561</v>
      </c>
      <c r="L9" s="101">
        <v>0.46873653003402321</v>
      </c>
      <c r="M9" s="101">
        <v>0.24025486352652559</v>
      </c>
    </row>
    <row r="10" spans="2:13" ht="35" thickBot="1" x14ac:dyDescent="0.25">
      <c r="B10" s="1" t="s">
        <v>233</v>
      </c>
      <c r="C10" s="2">
        <v>2800.2796451839999</v>
      </c>
      <c r="D10" s="101">
        <v>0.88908940523489033</v>
      </c>
      <c r="E10" s="2">
        <v>103.27391507199999</v>
      </c>
      <c r="F10" s="2">
        <v>985.50639283199996</v>
      </c>
      <c r="G10" s="2">
        <v>231.02754611200001</v>
      </c>
      <c r="H10" s="2">
        <v>151.8951836</v>
      </c>
      <c r="I10" s="84">
        <v>0.47605477982939304</v>
      </c>
      <c r="J10" s="101">
        <v>0.25284082733033719</v>
      </c>
      <c r="K10" s="101">
        <v>0.50153855153775584</v>
      </c>
      <c r="L10" s="101">
        <v>0.5412267411042665</v>
      </c>
      <c r="M10" s="101">
        <v>0.35584386620895725</v>
      </c>
    </row>
    <row r="11" spans="2:13" ht="35" thickBot="1" x14ac:dyDescent="0.25">
      <c r="B11" s="1" t="s">
        <v>228</v>
      </c>
      <c r="C11" s="2">
        <v>7425.3271339519997</v>
      </c>
      <c r="D11" s="101">
        <v>0.92156711222217746</v>
      </c>
      <c r="E11" s="2">
        <v>172.52856857250001</v>
      </c>
      <c r="F11" s="2">
        <v>2182.004660732</v>
      </c>
      <c r="G11" s="2">
        <v>1631.5207910720001</v>
      </c>
      <c r="H11" s="2">
        <v>613.68415582</v>
      </c>
      <c r="I11" s="84">
        <v>0.4876318088394011</v>
      </c>
      <c r="J11" s="101">
        <v>0.21577143408163429</v>
      </c>
      <c r="K11" s="101">
        <v>0.55945750910948633</v>
      </c>
      <c r="L11" s="101">
        <v>0.5986084389552333</v>
      </c>
      <c r="M11" s="101">
        <v>0.22516201849048867</v>
      </c>
    </row>
    <row r="12" spans="2:13" ht="18" thickBot="1" x14ac:dyDescent="0.25">
      <c r="B12" s="1" t="s">
        <v>232</v>
      </c>
      <c r="C12" s="2">
        <v>2156.115593856</v>
      </c>
      <c r="D12" s="101">
        <v>0.91503081760396787</v>
      </c>
      <c r="E12" s="2">
        <v>46.809682359</v>
      </c>
      <c r="F12" s="2">
        <v>563.429043632</v>
      </c>
      <c r="G12" s="2">
        <v>702.22476869599996</v>
      </c>
      <c r="H12" s="2">
        <v>132.36875764800001</v>
      </c>
      <c r="I12" s="84">
        <v>0.47469504605130003</v>
      </c>
      <c r="J12" s="101">
        <v>0.16044562969119333</v>
      </c>
      <c r="K12" s="101">
        <v>0.6024577552577387</v>
      </c>
      <c r="L12" s="101">
        <v>0.75577105333528471</v>
      </c>
      <c r="M12" s="101">
        <v>0.14246218569316871</v>
      </c>
    </row>
    <row r="13" spans="2:13" ht="18" thickBot="1" x14ac:dyDescent="0.25">
      <c r="B13" s="74" t="s">
        <v>450</v>
      </c>
      <c r="C13" s="17">
        <v>94334.580557640002</v>
      </c>
      <c r="D13" s="84">
        <v>0.91853731935702787</v>
      </c>
      <c r="E13" s="17">
        <v>2704.4697136262189</v>
      </c>
      <c r="F13" s="17">
        <v>28174.748019516999</v>
      </c>
      <c r="G13" s="17">
        <v>13068.427166482999</v>
      </c>
      <c r="H13" s="17">
        <v>6928.20932647675</v>
      </c>
      <c r="I13" s="84">
        <v>0.45619323976236048</v>
      </c>
      <c r="J13" s="84">
        <v>0.2366554115936956</v>
      </c>
      <c r="K13" s="84">
        <v>0.48406313885972252</v>
      </c>
      <c r="L13" s="84">
        <v>0.52904317201330986</v>
      </c>
      <c r="M13" s="84">
        <v>0.2804715358441926</v>
      </c>
    </row>
  </sheetData>
  <mergeCells count="3">
    <mergeCell ref="B2:M2"/>
    <mergeCell ref="E3:H3"/>
    <mergeCell ref="I3:M3"/>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B1:M13"/>
  <sheetViews>
    <sheetView workbookViewId="0">
      <selection activeCell="B2" sqref="B2:M2"/>
    </sheetView>
  </sheetViews>
  <sheetFormatPr baseColWidth="10" defaultColWidth="8.83203125" defaultRowHeight="15" x14ac:dyDescent="0.2"/>
  <cols>
    <col min="2" max="2" width="20.6640625" customWidth="1"/>
    <col min="3" max="13" width="18.1640625" customWidth="1"/>
  </cols>
  <sheetData>
    <row r="1" spans="2:13" ht="16" thickBot="1" x14ac:dyDescent="0.25"/>
    <row r="2" spans="2:13" ht="17" thickBot="1" x14ac:dyDescent="0.25">
      <c r="B2" s="232" t="s">
        <v>752</v>
      </c>
      <c r="C2" s="233"/>
      <c r="D2" s="233"/>
      <c r="E2" s="233"/>
      <c r="F2" s="233"/>
      <c r="G2" s="233"/>
      <c r="H2" s="233"/>
      <c r="I2" s="233"/>
      <c r="J2" s="233"/>
      <c r="K2" s="233"/>
      <c r="L2" s="233"/>
      <c r="M2" s="234"/>
    </row>
    <row r="3" spans="2:13" ht="18" thickBot="1" x14ac:dyDescent="0.25">
      <c r="B3" s="131"/>
      <c r="C3" s="1" t="s">
        <v>711</v>
      </c>
      <c r="D3" s="130" t="s">
        <v>731</v>
      </c>
      <c r="E3" s="153" t="s">
        <v>711</v>
      </c>
      <c r="F3" s="172"/>
      <c r="G3" s="172"/>
      <c r="H3" s="154"/>
      <c r="I3" s="235" t="s">
        <v>733</v>
      </c>
      <c r="J3" s="236"/>
      <c r="K3" s="236"/>
      <c r="L3" s="236"/>
      <c r="M3" s="237"/>
    </row>
    <row r="4" spans="2:13" ht="69" thickBot="1" x14ac:dyDescent="0.25">
      <c r="B4" s="132"/>
      <c r="C4" s="1" t="s">
        <v>720</v>
      </c>
      <c r="D4" s="1" t="s">
        <v>721</v>
      </c>
      <c r="E4" s="1" t="s">
        <v>722</v>
      </c>
      <c r="F4" s="1" t="s">
        <v>723</v>
      </c>
      <c r="G4" s="1" t="s">
        <v>724</v>
      </c>
      <c r="H4" s="1" t="s">
        <v>725</v>
      </c>
      <c r="I4" s="1" t="s">
        <v>726</v>
      </c>
      <c r="J4" s="1" t="s">
        <v>727</v>
      </c>
      <c r="K4" s="1" t="s">
        <v>728</v>
      </c>
      <c r="L4" s="1" t="s">
        <v>729</v>
      </c>
      <c r="M4" s="1" t="s">
        <v>730</v>
      </c>
    </row>
    <row r="5" spans="2:13" ht="18" thickBot="1" x14ac:dyDescent="0.25">
      <c r="B5" s="1" t="s">
        <v>230</v>
      </c>
      <c r="C5" s="2">
        <v>25284.601783295999</v>
      </c>
      <c r="D5" s="101">
        <v>0.92405166404601324</v>
      </c>
      <c r="E5" s="2">
        <v>530.12494396800003</v>
      </c>
      <c r="F5" s="2">
        <v>8632.5964968959997</v>
      </c>
      <c r="G5" s="2">
        <v>3323.9105533440002</v>
      </c>
      <c r="H5" s="2">
        <v>1963.0621875100001</v>
      </c>
      <c r="I5" s="84">
        <v>0.49260605155902004</v>
      </c>
      <c r="J5" s="101">
        <v>0.2104260181415018</v>
      </c>
      <c r="K5" s="101">
        <v>0.5080918370700499</v>
      </c>
      <c r="L5" s="101">
        <v>0.57556098178471193</v>
      </c>
      <c r="M5" s="101">
        <v>0.3399194959716979</v>
      </c>
    </row>
    <row r="6" spans="2:13" ht="18" thickBot="1" x14ac:dyDescent="0.25">
      <c r="B6" s="1" t="s">
        <v>226</v>
      </c>
      <c r="C6" s="2">
        <v>25064.088937216002</v>
      </c>
      <c r="D6" s="101">
        <v>0.89347759362933832</v>
      </c>
      <c r="E6" s="2">
        <v>735.91790414000002</v>
      </c>
      <c r="F6" s="2">
        <v>6971.6117942399997</v>
      </c>
      <c r="G6" s="2">
        <v>2244.8372448959999</v>
      </c>
      <c r="H6" s="2">
        <v>1809.1520683346876</v>
      </c>
      <c r="I6" s="84">
        <v>0.41551945856723782</v>
      </c>
      <c r="J6" s="101">
        <v>0.21149792075275906</v>
      </c>
      <c r="K6" s="101">
        <v>0.41990726917305071</v>
      </c>
      <c r="L6" s="101">
        <v>0.45060803123274684</v>
      </c>
      <c r="M6" s="101">
        <v>0.3631525864810361</v>
      </c>
    </row>
    <row r="7" spans="2:13" ht="18" thickBot="1" x14ac:dyDescent="0.25">
      <c r="B7" s="1" t="s">
        <v>229</v>
      </c>
      <c r="C7" s="2">
        <v>6711.5847962719999</v>
      </c>
      <c r="D7" s="101">
        <v>0.87655815620654187</v>
      </c>
      <c r="E7" s="2">
        <v>119.83655003437499</v>
      </c>
      <c r="F7" s="2">
        <v>2319.1074773820001</v>
      </c>
      <c r="G7" s="2">
        <v>1087.3108681619999</v>
      </c>
      <c r="H7" s="2">
        <v>496.495209902</v>
      </c>
      <c r="I7" s="84">
        <v>0.50217105004100793</v>
      </c>
      <c r="J7" s="101">
        <v>0.14612201066767955</v>
      </c>
      <c r="K7" s="101">
        <v>0.57972685659016976</v>
      </c>
      <c r="L7" s="101">
        <v>0.57495395728401955</v>
      </c>
      <c r="M7" s="101">
        <v>0.26253934736094575</v>
      </c>
    </row>
    <row r="8" spans="2:13" ht="18" thickBot="1" x14ac:dyDescent="0.25">
      <c r="B8" s="1" t="s">
        <v>231</v>
      </c>
      <c r="C8" s="2">
        <v>6060.151054336</v>
      </c>
      <c r="D8" s="101">
        <v>0.91676188554933491</v>
      </c>
      <c r="E8" s="2">
        <v>119.13969763199999</v>
      </c>
      <c r="F8" s="2">
        <v>2750.1151198719999</v>
      </c>
      <c r="G8" s="2">
        <v>935.58127515599995</v>
      </c>
      <c r="H8" s="2">
        <v>384.46733795199998</v>
      </c>
      <c r="I8" s="84">
        <v>0.59865746463904079</v>
      </c>
      <c r="J8" s="101">
        <v>0.16068837271144365</v>
      </c>
      <c r="K8" s="101">
        <v>0.70913653620881234</v>
      </c>
      <c r="L8" s="101">
        <v>0.64943872814761083</v>
      </c>
      <c r="M8" s="101">
        <v>0.26688005158313077</v>
      </c>
    </row>
    <row r="9" spans="2:13" ht="35" thickBot="1" x14ac:dyDescent="0.25">
      <c r="B9" s="1" t="s">
        <v>227</v>
      </c>
      <c r="C9" s="2">
        <v>33472.198590512002</v>
      </c>
      <c r="D9" s="101">
        <v>0.94611149725202903</v>
      </c>
      <c r="E9" s="2">
        <v>1302.3249794290625</v>
      </c>
      <c r="F9" s="2">
        <v>8136.9319493949997</v>
      </c>
      <c r="G9" s="2">
        <v>4788.3495155709998</v>
      </c>
      <c r="H9" s="2">
        <v>2454.3090963609998</v>
      </c>
      <c r="I9" s="84">
        <v>0.41254851527224518</v>
      </c>
      <c r="J9" s="101">
        <v>0.31447888178027639</v>
      </c>
      <c r="K9" s="101">
        <v>0.42567093861750316</v>
      </c>
      <c r="L9" s="101">
        <v>0.46873653710579211</v>
      </c>
      <c r="M9" s="101">
        <v>0.24025488178640514</v>
      </c>
    </row>
    <row r="10" spans="2:13" ht="35" thickBot="1" x14ac:dyDescent="0.25">
      <c r="B10" s="1" t="s">
        <v>233</v>
      </c>
      <c r="C10" s="2">
        <v>3300.5116764159998</v>
      </c>
      <c r="D10" s="101">
        <v>0.88908940512373069</v>
      </c>
      <c r="E10" s="2">
        <v>121.72239424</v>
      </c>
      <c r="F10" s="2">
        <v>1161.5537856000001</v>
      </c>
      <c r="G10" s="2">
        <v>272.29749811200003</v>
      </c>
      <c r="H10" s="2">
        <v>179.02919688</v>
      </c>
      <c r="I10" s="84">
        <v>0.47605478483596231</v>
      </c>
      <c r="J10" s="101">
        <v>0.25284081418739413</v>
      </c>
      <c r="K10" s="101">
        <v>0.50153856011882569</v>
      </c>
      <c r="L10" s="101">
        <v>0.54122678093180987</v>
      </c>
      <c r="M10" s="101">
        <v>0.3558438714714709</v>
      </c>
    </row>
    <row r="11" spans="2:13" ht="35" thickBot="1" x14ac:dyDescent="0.25">
      <c r="B11" s="1" t="s">
        <v>228</v>
      </c>
      <c r="C11" s="2">
        <v>8751.7614682879994</v>
      </c>
      <c r="D11" s="101">
        <v>0.92156714139616502</v>
      </c>
      <c r="E11" s="2">
        <v>203.34845736</v>
      </c>
      <c r="F11" s="2">
        <v>2571.7902491079999</v>
      </c>
      <c r="G11" s="2">
        <v>1922.9698910879999</v>
      </c>
      <c r="H11" s="2">
        <v>723.31051301599996</v>
      </c>
      <c r="I11" s="84">
        <v>0.48763179748248164</v>
      </c>
      <c r="J11" s="101">
        <v>0.21577143002641933</v>
      </c>
      <c r="K11" s="101">
        <v>0.55945749300604575</v>
      </c>
      <c r="L11" s="101">
        <v>0.59860841868093007</v>
      </c>
      <c r="M11" s="101">
        <v>0.22516200821367188</v>
      </c>
    </row>
    <row r="12" spans="2:13" ht="18" thickBot="1" x14ac:dyDescent="0.25">
      <c r="B12" s="1" t="s">
        <v>232</v>
      </c>
      <c r="C12" s="2">
        <v>2541.2764323199999</v>
      </c>
      <c r="D12" s="101">
        <v>0.91503079912902718</v>
      </c>
      <c r="E12" s="2">
        <v>55.171598924500003</v>
      </c>
      <c r="F12" s="2">
        <v>664.07799974399995</v>
      </c>
      <c r="G12" s="2">
        <v>827.66771909600004</v>
      </c>
      <c r="H12" s="2">
        <v>156.01464596950001</v>
      </c>
      <c r="I12" s="84">
        <v>0.47469504573932059</v>
      </c>
      <c r="J12" s="101">
        <v>0.16044562948476421</v>
      </c>
      <c r="K12" s="101">
        <v>0.6024577398971257</v>
      </c>
      <c r="L12" s="101">
        <v>0.7557710597041738</v>
      </c>
      <c r="M12" s="101">
        <v>0.14246218813816533</v>
      </c>
    </row>
    <row r="13" spans="2:13" ht="18" thickBot="1" x14ac:dyDescent="0.25">
      <c r="B13" s="74" t="s">
        <v>450</v>
      </c>
      <c r="C13" s="17">
        <v>111186.174738656</v>
      </c>
      <c r="D13" s="84">
        <v>0.9185373229694398</v>
      </c>
      <c r="E13" s="17">
        <v>3187.5865257279374</v>
      </c>
      <c r="F13" s="17">
        <v>33207.784872237004</v>
      </c>
      <c r="G13" s="17">
        <v>15402.924565425001</v>
      </c>
      <c r="H13" s="17">
        <v>8165.8402559251872</v>
      </c>
      <c r="I13" s="84">
        <v>0.45619324164432756</v>
      </c>
      <c r="J13" s="84">
        <v>0.23665540277112643</v>
      </c>
      <c r="K13" s="84">
        <v>0.4840631393365431</v>
      </c>
      <c r="L13" s="84">
        <v>0.52904317441467497</v>
      </c>
      <c r="M13" s="84">
        <v>0.28047154502432003</v>
      </c>
    </row>
  </sheetData>
  <mergeCells count="3">
    <mergeCell ref="B2:M2"/>
    <mergeCell ref="E3:H3"/>
    <mergeCell ref="I3:M3"/>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593E-6750-6042-9E6A-96063801CB16}">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81</vt:i4>
      </vt:variant>
    </vt:vector>
  </HeadingPairs>
  <TitlesOfParts>
    <vt:vector size="81" baseType="lpstr">
      <vt:lpstr>ReadMe</vt:lpstr>
      <vt:lpstr>F0a</vt:lpstr>
      <vt:lpstr>F0b</vt:lpstr>
      <vt:lpstr>T1</vt:lpstr>
      <vt:lpstr>T1a</vt:lpstr>
      <vt:lpstr>T2</vt:lpstr>
      <vt:lpstr>T3</vt:lpstr>
      <vt:lpstr>T4</vt:lpstr>
      <vt:lpstr>T4a</vt:lpstr>
      <vt:lpstr>T5a</vt:lpstr>
      <vt:lpstr>T5b</vt:lpstr>
      <vt:lpstr>T5c</vt:lpstr>
      <vt:lpstr>T5d</vt:lpstr>
      <vt:lpstr>T6</vt:lpstr>
      <vt:lpstr>T7</vt:lpstr>
      <vt:lpstr>T8a</vt:lpstr>
      <vt:lpstr>T8b</vt:lpstr>
      <vt:lpstr>T8c</vt:lpstr>
      <vt:lpstr>T8d</vt:lpstr>
      <vt:lpstr>T9</vt:lpstr>
      <vt:lpstr>T10a</vt:lpstr>
      <vt:lpstr>T10b</vt:lpstr>
      <vt:lpstr>T11</vt:lpstr>
      <vt:lpstr>T12</vt:lpstr>
      <vt:lpstr>T13a</vt:lpstr>
      <vt:lpstr>T13b</vt:lpstr>
      <vt:lpstr>T13c</vt:lpstr>
      <vt:lpstr>T13d</vt:lpstr>
      <vt:lpstr>T14a</vt:lpstr>
      <vt:lpstr>T14b</vt:lpstr>
      <vt:lpstr>T14c</vt:lpstr>
      <vt:lpstr>T14d</vt:lpstr>
      <vt:lpstr>T15a</vt:lpstr>
      <vt:lpstr>T15b</vt:lpstr>
      <vt:lpstr>T15c</vt:lpstr>
      <vt:lpstr>T15d</vt:lpstr>
      <vt:lpstr>T16a</vt:lpstr>
      <vt:lpstr>T16b</vt:lpstr>
      <vt:lpstr>T16c</vt:lpstr>
      <vt:lpstr>T16d</vt:lpstr>
      <vt:lpstr>Appendix1</vt:lpstr>
      <vt:lpstr>DataF0a</vt:lpstr>
      <vt:lpstr>DataF1</vt:lpstr>
      <vt:lpstr>DataT1</vt:lpstr>
      <vt:lpstr>DataT1a</vt:lpstr>
      <vt:lpstr>DataT2</vt:lpstr>
      <vt:lpstr>DataT3</vt:lpstr>
      <vt:lpstr>DataT4-</vt:lpstr>
      <vt:lpstr>DataT4a</vt:lpstr>
      <vt:lpstr>DataT3c</vt:lpstr>
      <vt:lpstr>DataT5a</vt:lpstr>
      <vt:lpstr>DataT5b</vt:lpstr>
      <vt:lpstr>DataT5c</vt:lpstr>
      <vt:lpstr>DataT5d</vt:lpstr>
      <vt:lpstr>DataT6</vt:lpstr>
      <vt:lpstr>DataT7</vt:lpstr>
      <vt:lpstr>DataT8a</vt:lpstr>
      <vt:lpstr>DataT8b</vt:lpstr>
      <vt:lpstr>DataT8c</vt:lpstr>
      <vt:lpstr>DataT8d</vt:lpstr>
      <vt:lpstr>DataT9</vt:lpstr>
      <vt:lpstr>DataT10</vt:lpstr>
      <vt:lpstr>DataT11</vt:lpstr>
      <vt:lpstr>DataT12</vt:lpstr>
      <vt:lpstr>DataT13a</vt:lpstr>
      <vt:lpstr>DataT13b</vt:lpstr>
      <vt:lpstr>DataT13c</vt:lpstr>
      <vt:lpstr>DataT13d</vt:lpstr>
      <vt:lpstr>DataT14a</vt:lpstr>
      <vt:lpstr>DataT14b</vt:lpstr>
      <vt:lpstr>DataT14c</vt:lpstr>
      <vt:lpstr>DataT14d</vt:lpstr>
      <vt:lpstr>DataT15a</vt:lpstr>
      <vt:lpstr>DataT15b</vt:lpstr>
      <vt:lpstr>DataT15c</vt:lpstr>
      <vt:lpstr>DataT15d</vt:lpstr>
      <vt:lpstr>DataT16a</vt:lpstr>
      <vt:lpstr>DataT16b</vt:lpstr>
      <vt:lpstr>DataT16c</vt:lpstr>
      <vt:lpstr>DataT16d</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Manuel Esteban Arias</cp:lastModifiedBy>
  <dcterms:modified xsi:type="dcterms:W3CDTF">2026-08-08T18:56:14Z</dcterms:modified>
</cp:coreProperties>
</file>